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ource\SOLON\server\projects\v3\AI Context\"/>
    </mc:Choice>
  </mc:AlternateContent>
  <xr:revisionPtr revIDLastSave="0" documentId="13_ncr:1_{286CDCFE-B45A-43E7-B310-BAD2875C1FBF}" xr6:coauthVersionLast="47" xr6:coauthVersionMax="47" xr10:uidLastSave="{00000000-0000-0000-0000-000000000000}"/>
  <bookViews>
    <workbookView minimized="1" xWindow="27615" yWindow="3675" windowWidth="21600" windowHeight="12645" activeTab="1" xr2:uid="{7AF44F39-531A-4B8A-8EF8-6294EB543255}"/>
    <workbookView xWindow="30045" yWindow="8505" windowWidth="21600" windowHeight="12645" activeTab="1" xr2:uid="{C7CAA6F0-AC70-4C1D-A4C2-42A9052E4BD3}"/>
  </bookViews>
  <sheets>
    <sheet name="Full Features" sheetId="14" r:id="rId1"/>
    <sheet name="Reference Sheet" sheetId="25" r:id="rId2"/>
    <sheet name="Requester Stats" sheetId="24" r:id="rId3"/>
    <sheet name="Initiative Group Stats" sheetId="20" r:id="rId4"/>
    <sheet name="Initiative Stats" sheetId="22" r:id="rId5"/>
  </sheets>
  <externalReferences>
    <externalReference r:id="rId6"/>
  </externalReferences>
  <definedNames>
    <definedName name="ExternalData_2" localSheetId="0" hidden="1">'Full Features'!$A$1:$K$379</definedName>
    <definedName name="ExternalData_3" localSheetId="3" hidden="1">'Initiative Group Stats'!$A$1:$E$20</definedName>
    <definedName name="ExternalData_3" localSheetId="2" hidden="1">'Requester Stats'!$A$1:$C$9</definedName>
    <definedName name="ExternalData_4" localSheetId="4" hidden="1">'Initiative Stats'!$A$1:$H$125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5" l="1"/>
  <c r="C8" i="25"/>
  <c r="C7" i="25"/>
  <c r="C5" i="25"/>
  <c r="C4" i="25"/>
  <c r="C3"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0E6938-9942-44FD-AA75-A2BCF3C1EF29}" keepAlive="1" name="Query - Features w Descriptions" description="Connection to the 'Features w Descriptions' query in the workbook." type="5" refreshedVersion="0" background="1" saveData="1">
    <dbPr connection="Provider=Microsoft.Mashup.OleDb.1;Data Source=$Workbook$;Location=&quot;Features w Descriptions&quot;;Extended Properties=&quot;&quot;" command="SELECT * FROM [Features w Descriptions]"/>
  </connection>
  <connection id="2" xr16:uid="{0E836A89-B009-4D77-9EE5-C5E80B590069}" keepAlive="1" name="Query - Features w Estimates" description="Connection to the 'Features w Estimates' query in the workbook." type="5" refreshedVersion="8" background="1" saveData="1">
    <dbPr connection="Provider=Microsoft.Mashup.OleDb.1;Data Source=$Workbook$;Location=&quot;Features w Estimates&quot;;Extended Properties=&quot;&quot;" command="SELECT * FROM [Features w Estimates]"/>
  </connection>
  <connection id="3" xr16:uid="{6F681138-8676-40A3-8BF0-623A0E0D88B5}" keepAlive="1" name="Query - Features w Priority" description="Connection to the 'Features w Priority' query in the workbook." type="5" refreshedVersion="0" background="1">
    <dbPr connection="Provider=Microsoft.Mashup.OleDb.1;Data Source=$Workbook$;Location=&quot;Features w Priority&quot;;Extended Properties=&quot;&quot;" command="SELECT * FROM [Features w Priority]"/>
  </connection>
  <connection id="4" xr16:uid="{BDA9E130-8CE5-408F-B6B9-5BE0E871353D}" keepAlive="1" name="Query - Full features" description="Connection to the 'Full features' query in the workbook." type="5" refreshedVersion="0" background="1">
    <dbPr connection="Provider=Microsoft.Mashup.OleDb.1;Data Source=$Workbook$;Location=&quot;Full features&quot;;Extended Properties=&quot;&quot;" command="SELECT * FROM [Full features]"/>
  </connection>
  <connection id="5" xr16:uid="{212EBEF7-F824-46B9-A81F-788C3A772352}" keepAlive="1" name="Query - Full Features(1)" description="Connection to the 'Full Features' query in the workbook." type="5" refreshedVersion="8" background="1" saveData="1">
    <dbPr connection="Provider=Microsoft.Mashup.OleDb.1;Data Source=$Workbook$;Location=&quot;Full Features&quot;;Extended Properties=&quot;&quot;" command="SELECT * FROM [Full Features]"/>
  </connection>
  <connection id="6" xr16:uid="{41624C05-9258-49C3-9225-20D5DA833DC8}" keepAlive="1" name="Query - Full Features1" description="Connection to the 'Full Features' query in the workbook." type="5" refreshedVersion="8" background="1" saveData="1">
    <dbPr connection="Provider=Microsoft.Mashup.OleDb.1;Data Source=$Workbook$;Location=&quot;Full Features&quot;;Extended Properties=&quot;&quot;" command="SELECT * FROM [Full Features]"/>
  </connection>
  <connection id="7" xr16:uid="{73C47BA0-F11D-4F55-8745-B222519C5CC4}" keepAlive="1" name="Query - Initiative Group Stats" description="Connection to the 'Initiative Group Stats' query in the workbook." type="5" refreshedVersion="8" background="1" saveData="1">
    <dbPr connection="Provider=Microsoft.Mashup.OleDb.1;Data Source=$Workbook$;Location=&quot;Initiative Group Stats&quot;;Extended Properties=&quot;&quot;" command="SELECT * FROM [Initiative Group Stats]"/>
  </connection>
  <connection id="8" xr16:uid="{62263BF0-6656-40BC-A20A-60700720B699}" keepAlive="1" name="Query - Initiative Stats" description="Connection to the 'Initiative Stats' query in the workbook." type="5" refreshedVersion="8" background="1" saveData="1">
    <dbPr connection="Provider=Microsoft.Mashup.OleDb.1;Data Source=$Workbook$;Location=&quot;Initiative Stats&quot;;Extended Properties=&quot;&quot;" command="SELECT * FROM [Initiative Stats]"/>
  </connection>
  <connection id="9" xr16:uid="{C913314C-A543-4E0E-9546-F8D7E9DE0A8A}" keepAlive="1" name="Query - Requester stats" description="Connection to the 'Requester stats' query in the workbook." type="5" refreshedVersion="8" background="1" saveData="1">
    <dbPr connection="Provider=Microsoft.Mashup.OleDb.1;Data Source=$Workbook$;Location=&quot;Requester stats&quot;;Extended Properties=&quot;&quot;" command="SELECT * FROM [Requester stats]"/>
  </connection>
</connections>
</file>

<file path=xl/sharedStrings.xml><?xml version="1.0" encoding="utf-8"?>
<sst xmlns="http://schemas.openxmlformats.org/spreadsheetml/2006/main" count="3849" uniqueCount="747">
  <si>
    <t>IRM</t>
  </si>
  <si>
    <t>Roadmap Initiative Group</t>
  </si>
  <si>
    <t>Roadmap Initiative</t>
  </si>
  <si>
    <t>Roadmap Feature</t>
  </si>
  <si>
    <t>Estimate</t>
  </si>
  <si>
    <t>Requester</t>
  </si>
  <si>
    <t>PI</t>
  </si>
  <si>
    <t>CORE REVENUE MANAGEMENT CAPABILITIES</t>
  </si>
  <si>
    <t>REGISTRATION</t>
  </si>
  <si>
    <t>GRC</t>
  </si>
  <si>
    <t>IRM-12464</t>
  </si>
  <si>
    <t>CORE SUPPORTING CAPABILITIES</t>
  </si>
  <si>
    <t>CASE MANAGEMENT</t>
  </si>
  <si>
    <t>Add and Maintain Case - Assign and Unassign Case Workers - Effort - User</t>
  </si>
  <si>
    <t>PI28</t>
  </si>
  <si>
    <t>IRM-12465</t>
  </si>
  <si>
    <t>Define and Maintain Case Type - Case Worker Profiles - Use Availability - Admin</t>
  </si>
  <si>
    <t>REFERENCE IMPLEMENTATIONS</t>
  </si>
  <si>
    <t>PIT</t>
  </si>
  <si>
    <t>Other</t>
  </si>
  <si>
    <t>IRM-16516</t>
  </si>
  <si>
    <t>SELF SERVICE ACCOUNT OVERVIEW</t>
  </si>
  <si>
    <t>SS  Payments - See Taxpayer Account Overview - User - Part 3 - Open/Edit Registration Details</t>
  </si>
  <si>
    <t>IRM-17620</t>
  </si>
  <si>
    <t>NON-FUNCTIONAL REQUIREMENT COVERAGE</t>
  </si>
  <si>
    <t>TRACEABILITY</t>
  </si>
  <si>
    <t>Support Audit Trail for Statute of Limitation Date modifications in IRM - Admin</t>
  </si>
  <si>
    <t>RELIABILITY</t>
  </si>
  <si>
    <t>IRM-18729</t>
  </si>
  <si>
    <t>REFERENCE DATA</t>
  </si>
  <si>
    <t>Import Code Lists - Admin</t>
  </si>
  <si>
    <t>IRM-18730</t>
  </si>
  <si>
    <t>Export Code List</t>
  </si>
  <si>
    <t>IRM-19256</t>
  </si>
  <si>
    <t>IRM-19514</t>
  </si>
  <si>
    <t>BILLING, ASSESSMENTS AND INSTALLMENTS</t>
  </si>
  <si>
    <t>Add and Maintain Ad-hoc Obligations – Pay Instalment Actions and Categories</t>
  </si>
  <si>
    <t>IRM-20329</t>
  </si>
  <si>
    <t>SECURITY</t>
  </si>
  <si>
    <t>Data Security - Restrict Access to Personal Data GDPR- Admin (based on data classifications) - Part 1/4</t>
  </si>
  <si>
    <t>IRM-20399</t>
  </si>
  <si>
    <t>OTHER ACTIVITIES</t>
  </si>
  <si>
    <t>PenTest - Harden API requests with expression patterns allowed</t>
  </si>
  <si>
    <t>IRM-25436</t>
  </si>
  <si>
    <t>SELF SERVICE FILING &amp; PAYMENTS</t>
  </si>
  <si>
    <t>SS Enhancements - Refactor existing self service pages to work through services implementation - part 4 / Important</t>
  </si>
  <si>
    <t>MAINTAINABILITY</t>
  </si>
  <si>
    <t>IRM-26949</t>
  </si>
  <si>
    <t>CONTACT MANAGEMENT</t>
  </si>
  <si>
    <t>Assign Unique Number to Incoming and Outgoing Documents</t>
  </si>
  <si>
    <t>IRM-27731</t>
  </si>
  <si>
    <t>ARK</t>
  </si>
  <si>
    <t>Augment additional Guidelines for items not covered in template (Spring/Spring Boot/Kafka etc)</t>
  </si>
  <si>
    <t>IRM-27733</t>
  </si>
  <si>
    <t>Enforce applicable guidelines in CI</t>
  </si>
  <si>
    <t>DOCUMENT MANAGEMENT INTEGRATION</t>
  </si>
  <si>
    <t>IRM-29268</t>
  </si>
  <si>
    <t>POC/Fixed effort - Config Items Management ( Packaging &amp; versioning) : Enable delivery teams to safely and selectively migrate configurations across environments</t>
  </si>
  <si>
    <t>USABILITY</t>
  </si>
  <si>
    <t>IRM-29430</t>
  </si>
  <si>
    <t>PENALTY &amp; INTEREST</t>
  </si>
  <si>
    <t>Enhance Credit Interest Calculation to include unallocated payment segments</t>
  </si>
  <si>
    <t>GTM</t>
  </si>
  <si>
    <t>IRM-29434</t>
  </si>
  <si>
    <t>Display and search by Source and timestamp columns in Codelists, Parties and Addresses</t>
  </si>
  <si>
    <t>IRM-29513</t>
  </si>
  <si>
    <t>APPLICATION PROCESSES</t>
  </si>
  <si>
    <t>Support four-eye principle in Solon Tax - Approval Workflow</t>
  </si>
  <si>
    <t>IRM-29663</t>
  </si>
  <si>
    <t>Solon Tax logging enhancements</t>
  </si>
  <si>
    <t>IRM-29998</t>
  </si>
  <si>
    <t>OPERATIONAL REPORTING</t>
  </si>
  <si>
    <t>Automatically distribute Operational Report in list of recipients</t>
  </si>
  <si>
    <t>IRM-30360</t>
  </si>
  <si>
    <t>Data visibility permissions / Row level access, per hierarchical level of users in teams</t>
  </si>
  <si>
    <t>IRM-30362</t>
  </si>
  <si>
    <t>TAXPAYER ACCOUNTING</t>
  </si>
  <si>
    <t>GL decisions table - Ensure extensibility and high volume support of decisions /Functionality &amp; Reference Implementation</t>
  </si>
  <si>
    <t>IRM-30372</t>
  </si>
  <si>
    <t>Row level security example for human tasks   / Reference Implementation</t>
  </si>
  <si>
    <t>IRM-30376</t>
  </si>
  <si>
    <t>PERFORMANCE EFFICIENCY</t>
  </si>
  <si>
    <t>Performance -Work on the known issues with performance in tasks assignment</t>
  </si>
  <si>
    <t>FORM PROCESSING</t>
  </si>
  <si>
    <t>IRM-30403</t>
  </si>
  <si>
    <t>CONTENT MANAGEMENT INTEGRATION</t>
  </si>
  <si>
    <t>SS Enhancements - CMS Integration</t>
  </si>
  <si>
    <t>IRM-30418</t>
  </si>
  <si>
    <t>UI CONFIGURATION</t>
  </si>
  <si>
    <t>Configurable Home Page widgets  in RM</t>
  </si>
  <si>
    <t>IRM-30419</t>
  </si>
  <si>
    <t>Improve the search experience - RM</t>
  </si>
  <si>
    <t>ACCESSIBILITY</t>
  </si>
  <si>
    <t>IRM-30561</t>
  </si>
  <si>
    <t>After POC - Config Items Management ( Packaging &amp; versioning) : Enable delivery teams to safely and selectively migrate configurations across environments /WIP</t>
  </si>
  <si>
    <t>IRM-30668</t>
  </si>
  <si>
    <t>BATCH PROCESSING ENHANCEMENTS</t>
  </si>
  <si>
    <t>Amplio batch - Replacement of SCDF with Amplio (Part 2)</t>
  </si>
  <si>
    <t>IRM-30719</t>
  </si>
  <si>
    <t>Usability Improvements (Current PI27) - DESCOPED</t>
  </si>
  <si>
    <t>IRM-30741</t>
  </si>
  <si>
    <t>Introduce ArchUnit</t>
  </si>
  <si>
    <t>CORE SELF SERVICE CAPABILITIES</t>
  </si>
  <si>
    <t>SELF SERVICE SERVICES MANAGEMENT</t>
  </si>
  <si>
    <t>IRM-31187</t>
  </si>
  <si>
    <t>Amplio Batch - improvements and maintenance part 2</t>
  </si>
  <si>
    <t>EXTENSIBILITY</t>
  </si>
  <si>
    <t>IRM-31854</t>
  </si>
  <si>
    <t>LT_UI_Support customObjectField to always present the label</t>
  </si>
  <si>
    <t>IRM-32237</t>
  </si>
  <si>
    <t>UI/UX Improvements: Visual cues : Add Visual Indicator for Required Fields</t>
  </si>
  <si>
    <t>IRM-32464</t>
  </si>
  <si>
    <t>OPERABILITY</t>
  </si>
  <si>
    <t>Call proxy services  /RM &amp; SS - Documentation</t>
  </si>
  <si>
    <t>USER &amp; 3RD PARTY ACCESS MANAGEMENT</t>
  </si>
  <si>
    <t>IRM-32746</t>
  </si>
  <si>
    <t>Audit Log - Ability to keep Audit trail for authorization /LEFTOVER</t>
  </si>
  <si>
    <t>IRM-32912</t>
  </si>
  <si>
    <t>Data Integrity improvements. Error handling in synchronous operations that involve distributed transactions / Registry, Taxpayer</t>
  </si>
  <si>
    <t>IRM-33406</t>
  </si>
  <si>
    <t>Integrate Self-Contained Documentation Portal into Solon Tax Deliverable</t>
  </si>
  <si>
    <t>IRM-33637</t>
  </si>
  <si>
    <t>Extend Length in Comment Fields Across Entities</t>
  </si>
  <si>
    <t>IRM-34159</t>
  </si>
  <si>
    <t>SS Enhancements - Contacts, Operational Reports</t>
  </si>
  <si>
    <t>IRM-34598</t>
  </si>
  <si>
    <t>Digital Signatures - Validate signatures in attachments RM &amp; SS/ Reference Implementation</t>
  </si>
  <si>
    <t>IRM-3541</t>
  </si>
  <si>
    <t>SS  Payments - See Current Payment Obligations</t>
  </si>
  <si>
    <t>IRM-3542</t>
  </si>
  <si>
    <t>SS  Payments - Submit Payment Form</t>
  </si>
  <si>
    <t>IRM-3543</t>
  </si>
  <si>
    <t>SS Payments - See Payment History</t>
  </si>
  <si>
    <t>IRM-3545</t>
  </si>
  <si>
    <t>SS Payments - See Payment Details</t>
  </si>
  <si>
    <t>IRM-36280</t>
  </si>
  <si>
    <t>UI/UX Improvements: Registry List views - Display search results respecting governance limit in new UX / Part 1</t>
  </si>
  <si>
    <t>IRM-36660</t>
  </si>
  <si>
    <t>Attachments in Forms - Document Uploads enhancements before and after saving the form / RM &amp; SS</t>
  </si>
  <si>
    <t>IRM-36664</t>
  </si>
  <si>
    <t>Representations : Define Date time and timezone for Representations and user rights /RM &amp;SS</t>
  </si>
  <si>
    <t>IRM-36665</t>
  </si>
  <si>
    <t>IRM-36666</t>
  </si>
  <si>
    <t>Representations : Ability to define and manage Representations in RM (affecting SS users)</t>
  </si>
  <si>
    <t>IRM-36667</t>
  </si>
  <si>
    <t>Representations : Ability to relate attachments to Representations in RM (RM &amp; SS)</t>
  </si>
  <si>
    <t>IRM-36668</t>
  </si>
  <si>
    <t>Digital Signatures - System digital signing of PDF documents generated by bpmn process</t>
  </si>
  <si>
    <t>IRM-36862</t>
  </si>
  <si>
    <t>Record Locking - Apply logic to  Party record</t>
  </si>
  <si>
    <t>IRM-37212</t>
  </si>
  <si>
    <t>View Organizational structure and taxpayers hierarchy structure – User / Part 2 of 2</t>
  </si>
  <si>
    <t>IRM-374</t>
  </si>
  <si>
    <t>SS Payments - Initiate Payment from Self Service Portal - User</t>
  </si>
  <si>
    <t>IRM-37610</t>
  </si>
  <si>
    <t>Restructure revenue-management-be-custom to align with Hexagonal Architecture</t>
  </si>
  <si>
    <t>IRM-37721</t>
  </si>
  <si>
    <t>More details availability in Revenue types, searching enhancements in  Fts and RTs</t>
  </si>
  <si>
    <t>IRM-37825</t>
  </si>
  <si>
    <t>Transfer Amount - Enhancement on configuration of Bill segment types</t>
  </si>
  <si>
    <t>IRM-37844</t>
  </si>
  <si>
    <t>GL decisions table - Multiline rules and additional parameters /Functionality &amp; Reference Implementation</t>
  </si>
  <si>
    <t>IRM-37845</t>
  </si>
  <si>
    <t>Enhance Validity period conditions in Registry detail entities to support multiple modifications in the same date</t>
  </si>
  <si>
    <t>IRM-37864</t>
  </si>
  <si>
    <t>TEST SUITE OPTIMIZATION</t>
  </si>
  <si>
    <t>Automation testing for SS /WIP</t>
  </si>
  <si>
    <t>IRM-37865</t>
  </si>
  <si>
    <t>SS enhancements -Configure the items that can be publicly available in db level Part 2/2</t>
  </si>
  <si>
    <t>IRM-37867</t>
  </si>
  <si>
    <t>Allowed Unicode characters to be used in 'Code' fields of configuration records (Excl.: Registration/Taxpayer Accounting)</t>
  </si>
  <si>
    <t>IRM-37871</t>
  </si>
  <si>
    <t>UI/UX Improvements : Search and navigation : Bars at the top of the pages</t>
  </si>
  <si>
    <t>IRM-38190</t>
  </si>
  <si>
    <t>IRM-38230</t>
  </si>
  <si>
    <t>Green coding Programming Guidelines</t>
  </si>
  <si>
    <t>IRM-38238</t>
  </si>
  <si>
    <t>Green coding CI/CD flow optimization</t>
  </si>
  <si>
    <t>IRM-38242</t>
  </si>
  <si>
    <t>Improve Dev Experience for local setup</t>
  </si>
  <si>
    <t>IRM-38250</t>
  </si>
  <si>
    <t>Enhance codelist items codes flexibility and historical track in Solon Tax</t>
  </si>
  <si>
    <t>IRM-38308</t>
  </si>
  <si>
    <t>TAX ACCOUNTS</t>
  </si>
  <si>
    <t>Introduce a Threshold Amount Field in Revenue Type Registration to support Tax Account</t>
  </si>
  <si>
    <t>IRM-38335</t>
  </si>
  <si>
    <t>Audit Log - Ability to keep Audit trail for registration /LEFTOVER</t>
  </si>
  <si>
    <t>IRM-38336</t>
  </si>
  <si>
    <t>Audit Log - Ability to keep Audit trail for code lists /LEFTOVER</t>
  </si>
  <si>
    <t>IRM-38379</t>
  </si>
  <si>
    <t>Forms : Be able to log details for the submitter of the form /RM &amp;SS</t>
  </si>
  <si>
    <t>IRM-38409</t>
  </si>
  <si>
    <t>UI/UX Improvements : Interaction friction - View and Edit buttons distiction</t>
  </si>
  <si>
    <t>IRM-38410</t>
  </si>
  <si>
    <t xml:space="preserve"> UI/UX Improvements : Search and navigation :  Header Bar Improvements</t>
  </si>
  <si>
    <t>IRM-38648</t>
  </si>
  <si>
    <t>IRM-38670</t>
  </si>
  <si>
    <t xml:space="preserve"> UI/UX Improvements : Behaviour Consistency of Drop Down menus</t>
  </si>
  <si>
    <t>IRM-38680</t>
  </si>
  <si>
    <t>UI/UX Improvements : Form Field , Change state of typed text in capitals</t>
  </si>
  <si>
    <t>IRM-38681</t>
  </si>
  <si>
    <t>Placeholder</t>
  </si>
  <si>
    <t>IRM-38682</t>
  </si>
  <si>
    <t>UI/UX Improvements : Prefilling a field in a form based on the value of another field</t>
  </si>
  <si>
    <t>IRM-38710</t>
  </si>
  <si>
    <t>VAT</t>
  </si>
  <si>
    <t>VAT Return Form - Warning for Intracommunity Transaction Enhancement</t>
  </si>
  <si>
    <t>IRM-38759</t>
  </si>
  <si>
    <t>VAT Tax Account Reference Implementation</t>
  </si>
  <si>
    <t>IRM-38784</t>
  </si>
  <si>
    <t>UI- New Solon Look and Feel (waiting new designs)</t>
  </si>
  <si>
    <t>IRM-38847</t>
  </si>
  <si>
    <t>Data Security - Restrict Access to Personal Data GDPR- Admin (based on data classifications) - Encrypt/decrypt -  Part 4/4</t>
  </si>
  <si>
    <t>IRM-38899</t>
  </si>
  <si>
    <t>Support Tax Account Overview Page in the Single Taxpayer Overview</t>
  </si>
  <si>
    <t>IRM-39021</t>
  </si>
  <si>
    <t>Export Filtered List Table to Excel /GL Accounts  List pages</t>
  </si>
  <si>
    <t>IRM-39113</t>
  </si>
  <si>
    <t>Data Security - Define Access per user access group per classification level - Part 2/4</t>
  </si>
  <si>
    <t>IRM-39131</t>
  </si>
  <si>
    <t>Data Security - Restrict Access to Personal Data GDPR- Admin (based on data classifications) - Part 3/4</t>
  </si>
  <si>
    <t>IRM-39135</t>
  </si>
  <si>
    <t>Representations :  Additional info  in Agreements  /RM &amp; SS</t>
  </si>
  <si>
    <t>IRM-39187</t>
  </si>
  <si>
    <t>Accessibility Improvements (Current PI28)</t>
  </si>
  <si>
    <t>IRM-39200</t>
  </si>
  <si>
    <t>Performance improvements (Current PI28)</t>
  </si>
  <si>
    <t>IRM-39202</t>
  </si>
  <si>
    <t>Improvements / Challenges - DAID (Current PI28)</t>
  </si>
  <si>
    <t>IRM-39208</t>
  </si>
  <si>
    <t>UI Improvements / Initiatives - DAID (Current PI28)</t>
  </si>
  <si>
    <t>IRM-39395</t>
  </si>
  <si>
    <t>Enable financial events logging under Org units and Claimants</t>
  </si>
  <si>
    <t>IRM-39738</t>
  </si>
  <si>
    <t>Reference Data - Implement Enhanced Caching for Reference Data Microservice</t>
  </si>
  <si>
    <t>IRM-39975</t>
  </si>
  <si>
    <t>UI/UX Improvements - Schema Changes</t>
  </si>
  <si>
    <t>IRM-39976</t>
  </si>
  <si>
    <t>UI/UX Improvements: FE extra functionalities - Generic</t>
  </si>
  <si>
    <t>IRM-39979</t>
  </si>
  <si>
    <t>UI/UX Improvements: Search Panels - Reusable in all screens</t>
  </si>
  <si>
    <t>IRM-39984</t>
  </si>
  <si>
    <t>UI/UX Improvements: Improve Table with extra messages</t>
  </si>
  <si>
    <t>IRM-39992</t>
  </si>
  <si>
    <t>UI/UX Improvements: Design specifics</t>
  </si>
  <si>
    <t>IRM-40159</t>
  </si>
  <si>
    <t>Configurability of GL Decision Table - Be able to override by custom application</t>
  </si>
  <si>
    <t>IRM-40165</t>
  </si>
  <si>
    <t>Accessibility Improvements - DAID (Current PI28)</t>
  </si>
  <si>
    <t>IRM-40167</t>
  </si>
  <si>
    <t>Accessibility Improvements - HEL (Current PI28)</t>
  </si>
  <si>
    <t>IRM-40169</t>
  </si>
  <si>
    <t>Accessibility Improvements - SPA (Current PI28)</t>
  </si>
  <si>
    <t>IRM-40170</t>
  </si>
  <si>
    <t>Accessibility Improvements - EOS (Current PI28)</t>
  </si>
  <si>
    <t>IRM-40171</t>
  </si>
  <si>
    <t>Accessibility Improvements - ATH (Current PI28)</t>
  </si>
  <si>
    <t>IRM-40174</t>
  </si>
  <si>
    <t>Improvements / Challenges - HEL (Current PI28)</t>
  </si>
  <si>
    <t>IRM-40175</t>
  </si>
  <si>
    <t>Improvements / Challenges - SPA (Current PI28)</t>
  </si>
  <si>
    <t>IRM-40176</t>
  </si>
  <si>
    <t>Improvements / Challenges - EOS (Current PI28)</t>
  </si>
  <si>
    <t>IRM-40177</t>
  </si>
  <si>
    <t>Improvements / Challenges - ATH (Current PI28)</t>
  </si>
  <si>
    <t>IRM-40178</t>
  </si>
  <si>
    <t>UI Improvements / Initiatives - HEL (Current PI28)</t>
  </si>
  <si>
    <t>IRM-40179</t>
  </si>
  <si>
    <t>UI Improvements / Initiatives - SPA (Current PI28)</t>
  </si>
  <si>
    <t>IRM-40180</t>
  </si>
  <si>
    <t>UI Improvements / Initiatives - EOS (Current PI28)</t>
  </si>
  <si>
    <t>IRM-40181</t>
  </si>
  <si>
    <t>UI Improvements / Initiatives - ATH (Current PI28)</t>
  </si>
  <si>
    <t>IRM-40503</t>
  </si>
  <si>
    <t>Enable user-defined characteristics (Data Area) for Financial transaction Type</t>
  </si>
  <si>
    <t>IRM-41013</t>
  </si>
  <si>
    <t>UI Improvements / Initiatives (Current PI28)</t>
  </si>
  <si>
    <t>IRM-41015</t>
  </si>
  <si>
    <t>Improvements / Challenges - (Current PI28)</t>
  </si>
  <si>
    <t>IRM-41016</t>
  </si>
  <si>
    <t>Improvements / Challenges - Bucket (Current PI28)</t>
  </si>
  <si>
    <t>IRM-41328</t>
  </si>
  <si>
    <t>UI Improvements / Initiatives - ATL (Current PI28)</t>
  </si>
  <si>
    <t>IRM-41329</t>
  </si>
  <si>
    <t>Improvements / Challenges - ATL (Current PI28)</t>
  </si>
  <si>
    <t>IRM-41330</t>
  </si>
  <si>
    <t>Accessibility Improvements - ATL (Current PI28)</t>
  </si>
  <si>
    <t>IRM-4293</t>
  </si>
  <si>
    <t>Define User-Defined Characteristics for Payment Event - Admin</t>
  </si>
  <si>
    <t>IRM-5111</t>
  </si>
  <si>
    <t>SS Payments - See Filing Obligation Details - Part 2</t>
  </si>
  <si>
    <t>IRM-766</t>
  </si>
  <si>
    <t>Send Outbound Message Manually to Multiple Recipients - User</t>
  </si>
  <si>
    <t>IRM-774</t>
  </si>
  <si>
    <t>Define and Maintain Different Types of Recipients - Admin</t>
  </si>
  <si>
    <t>IRM-775</t>
  </si>
  <si>
    <t>Define and Maintain Contact Types - Select Recipients - Admin</t>
  </si>
  <si>
    <t>IRM-790</t>
  </si>
  <si>
    <t>Send Outbound Message Automatically to Multiple Recipients - Admin</t>
  </si>
  <si>
    <t>PLACEHOLDER</t>
  </si>
  <si>
    <t>MANAGEMENT</t>
  </si>
  <si>
    <t>Product Development Management</t>
  </si>
  <si>
    <t>Product Management PdM</t>
  </si>
  <si>
    <t>Product Architect</t>
  </si>
  <si>
    <t>Product Test Manager</t>
  </si>
  <si>
    <t>Product Implementaions Leads (PIL)</t>
  </si>
  <si>
    <t>PIL2 TL - Daedalus, Athena, Spartans</t>
  </si>
  <si>
    <t>PIL3 TL - Helios, EOS, Selene</t>
  </si>
  <si>
    <t>PIL4 - Sif, Baldur</t>
  </si>
  <si>
    <t>Technical Architecture and engineering</t>
  </si>
  <si>
    <t>PMO &amp; Analysis Lead</t>
  </si>
  <si>
    <t>DevOps</t>
  </si>
  <si>
    <t>Service Desk</t>
  </si>
  <si>
    <t>RELEASE ACTIVITIES</t>
  </si>
  <si>
    <t>IRM-26754</t>
  </si>
  <si>
    <t>PRODUCT SUPPORT</t>
  </si>
  <si>
    <t>Demo Solon Tax Azure environment upgrade / clean installation</t>
  </si>
  <si>
    <t>CORRECTIVE MAINTENANCE</t>
  </si>
  <si>
    <t>PROJECT SUPPORT</t>
  </si>
  <si>
    <t>PREVENTIVE MAINTENANCE</t>
  </si>
  <si>
    <t>TECHNOLOGY MANAGEMENT</t>
  </si>
  <si>
    <t>CEREMONIES AND TRAININGS</t>
  </si>
  <si>
    <t>SUPPORT TO PDM</t>
  </si>
  <si>
    <t>IRM-38694</t>
  </si>
  <si>
    <t>Bugs related to older Features/PIs - BAL (Current PI28) - Preventive Maintenance</t>
  </si>
  <si>
    <t>IRM-38695</t>
  </si>
  <si>
    <t>Bugs related to older Features/PIs - SIF (Current PI28) - Preventive Maintenance</t>
  </si>
  <si>
    <t>IRM-39196</t>
  </si>
  <si>
    <t>Support to PdM - Before Feature Creation (Current PI28)</t>
  </si>
  <si>
    <t>IRM-39197</t>
  </si>
  <si>
    <t>Bugs related to older Features/PIs - Test Team (Current PI28) - Preventive Maintenance</t>
  </si>
  <si>
    <t>IRM-39199</t>
  </si>
  <si>
    <t>PD Support to projects GR (Current PI28)</t>
  </si>
  <si>
    <t>IRM-39203</t>
  </si>
  <si>
    <t>Bugs related to older Features/PIs - EOS (Current PI28) - Preventive Maintenance</t>
  </si>
  <si>
    <t>IRM-39204</t>
  </si>
  <si>
    <t>Bugs related to older Features/PIs - ATH (Current PI28) - Preventive Maintenance</t>
  </si>
  <si>
    <t>IRM-39209</t>
  </si>
  <si>
    <t>Bugs related to older Features/PIs - HEL (Current PI28) - Preventive Maintenance</t>
  </si>
  <si>
    <t>IRM-39210</t>
  </si>
  <si>
    <t>Bugs related to older Features/PIs - ARC (Current PI28) - Preventive Maintenance</t>
  </si>
  <si>
    <t>IRM-39211</t>
  </si>
  <si>
    <t>Bugs related to older Features/PIs - SPA (Current PI28) - Preventive Maintenance</t>
  </si>
  <si>
    <t>IRM-39212</t>
  </si>
  <si>
    <t>Hotfix release (Current PI28) - x.x.x</t>
  </si>
  <si>
    <t>IRM-39213</t>
  </si>
  <si>
    <t>Intermediate release (Current PI28) - x.x.x</t>
  </si>
  <si>
    <t>IRM-39214</t>
  </si>
  <si>
    <t>Bugs related to older Features/PIs - DAED (Current PI28) - Preventive Maintenance</t>
  </si>
  <si>
    <t>IRM-39215</t>
  </si>
  <si>
    <t>PSD Incidents (Current PI28) - Corrective Maintenance - x.x.x</t>
  </si>
  <si>
    <t>IRM-39216</t>
  </si>
  <si>
    <t>Tests maintenance, repairs and regression testing - DAID (Current PI28)</t>
  </si>
  <si>
    <t>IRM-39217</t>
  </si>
  <si>
    <t>PSD Service Requests (Current PI28) - Official Project Support</t>
  </si>
  <si>
    <t>IRM-39219</t>
  </si>
  <si>
    <t>Unplanned support to projects - Unofficial Project Support (Current PI28)</t>
  </si>
  <si>
    <t>IRM-39220</t>
  </si>
  <si>
    <t>Release Management for x.x.x (Current PI28)</t>
  </si>
  <si>
    <t>IRM-39221</t>
  </si>
  <si>
    <t>Security Defect/Improvement Management (Current PI28)</t>
  </si>
  <si>
    <t>IRM-39223</t>
  </si>
  <si>
    <t>Technology Management - Version Upgrades (Current PI28)</t>
  </si>
  <si>
    <t>IRM-39225</t>
  </si>
  <si>
    <t>Tests related to older Features/PIs - DAID (Current PI28)</t>
  </si>
  <si>
    <t>IRM-40182</t>
  </si>
  <si>
    <t>Tests maintenance, repairs and regression testing - HEL (Current PI28)</t>
  </si>
  <si>
    <t>IRM-40183</t>
  </si>
  <si>
    <t>Tests maintenance, repairs and regression testing - SPA (Current PI28)</t>
  </si>
  <si>
    <t>IRM-40185</t>
  </si>
  <si>
    <t>Tests maintenance, repairs and regression testing - ATH (Current PI28)</t>
  </si>
  <si>
    <t>IRM-40187</t>
  </si>
  <si>
    <t>Tests related to older Features/PIs - HEL (Current PI28)</t>
  </si>
  <si>
    <t>IRM-40188</t>
  </si>
  <si>
    <t>Tests related to older Features/PIs - SPA (Current PI28)</t>
  </si>
  <si>
    <t>IRM-40189</t>
  </si>
  <si>
    <t>Tests related to older Features/PIs - ATH (Current PI28)</t>
  </si>
  <si>
    <t>IRM-40609</t>
  </si>
  <si>
    <t>Tests maintenance, repairs and regression testing - OLY (Current PI28)</t>
  </si>
  <si>
    <t>IRM-40610</t>
  </si>
  <si>
    <t>Tests related to older Features/PIs - OLY (Current PI28)</t>
  </si>
  <si>
    <t>IRM-41111</t>
  </si>
  <si>
    <t>Ceremonies and Trainings - Baldur - (Current PI28)</t>
  </si>
  <si>
    <t>IRM-41112</t>
  </si>
  <si>
    <t>Ceremonies and Trainings - Loki - (Current PI28)</t>
  </si>
  <si>
    <t>IRM-41113</t>
  </si>
  <si>
    <t>Ceremonies and Trainings - Helios - (Current PI28)</t>
  </si>
  <si>
    <t>IRM-41114</t>
  </si>
  <si>
    <t>Ceremonies and Trainings - Sif - (Current PI28)</t>
  </si>
  <si>
    <t>IRM-41115</t>
  </si>
  <si>
    <t>Ceremonies and Trainings - Spartans - (Current PI28)</t>
  </si>
  <si>
    <t>IRM-41117</t>
  </si>
  <si>
    <t>Ceremonies and Trainings - Eos - (Current PI28)</t>
  </si>
  <si>
    <t>IRM-41118</t>
  </si>
  <si>
    <t>Ceremonies and Trainings - Athena - (Current PI28)</t>
  </si>
  <si>
    <t>IRM-41119</t>
  </si>
  <si>
    <t>Ceremonies and Trainings - Daedalus - (Current PI28)</t>
  </si>
  <si>
    <t>IRM-41120</t>
  </si>
  <si>
    <t>Ceremonies and Trainings - Arc - (Current PI28)</t>
  </si>
  <si>
    <t>IRM-41325</t>
  </si>
  <si>
    <t>Ceremonies and Trainings - Atlas - (Current PI28)</t>
  </si>
  <si>
    <t>IRM-41326</t>
  </si>
  <si>
    <t>Tests maintenance, repairs and regression testing - ATL (Current PI28)</t>
  </si>
  <si>
    <t>IRM-41327</t>
  </si>
  <si>
    <t>Tests related to older Features/PIs - ATL (Current PI28)</t>
  </si>
  <si>
    <t>IRM-41331</t>
  </si>
  <si>
    <t>Bugs related to older Features/PIs - ATL (Current PI28) - Preventive Maintenance</t>
  </si>
  <si>
    <t>IRM-41464</t>
  </si>
  <si>
    <t>Bugs related to older Features/PIs - Loki (Current PI28) - Preventive Maintenance</t>
  </si>
  <si>
    <t>IRM-41554</t>
  </si>
  <si>
    <t xml:space="preserve">PIT -  Support saving a declaration form in ISS where calculated tax is displayed prior submitting </t>
  </si>
  <si>
    <t xml:space="preserve">Representations : (A) Enhancements, configurability and permissions in Agreements (2ways,multilevels)  /RM &amp; SS  </t>
  </si>
  <si>
    <t xml:space="preserve">Representations : Form Types and Access to Apis  as Services / Reference implementation </t>
  </si>
  <si>
    <t xml:space="preserve">UX and other enhancements: Interaction friction - Personal Calendar View or Edit buttons distinction. </t>
  </si>
  <si>
    <t>TBD</t>
  </si>
  <si>
    <t>Issue Type</t>
  </si>
  <si>
    <t>Feature</t>
  </si>
  <si>
    <t>As an admin, I want to define what services are provided on the portal (e.g. view account overview, view obligation overview, view CIT return, file CIT return, pay an obligation, or file an objection) and what portal resources (e.g. menu item, input form, page or action) and permissible operations are required for each of these services, so that a portal user can easily grant sub-users and/or representative users access to these services for the parties in specific roles to which this portal user has been linked or has been granted access to._x000D_
_x000D_
 _x000D_
_x000D_
Specifically, it should include the security solution for submitting forms and making payments which were descoped from part 1 feature. Any other item required according to architecture decisions should be considered here._x000D_
_x000D_
When this is implemented the self service application should not user any pass through endponts towards the backend system _x000D_
_x000D_
 _x000D_
_x000D_
Check linked stories for relevant work in this feature</t>
  </si>
  <si>
    <t>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
_x000D_
Enabler includes effort for UI/UX Accessibility Audit activities.</t>
  </si>
  <si>
    <t> As an admin I can define a rule to generate reference ID in a relevant field for incoming and outgoing documents in the system in order to comply with legal requirements part that refers to the Identification of the document. _x000D_
_x000D_
 _x000D_
_x000D_
*Introduction* **_x000D_
_x000D_
Using functionality as defined by the solution of [https://jira.intrasoft-intl.com/browse/IRM-435]    **    ,  we may define the Document using a specific format. _x000D_
_x000D_
 _x000D_
_x000D_
*Functional Requirements*_x000D_
 * Configurator, should be able to define the name of the file to be visible_x000D_
 ** Option A : Configurator generated a file name according their needs, when generating a document (e.g. Operational report or export of form as in related psd). _x000D_
 ** Option B : If product may not allow configurators to define the file name themselves then  a "Alternative Name" filed is available for documents incoming or outgoing,_x000D_
 *** _x000D_
 **** Field  can be visible in relevant pages/related lists_x000D_
 **** Field in visible in Attachments related section next to file Name column_x000D_
 **** I can search documents by this field. _x000D_
 **** The field in logged in audit log._x000D_
 **** Customers may define the  "Alternative Name", that  will construct and  _x000D_
 (relevant IRM-435 ) _x000D_
 ** Special care on performance and error handling of the generation should be taken into consideration. _x000D_
_x000D_
 * -Example / Base rule to format the Reference ID  :  **-  _x000D_
  -a) Primary related entity type from which was generated, description  (e.g. Form)-_x000D_
  -b)-  {-}Seperator "{-}"-_x000D_
 -c) Related party role primary Identifier-_x000D_
 -d)- {-}Seperator "{-}"-_x000D_
  -e)  YYYTMMDDHH (Year 4 digits + Month 3 digits+ Day 2 digits + HH+MM+SS)-_x000D_
  {-}d)  Seperator "{-}"- _x000D_
  -e) String that will be "IN" for Inbound documents,  "OUT" for Outbound documents, "SYS" for System generated documents-_x000D_
_x000D_
 _x000D_
_x000D_
*Documentation*_x000D_
Document all the above adjustments. _x000D_
_x000D_
 _x000D_
_x000D_
*Non functional requirements*_x000D_
Performance , Security, Accessibility, Usability _x000D_
_x000D_
DODs should be fulfilled. _x000D_
_x000D_
 _x000D_
_x000D_
 _x000D_
_x000D_
 _x000D_
_x000D_
 _x000D_
----_x000D_
-More details on Legal requirements for Documents :- _x000D_
 -LT:- _x000D_
|-Every document, whether incoming or system-generated (e.g. forms, letters), must receive a unique registration number.-_x000D_
-Forms are documents, so forms submitted by users must also have metadata as below:.-|_x000D_
||-Field-||-Description-||_x000D_
|-*Document Name*-|-Human-readable title-|_x000D_
|-*Creator / Author*-|-User or system module creating the document-|_x000D_
|-*Sender / Receiver*-| * -For sent docs: add recipient.-_x000D_
 * -For received docs: record sender, their reg. number, original date/title.-|_x000D_
|-*Date*-|-Created and registered timestamps, YYYY-MM-DD-|_x000D_
|-*Registration Number*-|-MAP automatically assigns a unique document registration number with a prefix and yearly resetting counter (e.g., 2025-IN-0001, 2025-OUT-0002).-|_x000D_
|-*Original Document Ref.*-|-Links to the original document (e.g. response to request)-|_x000D_
_x000D_
-Depending on the document type{*},{*} additional metadata fields may be required (e.g., contact email, case ID, type of correspondence).|-</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</si>
  <si>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!image-2026-03-18-18-22-50-346.png!</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</si>
  <si>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!image-2026-03-18-18-23-42-158.png!_x000D_
_x000D_
Plus, UI Improvements based on this presentation [https://netcompany-my.sharepoint.com/:p:/r/personal/kspontou_netcompany_com/_layouts/15/Doc.aspx?sourcedoc=%7B8B5942CC-A77D-4DCC-BE94-6E161D8A514C%7D&amp;file=SOLON%20UI.pptx&amp;action=edit&amp;mobileredirect=true]</t>
  </si>
  <si>
    <t>As a revenue authority admin , I need to have the ability to extend the data schema of Financial transaction types , as commonly provided in the application by a data Area field. There are several details need to be added that cannot be supported by product. _x000D_
_x000D_
*Functional Requirement*_x000D_
 - Need to be able to add custom information in Financial transaction type_x000D_
_x000D_
Examples:  Text field, "External Code" , visible in new section. To be added in "Main information" section. _x000D_
_x000D_
Notes: _x000D_
 - Add optional column data_area to _x000D_
 - Update APIs to support new dataArea field _x000D_
 - Add CustomValidationService _x000D_
 - General User data characteristics details [https://jira.intrasoft-intl.com/browse/IRM-29295]</t>
  </si>
  <si>
    <t>As a user I need to see the timestamp and the origin of the records that I see or search for in Code lists, parties, addresses. _x000D_
The records were initially created in  IRM-27267  , IRM-29175  ,  IRM-27394 _x000D_
_x000D_
*Functional requirements*_x000D_
_x000D_
*A.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*Parties* _x000D_
Source field  is filled using  global CL list created. The default value may be defined by the customers._x000D_
 # Source field for manually created records_x000D_
Field is filled in by a Manual /Current system value in global CL list created. _x000D_
The default value may be changed by the customers when configuring. _x000D_
_x000D_
 </t>
  </si>
  <si>
    <t>As an IRM Admin, I should be able to configure workflows, that enforce four-eyes approval within business processes, ensuring that one user initiates an action and a different user validates and approves it before completion._x000D_
_x000D_
*Introduction* _x000D_
_x000D_
This feature is a result of PSD-12702 for UBM project, however it is anticipated that all implementations may use this functionality to cover different business cases. As it is described in the related PSD: _x000D_
_x000D_
At present, SOLON does not support double attestation (four eye principle) out of the box in human case management, which conflicts with the following requirement specified in SKV's contract (applicable to UBM as well):_x000D_
_x000D_
 _x000D_
|​3.2.2.2.1.16|​Functional|​Case Management|​In the software, it shall be possible to configure the actions that require verification (double attestation) by two different case workers during manual handling, including at least:_x000D_
 - Manual registration of debiting/crediting_x000D_
 - Manual modification of a transaction on a tax account_x000D_
 - Manual administration of Swedish and foreign disbursement accounts_x000D_
 - Manual registration and modification of a disbursement block​|​LKVFM-2.9.306|_x000D_
_x000D_
 _x000D_
_x000D_
UBM need the possibility to employ double attestation on human tasks, such that a change affected by the completion of the case is verified by at least 2 distinct case workers. This is for example needed for imposing sanctions on either individual people, credit institutions, or countries, where one case worker would create the case, and another one would validate the right target is being sanctioned, approve the case, turn it back to the initiator, who could then complete the task and thereby enforce the sanction. A rejection should naturally not enforce anything, but require a change in the human task from the initiator, or closing of the case altogether. _x000D_
_x000D_
Dependent user stories for sanctions are attached as a PNG. They are not yet created as User Stories in toolkit. Furthermore manual registration of payment methods (e.g. for international bank accounts) require double attestation. It is expected that more functional cases that require double attestation will appear. As such, a generic approach to employing double attestation on a human task flow is needed._x000D_
_x000D_
A workaround is being worked on that could support double attestation, but is a process that requires a lot of manual setup (see attachment). If SOLON had the capability of staging a change for entities in a human task (without persisting it), waiting for either approval or rejection, the requirements for double attestation would be a simpler task to support. _x000D_
_x000D_
*Functional Requirements*_x000D_
_x000D_
&gt; An admin must be able to create, edit, and delete workflow templates for different business processes_x000D_
_x000D_
&gt; An admin must be able to configure the states (e.g., {_}Pending → Submitted → Approved → Completed{_}) and transitions between them. _x000D_
_x000D_
&gt; An admin must be able to define one or more approval steps within a workflow. _x000D_
_x000D_
&gt; An admin must be able to assign which roles (e.g., Maker, Checker) can perform each workflow step. _x000D_
_x000D_
&gt; An admin must be able to enforce that the same user cannot perform both maker and checker roles in the same workflow instance. _x000D_
_x000D_
&gt; An admin must be able to define rules for assigning checkers (e.g., based on transaction type, workers profile, business unit, availability)._x000D_
_x000D_
&gt; An admin must be able to configure whether one or multiple checkers are required before an item moves forward. _x000D_
_x000D_
&gt; An admin must be able to set conditions (e.g., value thresholds, registration characteristics) that trigger additional approval steps. _x000D_
_x000D_
&gt; An admin must be able to configure escalation paths if approvals are delayed beyond a defined time. _x000D_
_x000D_
&gt; An admin must be able to configure which users(roles) receive notifications when an action is required._x000D_
_x000D_
&gt; An admin must be able to set reminder frequencies and escalation notifications. _x000D_
_x000D_
&gt; An admin must be able to configure who can view pending, approved, or rejected workflow items. _x000D_
_x000D_
&gt; An admin must be able to monitor the status of workflow instances (pending, approved, rejected, completed)._x000D_
_x000D_
&gt; An admin must be able to ensure all workflow actions are logged with user ID, timestamp, and action type. _x000D_
_x000D_
&gt; An admin must be able to generate reports on workflow performance (e.g., approval times, bottlenecks, compliance with four-eyes). _x000D_
_x000D_
&gt; An admin must be able to define workflow steps once and reuse them across different business processes. _x000D_
_x000D_
&gt; An admin must be able to configure workflows without coding, using parameters (roles, thresholds, states). _x000D_
_x000D_
&gt; An admin _must be able to maintain multiple versions of a workflow template and activate/deactivate them as needed.__x000D_
_x000D_
 </t>
  </si>
  <si>
    <t>Solon Tax needs to provide additional logging capabilities covering the following areas:_x000D_
_x000D_
 _x000D_
_x000D_
DB queries:_x000D_
 * Log prepared statements before execution_x000D_
 * Log row query result (only in debug mode)_x000D_
_x000D_
Business logic_x000D_
 * Create aspect for logging Service layer execution._x000D_
_x000D_
Masked data:_x000D_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
_x000D_
 </t>
  </si>
  <si>
    <t>As an admin or delivery team member, I need to be able to generate Operational Reports setting specific parameters (as per existing reports design)  and automatically schedule its distribution to a list of recipients._x000D_
_x000D_
*Introduction* _x000D_
_x000D_
As per [https://jira.intrasoft-intl.com/browse/PSD-12025] , and https://jira.intrasoft-intl.com/browse/IRM-28177  we will need to define as base the scheduled operational reports process. _x000D_
_x000D_
+References:+_x000D_
It is assumed that in Batch applications there is already available the way for admin to flexibly define parameters per batch process. [https://jira.intrasoft-intl.com/browse/IRM-26543]  _x000D_
Operational reports:  [https://jira.intrasoft-intl.com/browse/IRM-27576] _x000D_
Scheduled Process :  [https://jira.intrasoft-intl.com/browse/IRM-13558] , Scheduled Process Category:  OPERATIONAL_REPORT_x000D_
Process as Base (in product) : https://jira.intrasoft-intl.com/browse/IRM-28177 _x000D_
_x000D_
Implementation many be based on https://jira.intrasoft-intl.com/browse/IRM-26951 , https://jira.intrasoft-intl.com/browse/IRM-766 _x000D_
_x000D_
+New requirements:+ _x000D_
A list of recipients may be selected. _x000D_
_x000D_
 _x000D_
_x000D_
*Functional requirement*_x000D_
 * Batch process requires as additional  parameters_x000D_
 ** A party or Optionally : the recipients list as another parameter (e.g.  in a csv file)  _x000D_
 ** User can select a list as per https://jira.intrasoft-intl.com/browse/IRM-766 _x000D_
 * Report will be sent as email to all recipients listed. _x000D_
_x000D_
_x000D_
 </t>
  </si>
  <si>
    <t>As an admin I need to reassure that permissions of some of the system records are assigned hierarchical. _x000D_
_x000D_
In system Organizational Hierarchy will be implemented via Organizational Units, where a permission level role is assigned. _x000D_
_x000D_
The row level security will initially define the restrictions on records visibility. The hierarchical permissions will now grant permissions when restricted by row level. _x000D_
_x000D_
*Introduction*_x000D_
_x000D_
The hierarchy is expected to be implemented introducing in higher levels leaders that to get leader permissions should be flagged as "Task Assigner " (It is permitted to add members but permissions should  be defined) _x000D_
Higher levels may have visibility permissions to records of the defined types  of the lower records of the same branch. Will not have access to the other branched unless records are publicly visible. _x000D_
_x000D_
Note that some of the below permissions, can be achieved by OPA rules in row level security.  _x000D_
!image-2025-10-09-19-58-53-208.png|width=292,height=349!_x000D_
_x000D_
 _x000D_
_x000D_
 _x000D_
_x000D_
*Functional Requirements*_x000D_
_x000D_
While adding users under Organization units,  the permissions managed in hierarchy level should be defined. _x000D_
 * *Entity/Record types  to be affected Hierarchically by Org Units :*_x000D_
 ** Time off requests : Permissions on CRUD, Assignments, Approvals based on user's Organization for Time Off requests_x000D_
 ** Human Task (Assignments ):  Permission to Assign _x000D_
 ** Cases (Assignments ):  Permission to Assign _x000D_
 ** Users (Visibility)  : visibility of details _x000D_
 ** Resource Calendars : Permissions to see assigned calendar details _x000D_
_x000D_
 * *Default Visibility &amp; Ownerships*_x000D_
Owner/Mine  : I am assigner or the user that represents this record_x000D_
Manager: I am in higher hierarchy "IS HEAD"_x000D_
 ** The above users (owner, manager) gain by default read access to records._x000D_
 ** i.e. per entity: _x000D_
Human Tasks, Cases :  a) Assigned to Human task or b) if unassigned , eligible user or manager of eligible user_x000D_
User : User + Manager_x000D_
Resource Calendars : Assigned user  + Manager_x000D_
Time off requests : Requestor /User  + Manager_x000D_
 ** The users not assigned to any category does not have visibility to records. _x000D_
_x000D_
 * *Sharing Assignments Permissions per Hierarchy levels per Organizational Level* **_x000D_
 ** Lower level same branch -&gt; permissions  for the users assigned below in hierarchy_x000D_
 ** Same level same branch  -&gt; permissions  for the users assigned in same level of hierarchy_x000D_
 ** Higher level same branch or top level -&gt; permissions  for the users assigned higher in hierarchy_x000D_
 ** Same level Different branch_x000D_
 ** Higher level Different branch or top level_x000D_
 ** Lower level Different branch _x000D_
 ** Mine - see above_x000D_
 ** Admin : a special permission to see and modify all_x000D_
 ** Permissions may be combined if user is assigned to several org units _x000D_
 * *Permissions* _x000D_
 ** *Read* Entity type records , Select Record type (e.g. Time Off requests)  /  *DEFAULT PERMISSIONS when IS HEAD*_x000D_
 ** *Assign* Entity type records , Select Record type (e.g. Time Off requests)_x000D_
 ** *Approve* Entity type records , Select Record type (e.g. Time Off requests)_x000D_
 ** *Edit* Entity type records , Select Record type (e.g. Time Off requests)_x000D_
 ** *Cancel* Entity type records , Select Record type (e.g. Time Off requests)_x000D_
 ** *Delegate Tasks* Entity type records , Select Record type (e.g. Time Off requests)_x000D_
_x000D_
 _x000D_
_x000D_
*Examples :* _x000D_
_x000D_
if the categories are like that and should be combined in a matrix_x000D_
|*Hierarchy level Permissions Editability* _x000D_
*(in Organizational units)*|*Define related entity*| |_x000D_
|Read  per Entity type records|Select Record type (e.g. Time Off requests)  / DEFAULT PERMISSIONS if IS HEAD| |_x000D_
|Assign  per Entity type records|Select Record type (e.g. Time Off requests , Human Tasks and Cases Assignments)| |_x000D_
|Approve  per Entity type records|Select Record type (e.g. Time Off requests)| |_x000D_
|Edit  per Entity type records|Select Record type (e.g. Time Off requests)| |_x000D_
|Cancel  per Entity type records|Select Record type (e.g. Time Off requests)| |_x000D_
|Delegate Tasks per Entity type records|Select Record type (e.g. Time Off requests)| |_x000D_
| | | |_x000D_
| | | |_x000D_
|*Task Assign allowed level*|*Hierarchy sharing Task Assignment Permission (in Organizational units)*|{*}Only if head?{*}{*}{{*}}|_x000D_
|Lower level same branch_x000D_
i.e., permissions  for the users assigned below in hierarchy|Select Record type  "Task Assign" or "Time off requests"|&lt;define&gt;|_x000D_
|Same level same branch_x000D_
i.e., permissions  for the users assigned in same level of hierarchy|Select Record type "Task Assign" or "Time off requests"| |_x000D_
|Higher level same branch (one above plus is head = my manager)  or top level_x000D_
i.e., permissions  for the users assigned higher in hierarchy|Select Record type "Task Assign" or "Time off requests"|&lt;define&gt;|_x000D_
|Same level Different branch|Select Record type "Task Assign" or "Time off requests"| |_x000D_
|Higher level Different branch or top level|Select Record type "Task Assign" or "Time off requests"|&lt;define&gt;|_x000D_
|Lower level Different branch |Select Record type "Task Assign" or "Time off requests"|&lt;define&gt;|_x000D_
|Mine (i.e., I am the user ID or I am an assigned user - see above notes in feature) |Select Record type "Task Assign" or "Time off requests"| |_x000D_
|Admin  (can see all, modify all)|Select Record type "Task Assign" or "Time off requests"| |_x000D_
_x000D_
 _x000D_
_x000D_
i.e., we need to define were needed : _x000D_
 * _x000D_
 ** *Sharing Assignments Permissions per Hierarchy levels per Organizational Level :* _x000D_
 ***  "&lt;Task&gt; Assign" in Lower level same branch / *DEFAULT PERMISSIONS when IS HEAD*_x000D_
 ***  "&lt;Task&gt; Assign" in Same level same branch_x000D_
 ***  "&lt;Task&gt; Assign" only mine_x000D_
 *** ... _x000D_
 ** *Sharing Assignments Permissions per Hierarchy levels per Organizational Level  :* _x000D_
 ***  "Time off requests" in Lower level same branch / *DEFAULT PERMISSIONS when IS HEAD*_x000D_
 ***  "Time off requests" in Same level same branch _x000D_
 ***  "Time off requests" in Higher level same branch or top level_x000D_
 *** ... _x000D_
 ***  "Time off requests" only mine_x000D_
 ***  "Time off requests" Admin (can see all, modify all)_x000D_
_x000D_
 _x000D_
_x000D_
 _x000D_
_x000D_
*1)* If I need to be able a team to share *calendars* and basic details in same level only I need to _x000D_
 _x000D_
*Resource Calendar  :* _x000D_
||Level||Permission||_x000D_
|Same level same branch|Read |_x000D_
|Lower level same branch|Read |_x000D_
|Higher level same branch |Read |_x000D_
|Mine|Read |_x000D_
|Admin|All|_x000D_
_x000D_
 _x000D_
_x000D_
*User :*_x000D_
||Level||Permission||_x000D_
|Same level same branch|Read |_x000D_
|Lower level same branch|Read |_x000D_
|Higher level same branch |Read |_x000D_
|Mine|Read |_x000D_
|Admin|All|_x000D_
| | |_x000D_
_x000D_
*Time Off Requests :* _x000D_
||Level||Permission||_x000D_
|Same level same branch (same team)|Read |_x000D_
|Lower level same branch - Not head (team)|Read |_x000D_
|Lower level same branch  - IS HEAD (team)| Read|_x000D_
|Higher level same branch - more than one level above Not head|Read|_x000D_
|Higher level same branch - more than one level above is Head|Read|_x000D_
|Higher level same branch /One level above  - IS HEAD (My manager) |Approve|_x000D_
|Mine|Edit +  Cancel|_x000D_
|Admin|All|_x000D_
| | |_x000D_
_x000D_
 _x000D_
_x000D_
 _x000D_
_x000D_
*2)* *Task* Assignments _x000D_
 _x000D_
*Human Tasks* _x000D_
Same level same branch , Read _x000D_
Lower level same branch  , Read _x000D_
Higher level same branch  - (not head) , Read , Edit_x000D_
Higher level same branch  - IS HEAD -   Assign, Delegate, Edit_x000D_
Mine , Edit, Delegate_x000D_
Admin, * all _x000D_
_x000D_
 _x000D_
_x000D_
*Cases*_x000D_
Same level same branch , Read _x000D_
Lower level same branch  , Read _x000D_
Higher level same branch  - (not head) , Read , Edit_x000D_
Higher level same branch  - IS HEAD -   Assign, Delegate, Edit_x000D_
Mine , Edit, Delegate_x000D_
Admin, * all _x000D_
----_x000D_
 _x000D_
_x000D_
 _x000D_
_x000D_
 _x000D_
_x000D_
 </t>
  </si>
  <si>
    <t>As an administrator responsible for configuring the GL Decision Table (Accountant table), iI need to support the extensibility of the solution. _x000D_
I need to introduce additional parameters that control how GL accounts are split across multiple files or tables. This is required to support very high volumes of decision lines and complex business rules._x000D_
I need to allow custom adapters to be used on how rules are created and selected to generate journal entries. _x000D_
_x000D_
These parameters will allow the system to efficiently handle hundreds of special cases, reduce the size and complexity of individual GL decision tables, and improve maintainability by splitting configurations into multiple, logically grouped records. _x000D_
_x000D_
A realistic number of GL decision lines with the assumption that legacy GLs will be removed from time to time, is 200.000 lines_x000D_
_x000D_
 _x000D_
_x000D_
*Functional Requirements* _x000D_
_x000D_
_x000D_
+*1.* Some suggestions on how to support high volumes of rules:+ _x000D_
_x000D_
*A) GL Decision Line Volume Support*_x000D_
 * Decision rule sheets must support modern XLSX row limits (1,048,576+ rows), not legacy XLS limits (65,536 rows)._x000D_
 * The system should support the use of multiple decision lines per transaction (multi-lines), where applicable._x000D_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to read based on configured split rules._x000D_
One FT may require reading:_x000D_
_x000D_
A single sheet, or Multiple sheets, depending on customer-defined configuration._x000D_
Rule evaluation must be deterministic and transparent (traceable which sheets were evaluated)._x000D_
_x000D_
 _x000D_
_x000D_
*D)   Reference Implementation Split Strategies (Examples)*_x000D_
 * The system should support splitting GL decision tables based on configurable parameters, such as FT Origin, RTR relation with Claimants etc: _x000D_
 ** Segment type of Origin  of Financial transactions (ft_origin_cl) , splitting spreadsheets for Bill segments, Payment segments, Allocation Segments. _x000D_
One sheet for Segment type = Bill segment, one for Payment Segments, one Allocation Segments_x000D_
 ** If Claimant related (if the revenue type registration is related to a claimant) _x000D_
Use a dedicated spreadsheet containing claimant-specific GL mappings._x000D_
i.e., If a revenue type is related to a specific claimant, the system reads only the claimant-specific sheet._x000D_
 ** The revenue type, Domain_x000D_
Certification-related mappings in one sheet. _x000D_
All other revenue/tax types in separate sheets._x000D_
Additional Parameters as reference implementation in GL Decision Table [https://jira.intrasoft-intl.com/browse/IRM-37721] _x000D_
 ** Considerations : Customers may also add a rule, to read for every FT,  2 or more sheets,  as the rules sheet may split per Ledger.   (The system reads from two or more sheets per FT, e.g. one per Ledger.) _x000D_
Other cases may include parameters to split on segment type category/subcategory or revenue type details and some of these details may be also captured in data areas._x000D_
_x000D_
_x000D_
+2. Expandability+_x000D_
_x000D_
*E) Customers are able to use custom in process implementation*_x000D_
Be able to adjust a custom implementation in process to run in order  to create journal entries. Interface (as in allocation) to feed the results in Solon Journal entries_x000D_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</si>
  <si>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authority admin, I need to define how to apply row level security in Human Tasks following existing system logic, as I need to be able to define the visibility and other operations' permissions to the users. _x000D_
I need a reference implementation like the one described below: _x000D_
Row level should check the permissions based on the related items of human task and the relation on party roles or parties based on relationships already defined on the existing reference implementation.  If the related items are more that one,  then the prioritization to define the permissions are : _x000D_
Party _x000D_
Party Role_x000D_
Liability_x000D_
Form_x000D_
Case_x000D_
Payment Segment_x000D_
Bill Segment_x000D_
Overpayment process_x000D_
_x000D_
If no relations, human tasks are public- manages by human task types  allowed operations settings._x000D_
_x000D_
 _x000D_
_x000D_
*Functional Requirements*_x000D_
 - As an admin I can define row level security for human tasks based on _x000D_
a) their related items and define row level access based on these relayed items row level _x000D_
b) assigned users can have access to the tasks_x000D_
Allowed operation per type will support this function as in other entities in the system (e.g,  Contacts, attachments)_x000D_
_x000D_
 </t>
  </si>
  <si>
    <t>Integration with CMS_x000D_
_x000D_
i.e. : productize what LT did in a generic way (not drupal specific) </t>
  </si>
  <si>
    <t>*RM Home page  {color:#c1c7d0}_- not discussed with customers:_{color}* _x000D_
Home page may be customizable by user (or per groups) . Several widgets may be available and can be docked in the page as per user preferences. _x000D_
The home page acts as a central command center, letting a tax officer or user quickly see tasks, deadlines, notifications, and insights without navigating through multiple screens._x000D_
_x000D_
_Examples of widgets:_ _x000D_
 * _My Calendar, My team calendar, My Pending tasks, Overdue tasks,_ _Unassigned tasks, &lt;status&gt; tasks__x000D_
 * _Summary of pending approvals, or submissions.__x000D_
 * _Quick Search in Registry  (TBC due to complexity)_ _x000D_
 * _Quick search taxpayers__x000D_
 * _Create shortcuts / Quick links to usually used tabs/records/other links  (other apps, to taxpayers, cases, documents, easily access payplans, or form list page with predefine filter etc)_ _x000D_
 * _Notifications / Alerts /   (deadlines, system messages, process completions/errors... )__x000D_
_x000D_
 _x000D_
_x000D_
Complex in BE or not ready in BE or by examples _x000D_
 * _My Recent Items (Accessed records)_ _x000D_
 * _Announcements from the company (TBD) or Integration with other internal used messaging systems__x000D_
_x000D_
 * _Other  Dashboards and KPIs /reports and quick metrics  (e.g. Team allocation for managers,  returned payouts , collection rates, or workload by officer , new registration forms, total taxpayers managed, open cases, or recent filings.  )_ _x000D_
_x000D_
Prerequisites :_x000D_
I can see my calendar or my team calendar, quick search available , recent records accessed </t>
  </si>
  <si>
    <t>*Improve the search experience*_x000D_
 * _Remove apply buttons__x000D_
 * _Improve Search when  looking up other entities ( e.g. Bill segment -&gt; Obligation Action -&gt; Party Role , Search and then apply and then select ) This means a placeholder as search improvements are not yet listed. There are several in List pages and while we are creating records._ _x000D_
 * _Quick Global search  (Add the text and then search for all related records - results per entity)__x000D_
 * _Recent items  (which records I recently accessed)_ _x000D_
 *  _Search in Party / Party Role page ALL relevant records for this taxpayer e.g. Obligations, OAs, Liabilities, Bill segments, Bills, Payments, Forms etc._ _x000D_
 * _(difficult) Search in all relevant entities per revenue type (BS/PS/AS, Forms  etc)_ </t>
  </si>
  <si>
    <t>*AFTER POC*  [https://jira.intrasoft-intl.com/browse/IRM-29268] _x000D_
_x000D_
{color:#ff8b00}*WIP  - Will be defined after POC* {color}_x000D_
----_x000D_
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</si>
  <si>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As a configurator, I can define in UI schemas whether to highlight required or optional fields in Solon Tax Revenue Management, so that I can provide flexibility to projects to use as needed._x000D_
_x000D_
*Introduction*_x000D_
_x000D_
This feature is the result of a request from LT Project, however similar request exists from GR project since Tax officers currently can see highlighted required fields.  _x000D_
_x000D_
*Functional Requirements*_x000D_
Enhance the UI configuration to support a visual indicator for specific fields. Example use case:_x000D_
 * Configurator may set the required items to be displayed with {color:#ff0000}*{color} ({color:#ff0000}red asterisk{color})._x000D_
 * Optional items displayed in normal text. No (Optional) label needed next to each field. _x000D_
 * Styling approach could be configurable to support different use cases (e.g., icons, color)._x000D_
 * This change should be generic so it can be reused across forms and modules. _x000D_
 * Existing functionality should be maintained as an option for *projects .* I.e., highlight Optional with text next to the fields. _x000D_
_x000D_
_x000D_
_x000D_
_x000D_
_x000D_
*Notes:* _x000D_
Requirement from AADE_x000D_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t>
  </si>
  <si>
    <t>W{-}e need the following improvements in self service:{-}_x000D_
 * -Ability to call backend apis as operations in a generic way-_x000D_
 * -Ability to call operations that create entities other than forms-_x000D_
 * -Call services without token validation This is handled by different Feature IRM-30785-_x000D_
_x000D_
 * {*}RM &amp;SS , Call proxy service{*}s_x000D_
 ** Call proxy services from SS to RM or to 3rd parties (validation from RM or from 3rd parties details in SS) _x000D_
 ** Call proxy services from RM or to 3rd parties (validation from SS or from 3rd parties details in RM) _x000D_
(e.g. ask validations and input from external systems during forms creation, calls on behalf)</t>
  </si>
  <si>
    <t>As a configurator I need to be able to bypass using a custom solution the GL decision table mechanism. _x000D_
_x000D_
*Description* _x000D_
Notes from PSD: _x000D_
_x000D_
 _" Currently, the GL account decision logic is tightly integrated into the core Solon Tax product. This creates a constraint for projects with non-standard or complex GL posting requirements that cannot be satisfied by the default Drools-based decision mechanism.__x000D_
 _-&gt; Enable configurators to override the GL decision table mechanism with a custom adapter/application without modifying core product code.__x000D_
_-&gt; Projects need the ability to bypass the standard "getGLAccountCodeDecisions" mechanism and substitute it with their own custom implementation (adapter/application), similar to how the Allocation custom application works today.__x000D_
_"__x000D_
_x000D_
*Functional Requirements*_x000D_
 * Be able to bypass the "getGLAccontCodeDecisions" overriding it by a custom application/adapter._x000D_
 ** Move GL decision Code to Custom BE  as it is now the Allocation custom application._x000D_
 ** Important Note : The GL decision drools supported at that time by product  should be default in installation of the Solon. This will be the default unless projects need to configure it otherwise. _x000D_
_x000D_
------------------------------------------------------------------------------------_x000D_
_x000D_
*Documentation*_x000D_
_x000D_
Please document all updates and implications on this. _x000D_
Of related dtos change we need to report them as breaking changes. 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</si>
  <si>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Depends on [https://jira.intrasoft-intl.com/browse/IRM-20322] _x000D_
_x000D_
 _x000D_
_x000D_
*Out of scope :* _x000D_
Archive db_x000D_
Define classifications for financial details and relevant datasets (see [https://jira.intrasoft-intl.com/browse/IRM-23836] )_x000D_
_x000D_
 _x000D_
_x000D_
+Clarifications:+_x000D_
classify fields  : as discussed  we mean restrict access to records based on record type and defined classification levels _x000D_
_x000D_
+Expected Behaviors to be available :+ _x000D_
+Visibility:+ _x000D_
Field masking, e.g. Name = *****_x000D_
Record hidden , e.g. record not returned_x000D_
+Search+_x000D_
Record hidden, e.g., No results returned, Result excluded completely_x000D_
Field masking,  e.g., Result returned but masked_x000D_
+Logs+_x000D_
Logs should be immutable. Information may be masked. _x000D_
 _x000D_
_x000D_
*Functional Requirements*_x000D_
_x000D_
*For Party , Party Roles, Attachments:*  _x000D_
 * Admin can restrict access to sensitive personal data based on classification level and group of users (e.g. using user access groups)._x000D_
The classification levels are defined in  [https://jira.intrasoft-intl.com/browse/IRM-20322] _x000D_
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__ It is expected that the visibility of the classified details may be configured by configurators as : masked or non visible. (see also ILs)_x000D_
_x000D_
 * Admin should be able to remove (masking or removing record visibility)  access of records based on classification levels, from data areas of Party,  party role, Attachments_x000D_
_x000D_
+Examples:+ _x000D_
An Admin can successfully configure a User Access Group to have "Read" access to "Personal Data" but be denied "Read" access to "Sensitive Personal Data"._x000D_
When a user from that group views a list of parties, parties with only "Personal Data" are visible, while parties with "Sensitive Personal Data" are either hidden or have their sensitive fields masked, as configured._x000D_
When the same user performs a search, the results correctly exclude or mask records containing "Sensitive Personal Data"._x000D_
_x000D_
*{color:#172b4d}Identification Labels{color}*_x000D_
 * {color:#172b4d}Identification labels should be displayed according the relevant classifications restrictions. _x000D_
E.g. : If the identifier used in IL (i.e. the primary) is sensitive and not visible by user  (John Takis, Tax Identification Number: 123456789) _x000D_
a) if the mode is to mask sensitive detail -&gt; IL appears with stars instead of identifier. (John Takis, Tax Identification Number: ********** )_x000D_
b) if the mode is that the data should not appear in the results -&gt; IL appears  with empty details  (John Takis, Tax Identification Number:  ){color}{color:#172b4d}Similarly in other ILs related with classified data. {color}_x000D_
_x000D_
{color:#172b4d}*Message store*{color}_x000D_
 * {color:#172b4d}Admin should be able to remove (masking or removing record visibility)  access of records based on classification levels, from Message store. Permission set as per above mentioned list (view, search ,etc.).{color}_x000D_
_x000D_
*{color:#172b4d}Operational Reports{color}*_x000D_
 * {color:#172b4d}Visibility of records in Operational reports are restricted (masking or removing record visibility) based on above mentioned classification levels and permissions. {color}_x000D_
_x000D_
*{color:#172b4d}Other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permissions._x000D_
*Examples :  {color}_x000D_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_x000D_
_x000D_
*Governance* _x000D_
The permissions will be defined by admin as described In [https://jira.intrasoft-intl.com/browse/IRM-39113]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_x000D_
----_x000D_
Notes: _x000D_
_x000D_
!image-2025-06-17-07-42-29-150.png|width=761,height=434!</t>
  </si>
  <si>
    <t>Design specifics</t>
  </si>
  <si>
    <t>Improve Table with extra messages to cover 'No results' or 'Cannot apply search due to restrictions. Select more filters'</t>
  </si>
  <si>
    <t>Finding from Penetration tests -&gt; [https://dojopro.devsecop/finding/78124] (AOs have access in Defect Dojo)_x000D_
 # Go through the APIs and DTOs_x000D_
 # Analyze the input parameters_x000D_
 # Add relevant regular expressions for allowing certain input and avoid attacks, such as injections_x000D_
 # Pay special attention to fields of Codes (i.e. Note Type Code, Party Type Code, etc.) which can be links with redirects (already addressed by IRM-29547)_x000D_
_x000D_
 _x000D_
_x000D_
 </t>
  </si>
  <si>
    <t>Implement top, bottom search panel as per Figma design._x000D_
Implement new title and Add button position</t>
  </si>
  <si>
    <t xml:space="preserve">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
When this type has been configured, the filters are shown on top of the table and so the original search button ( !screenshot-1.png|thumbnail! ) should not exist._x000D_
_x000D_
2. Add expand all / Collapse all buttons to the top level panel. The buttons should expand all cards simultaneously or collapse them all.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</si>
  <si>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This affects the following: _x000D_
_x000D_
*authorization-management MS*_x000D_
    c_object_access_group_included_entity_x000D_
    c_role_securable_object _x000D_
    c_role_user _x000D_
    c_skill_user_x000D_
    c_user_access_group_user  _x000D_
_x000D_
 _x000D_
_x000D_
*Functional Requirements*_x000D_
1) I can display all Audit log of the related items under the live record of parent items for the areas: _x000D_
 * Authorization management    (Under securable objects)_x000D_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</si>
  <si>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
_x000D_
Requirements: _x000D_
 * Implement a caching layer in the Reference data microservice._x000D_
 * Eliminate redundant DB queries for static datasets._x000D_
 * Cache should persist unless a "data changed" event or manual refresh is triggered._x000D_
_x000D_
 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</si>
  <si>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authority users and SS users, I need to be able to validate digital signatures of documents that I am attaching in entities in system (e.g. form) _x000D_
_x000D_
*Out of scope  :* _x000D_
The maintenance of trusted lists are part of the configurator resposibilities_x000D_
_x000D_
 _x000D_
_x000D_
*Functional requirements*_x000D_
 *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signed._x000D_
 * A visual sign is displayed when document is verified._x000D_
_x000D_
Reference implementation : _x000D_
 * While working with a form in SS and in RM  user may upload document and check to verify signature._x000D_
upload a document,  try to verify the document's digital signature , trusted lists , check checksum in the body ) _x000D_
_x000D_
 _x000D_
_x000D_
*Notes:* _x000D_
Need list of trusted providers and then check checksum in the body_x000D_
_x000D_
 </t>
  </si>
  <si>
    <t>Document attached (TBC) includes the templated view of what Netcompany provides as a baseline documentation of what the programming guidelines should include for every product curated for Solon tax. This Enabler below should generate the curated Solon version of the template IRM-27729 ._x000D_
_x000D_
 End goal is to produce a new document including additional information specific to Solon._x000D_
_x000D_
Raw version of the curated document can be found here:  https://goto.netcompany.com/cases/GTE2768/GREPDSOLON/DocumentLibrary/00%20-%20NC%20Methodology%20for%20SOLON/01%20-%20Documents%20Preparation/DD160%20Programming%20guidelines/DD160%20-%20Programming%20Guidelines%20-%20Java%20shared%20latest.docx</t>
  </si>
  <si>
    <t>As an ICARUS team member and/or user, I want the application to have a good performance, so that I can do my work without hassle and the system be able to process the actions of all users.</t>
  </si>
  <si>
    <t>Goal of this enabler is to encapsulate all actions, tasks and stories to enforce the application of the below CI guidelines:_x000D_
 # Sonar rules_x000D_
 # Automatic code lint/format rules_x000D_
 # ArchUnit tests_x000D_
 # Add configurable code intercepts to e.g. flag excessive IO within a single transaction.</t>
  </si>
  <si>
    <t>As an admin, I want to restrict access to sensitive personal data types in logs that are visible by users, so that only users that have a legitimate reason to access this data are granted access and unauthorized access to this data is prevented._x000D_
_x000D_
 _x000D_
_x000D_
*Functional Requirements*_x000D_
_x000D_
 _x000D_
 * {color:#172b4d}Admin should be able to remove (masking or removing record visibility)  access of records based on classification levels, from logs: {color}_x000D_
 ** {color:#172b4d}Security (if non the debug level) {color}_x000D_
 ** {color:#172b4d}Audit, {color}_x000D_
 ** {color:#172b4d}Access logs_x000D_
_x000D_
{color}{color:#172b4d}Exceptions{color}_x000D_
 ** {color:#172b4d}As per analysis of IRM-29512 - Audit logging/Access log Holistic approach,  on details collected of A document _x000D_
"Major    The enrichment of log data (REQ-003) and extensibility (REQ-004) directly address security requirements. However, this introduces a major risk of logging sensitive data that requires the delivery teams to carefully analyze and implement custom logging elements." _x000D_
Audit log sensitive data should be managed. {color}_x000D_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</si>
  <si>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revenue authority admin I need to be able to define the permissions per classification level per user access groups, as I need to govern the functionality of [https://jira.intrasoft-intl.com/browse/IRM-20329] _x000D_
_x000D_
 _x000D_
_x000D_
*Functional Requirements*_x000D_
_x000D_
 _x000D_
 * {color:#172b4d}Define Classification permissions per user User Access Group_x000D_
Admin may define per user access group and classification level (Sensitive, Personal , etc.) the permission levels{color}_x000D_
 * {color:#172b4d}Example: {color}_x000D_
||User Access Group||Classification Level||Permissions|| Mode ||_x000D_
|RegistryOfficers|Sensitive|Read, Search, Update| Masked|_x000D_
|IT|Personal|None|non visible|_x000D_
|Admin|Sensitive|ALL| |_x000D_
_x000D_
 * UI should be available in RM for admin to define these permissions.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</si>
  <si>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revenue authority officer I need to be able to export list of GL Accounts with filters as selected in GL Accounts list view. _x000D_
(Export similar to  [https://jira.intrasoft-intl.com/browse/IRM-29306] )_x000D_
_x000D_
 _x000D_
_x000D_
*Functional Rquirements*_x000D_
 - In  GL Accounts List Page, user is able to filter GL accounts , and then easily click to export the list in excel file. _x000D_
Same mechanism is now used in Parties list page_x000D_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</si>
  <si>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
_x000D_
*Introduction*_x000D_
_x000D_
This feature describes the functional business requirements for a new single taxpayer overview page within Solon Tax, named the "Tax Account Overview".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
_x000D_
The purpose of this page is to provide a consolidated view of all Financial Transactions (FTs) associated with a specific reconciliation period for a taxpayer's Tax Account._x000D_
_x000D_
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
_x000D_
As a reference countries that "Tax Account" is most prevalent in Europe, particularly in Scandinavia and the Nordics, which are global leaders in e-government. _x000D_
_x000D_
Currently implementation exists for the "Single Taxpayer Overview" pages, often refered to as 360 View, where a "Taxpayer Financial Overview" exists and can be used as reference. Particularly the last accordion of this page referred as " Financial Details per Financial Transaction". This is a page where all financial transactions for all revenue types are displayed and not only Tax Account that is the scope of this feature. _x000D_
_x000D_
*Functional Requirements*_x000D_
h4. Navigation_x000D_
_x000D_
A new redirect link shall be introduced on the *Revenue Type Registration (RTR)* page._x000D_
 * This link shall only be visible for RTRs that are configured as a "Tax Account" (i.e., where the {{isTaxAccount}} flag on the associated Revenue Type is true)._x000D_
 * The link will navigate the user to the new "Tax Account Overview" page, passing the context of the current RTR and the selected reconciliation period._x000D_
 * Assumption is that the existing link from the party role will continue to function as is with the additional view in scope of this feature for the Tax Account. _x000D_
_x000D_
h4. Page Content and Layout_x000D_
_x000D_
The "Tax Account Overview" page will contain the following elements:_x000D_
 * *Filters:* User should be able to filter the following information:_x000D_
_x000D_
 * _x000D_
 ** Reconciliation Period Filter_x000D_
 ** From: 01/01/2026 _x000D_
 ** To: 31/01/2026 or To: 31/03/2026, meaning more than one reconciliation periods can be selected. _x000D_
_x000D_
 _x000D_
 * *"Update P&amp;I" Button:* User should be able to see and select the "Update P&amp;I" button where he/she can enter the "RECALCULATEFROMDATE" to run Penalty &amp; Interest. _x000D_
_x000D_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
_x000D_
Opening Balance of a period should be equal to the closing balance of the previous period. Opening balance should be the running balance of all financial transactions prior to date from selected in the filters. _x000D_
_x000D_
Closing Balance of a period is the running balance and should be equal to the Opening of that period plus any financial transaction related to that period such as debts, payments (both allocated and unallocated), interests, write offs, refunds... _x000D_
_x000D_
Available Columns (data) for FTs should be:  _x000D_
 * Creation Date_x000D_
 * Effective Date (eg. Period Reference - Period the debt/payment refers to)_x000D_
 * Accounting Date _x000D_
 * Origin _x000D_
 * FT ID_x000D_
 * Revenue Type _x000D_
 * FT Type _x000D_
 * Posting Reason_x000D_
 * Liability Balance _x000D_
 * Running Balance_x000D_
_x000D_
Please refer to the attached example_updated for a comprehensive view of the Tax Account Overview page._x000D_
h3. Assumptions &amp; Dependencies_x000D_
 * The Revenue Type entity has a configurable attribute to designate it as a "Tax Account."_x000D_
 * The Financial Transaction entity has an attribute ({{{}reconciliationPeriodCode{}}}) to link it to a specific Reconciliation Period._x000D_
_x000D_
*Key features highlighted in this view:*_x000D_
 * *Opening Balance:* The view starts with the "Opening Balance" showing the tax account's debt from before the selected period._x000D_
 * *Running Balance:* A column shows the balance after every single transaction, which is crucial for analysis._x000D_
 * *Detailed Descriptions:* Transactions are clearly labeled (e.g., "Payroll Tax Assessment," "Payment Received")._x000D_
 * *Period Reference:* A column links a transaction back to the original tax period it relates to (e.g., Q4-2025), which is vital for an officer's investigation._x000D_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More over related to performance the team is expected to provide a solution on how the opening balance will be retrieved considering all past debts. Note that past debts may be related to periods, that may differ per revenue authority, for the last 10 years for example. </t>
  </si>
  <si>
    <t>cont, [https://jira.intrasoft-intl.com/browse/IRM-20329] _x000D_
depends on https://jira.intrasoft-intl.com/browse/IRM-20328 _x000D_
_x000D_
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_x000D_
*Functional Requirements*_x000D_
 * Admin can choose to show or hide encrypted personal data on the user interface for users that do not have access to the decrypted sensitive personal data_x000D_
 * Admin can define that decrypted personal data is shown on the user interface for users that do have access to the decrypted sensitive personal data_x000D_
 * {color:#172b4d}Admin should be able to encrypt personal data details from logs (audit)/exception/message store , data areas, notes, forms, cases/ human task comments.{color}_x000D_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</si>
  <si>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{color:#0747a6}*BECAUSE OF THE COMPAXITY OF THE TOOL TO BE IMPLEMENTED WE WILL INITIATE THE DESIGN BY A POC.* {color}_x000D_
{color:#0747a6}*The POC scope will be defined by PD team.* {color}_x000D_
{color:#0747a6}*The POC will have fixed effort.* {color}_x000D_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</si>
  <si>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Solon Product Look and feel to be updated and upgraded with new _x000D_
_x000D_
Branding assets_x000D_
_x000D_
Typography_x000D_
_x000D_
Palettes_x000D_
_x000D_
fields etc_x000D_
_x000D_
More details to be added once we have final designs</t>
  </si>
  <si>
    <t>As a revenue officer, I would like to add debts and payments to a tax account, so that I am able to demo how Solon supports a VAT account (i.e., Tax Account only for VAT)._x000D_
_x000D_
*Introduction* _x000D_
_x000D_
This feature aims to create the necessary configuration for a Tax Account reference imp[lementation. The Overview of the Tax Account that is needed in all implementations using a Tax Account is in scope of feature ... _x000D_
_x000D_
*Functional Requirements*_x000D_
_x000D_
*Core Configuration Requirements*_x000D_
 # *Revenue Type Configuration*_x000D_
_x000D_
 * *"VAT for Tax Account" Revenue Type* with flags:_x000D_
 * taxAccount: true - Enable tax account functionality_x000D_
 * reconciliationPeriod: true - Enable reconciliation period support_x000D_
_x000D_
 * {*}Revenue Type Category{*}: PERIODIC_x000D_
 * {*}Revenue Type Actions{*}: FILING, PAYMENT_x000D_
 * {*}Calendar Integration{*}: Link to appropriate revenue calendars{*}{{*}}_x000D_
_x000D_
 _x000D_
 * *"VAT for Tax Account Ad hoc" Revenue Type* with flags:_x000D_
_x000D_
 * _x000D_
 ** taxAccount: true - Enable tax account functionality_x000D_
 ** reconciliationPeriod: true - Enable reconciliation period support_x000D_
_x000D_
 * {*}Revenue Type Category{*}: Ad Hoc_x000D_
 * {*}Revenue Type Actions{*}: PAYMENT_x000D_
_x000D_
 _x000D_
 # *Reconciliation Period Management*_x000D_
_x000D_
 * *Reconciliation Period Entity* configuration with:_x000D_
 * Period codes (e.g., "2024M1", "2024M2")_x000D_
 * Start and end dates for each period_x000D_
 * Active/Inactive status management_x000D_
_x000D_
 * *Revenue Type Registration Reconciliation Period* linking:_x000D_
 * Opening and closing balances per period_x000D_
 * Party informed indicator_x000D_
_x000D_
 # *Financial Transaction-Reconciliation period*_x000D_
_x000D_
 * {*}FT Reconciliation Period Link{*}: Enable FTs to reference reconciliation periods_x000D_
 * {*}Automatic Period Assignment{*}: Link FTs to reconciliation periods based on creation date_x000D_
 * {*}Validation Rules{*}: Ensure only revenue types with reconciliationPeriod: true can link to periods_x000D_
_x000D_
 # *Tax Account UI Configuration*_x000D_
_x000D_
 * {*}Specialized UI Schema{*}: entitySubType: 'TaxAcc_RP' for Revenue Type Registration_x000D_
 * {*}Balance Display{*}: Show opening/closing balances per reconciliation period_x000D_
 * {*}Period Timeline{*}: Visual representation of reconciliation periods_x000D_
 * {*}Balance Update Interface{*}: Enable manual balance adjustments with audit trail_x000D_
_x000D_
*Business Process Requirements*_x000D_
 # *Balance Management*_x000D_
_x000D_
 * {*}Opening Balance Recording{*}: Support initial balance entry per reconciliation period_x000D_
 * {*}Closing Balance Calculation{*}: Automatic calculation based on transactions and adjustments_x000D_
 * {*}Balance Transfer{*}: Opening balance of next period equals closing balance of previous period_x000D_
 * {*}Manual Adjustments{*}: Allow authorized balance corrections with proper validation_x000D_
_x000D_
 # *Debt and Payment Processing*_x000D_
_x000D_
 * {*}Debt Recording{*}: Create financial transactions for VAT liabilities_x000D_
 * {*}Payment Processing{*}: Record and allocate VAT payments to specific periods_x000D_
 * {*}Cross-Period Allocation{*}: Support payment allocation across multiple reconciliation periods_x000D_
 * {*}Interest and Penalty Calculation{*}: Apply to overdue amounts per period_x000D_
_x000D_
 _x000D_
_x000D_
*Documentation*_x000D_
Document all the above configuration for introducing a reference implementation for the Tax Account is vital for Demos and future implementation needs. _x000D_
_x000D_
 _x000D_
_x000D_
 </t>
  </si>
  <si>
    <t>As a RM User, I would like to see a warning when I fill in intracommunity transaction fields in the VAT Return Form, so that I am informed of my obligations to submit the corresponding VIES Statement in the respective deadline._x000D_
_x000D_
*Introduction* _x000D_
_x000D_
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
_x000D_
 _x000D_
_x000D_
*Functional Requirements*_x000D_
_x000D_
*Field Label Corrections*_x000D_
The following field labels in the VAT Return Form will be renamed to accurately reflect their purpose:_x000D_
_x000D_
VAT on Sales Section:_x000D_
_x000D_
TOTAL SALES BUYER OBLIGATED → Intracommunity Sales_x000D_
TOTAL SALES BUYER NOT OBLIGATED → Intracommunity Sales without VAT_x000D_
VAT on Purchases Section:_x000D_
_x000D_
TOTAL PURCHASES BUYER OBLIGED FOR VAT → Intracommunity Purchases_x000D_
TOTAL PURCHASES BUYER NOT OBLIGED FOR VAT → Intracommunity Purchases without VAT_x000D_
_x000D_
_x000D_
_x000D_
*Warning Implementation*_x000D_
When any of the intracommunity transaction fields contain values, the system shall display a warning message:_x000D_
_x000D_
Warning Message:_x000D_
_x000D_
"For these transactions, in addition to the VAT return, you are required to submit the corresponding *VIES Statement* by the 25th day of the following month."_x000D_
_x000D_
Warning Behavior:_x000D_
 * Warning appears when any intracommunity field has a non-zero value_x000D_
 * User can proceed with form submission despite the warning_x000D_
 * Warning persists until form is submitted or fields are cleared</t>
  </si>
  <si>
    <t>As a user I need when a codelist is mandatory and only one item is available and no default value , system to autofill the existing value. _x000D_
_x000D_
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
_x000D_
As a configurator I need to be able to set in the codelists an optional to be used  attribute , that may instruct  the prefill  of codelist item value in this codelists, if one value is available based on filters._x000D_
_x000D_
*Functional requirements*_x000D_
_x000D_
Configurator may set in codelist fields an optionally used attribute/metadato , e.g. "AutofillIfUnique"_x000D_
which attribute will enable in UI the autofill of value in codelist, when only one  codelist item value is available based on filters and related codelist items._x000D_
 * Examples/ Cases : _x000D_
 ** +Mandatory items case+_x000D_
In a Mandatory Codelist "C3"  , Non default value is defined _x000D_
The only available value is the "C Value" _x000D_
When use this field in forms, autoselect and prefil "C Value". _x000D_
 ** +Related codelist items case+_x000D_
Codelist "C1 parent"  ,  Values A1, A2 _x000D_
Codelist "C2 child"  ,  Values B1, B2 , B3_x000D_
Relations : _x000D_
C1 parent  -&gt; A1 with  C2 child -&gt; B2 (ONLY) _x000D_
user selects A1 _x000D_
Autoselect and prefil B2  value in C2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</si>
  <si>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RM user, I need to be able to search the entire application so I can get the relevant search results _x000D_
_x000D_
The search that now is called ..... </t>
  </si>
  <si>
    <t>As a revenue authority officer I would like Solon RM to consider in credit interest calculation, all payments received from a taxpayer, both allocated and unallocated, so that final interest calculation is accurate and can be used in relevant processes.  _x000D_
_x000D_
*Introduction*_x000D_
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
_x000D_
Moving forward for the implemetation of the Tax Account in Northern countries but also for other implementations, in order to calculate interest accurately all payment segments, allocated and unallocated needs to be considered.  _x000D_
_x000D_
Update the existing CREDIT_INT PI (Penalty &amp; Interest) rule to calculate reimbursement interest on credit unallocated payment segments for tax account scenarios, ensures taxpayers receive proper interest on all credit amounts._x000D_
_x000D_
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
_x000D_
To enhance understanding of this feature and facilitate analysis tasks please find below a business example as well as business cases where Solon Tax results in unallocated payment segments._x000D_
_x000D_
*System Requirements*_x000D_
 * PI Rule Enhancement: Rule Code = CREDIT_INT (Reimbursement Interest Rule) Enhancement: Update calculation logic to include credit unallocated payment segments (next to credits on bill segments that is already implemented). _x000D_
_x000D_
*Business Example*_x000D_
_x000D_
&gt; Initial State:_x000D_
_x000D_
VAT Liability: €100 (debit)_x000D_
_x000D_
Payment Made: €100 (credit)_x000D_
_x000D_
Result: Liability fully paid, balance = €0_x000D_
_x000D_
&gt; After Amendment:_x000D_
_x000D_
Amendment: VAT liability reduced by €20 (becomes €80)_x000D_
_x000D_
Payment Remains: €100 (unchanged)_x000D_
_x000D_
Result: €20 credit unallocated payment segment_x000D_
_x000D_
_Current Behavior:__x000D_
_x000D_
Interest calculated only on bill segment balances, thus €20 credit unallocated payment segment earns no interest_x000D_
_x000D_
_Required Behavior:__x000D_
_x000D_
Interest calculated on bill segment balances AND credit unallocated payment segments, thus €20 credit unallocated payment segment earns monthly interest in favor of taxpayer_x000D_
_x000D_
 _x000D_
_x000D_
*Example Business Cases resulting in Unallocated Payment Segments*_x000D_
 # Payment Suspense Scenarios, where for example invalid reference number results to a payment that cannot be allocated to a specific party role._x000D_
 # Payment File Processing Errors during automated payment file processing due to for example corrupted payment data or reference number mismatch._x000D_
 # Insufficient liability balance for full allocation as per the business example above. _x000D_
 # Payment Event State Transitions, when for example re-opening completed payment events where original segments need to be cancelled or payment event re-distribution scenarios requiring segment reallocation. _x000D_
_x000D_
*Documentation*_x000D_
Document all the above adjustments for penalty and interest rule "CREDIT_INT". _x000D_
_x000D_
 _x000D_
_x000D_
*Non functional requirements*_x000D_
Performance , Security, Traceability, Accessibility, Usability  DODs should be fulfilled. </t>
  </si>
  <si>
    <t>As a configurator I need to be able to add fields  in forms that change text to capitals and store then in db string in capitals_x000D_
_x000D_
 _x000D_
_x000D_
*Functional requirements*_x000D_
_x000D_
Widget/component to  used in forms' fields when needed to  automatically convert what is typed by used  to capitals letters. _x000D_
Example: _x000D_
_x000D_
typing :  tEst_x000D_
_x000D_
displaying:  TEST_x000D_
_x000D_
Saving : TEST</t>
  </si>
  <si>
    <t>As a RM user, I need to be able to have the same drop down behavior of all drop down menus so that I am have the same experience across the Solon product. _x000D_
_x000D_
A) Dropdowns and codelists. _x000D_
B) Lookup record - When searching for other records</t>
  </si>
  <si>
    <t>As a Revenue Management (RM) user, I need to clearly distinguish between *View* and *Edit* modes and the *available actions* when accessing a Personal Calendar entry, so that I understand what actions are available and avoid unintended modifications._x000D_
_x000D_
The current system does not clearly differentiate these modes, resulting in user confusion and increased interaction friction._x000D_
_x000D_
*Introduction*_x000D_
_x000D_
This release introduces a significant user experience enhancement by creating a clear and distinct separation between viewing and editing records. The new design aims to reduce interaction friction, prevent accidental data modifications, and provide a more intuitive and efficient workflow for users managing their information._x000D_
_x000D_
*Functional Business Requirements*_x000D_
 * Display of Available Actions_x000D_
For every time‑off request, the system must present all actions that are available and applicable to the specific user, based on their permissions and the current status of the request. _x000D_
_x000D_
 * Read‑Only View Mode_x000D_
Each time‑off request can be opened in {_}View Mode{_}, where the request details are displayed in a Read‑Only state. In this mode, only the action buttons that the user is eligible to perform —according to their role, permissions, and the request’s status— must be visible._x000D_
_x000D_
 * Edit Mode_x000D_
The user must be able to edit the details of a time‑off request only when:_x000D_
 ** The request is in a status that allows modification, and_x000D_
 ** The user has the appropriate rights/permissions to perform edits._x000D_
_x000D_
*Out of scope*_x000D_
The determination of which menu options are available to a user—based on request status, user role, or permission rules is not part of the scope of this feature. _x000D_
*Documentation*_x000D_
Document all the above adjustments for viewing and editing personal calendars._x000D_
_x000D_
*Non functional requirements*_x000D_
Performance , Security, Traceability, Accessibility, Usability  DODs should be fulfilled. </t>
  </si>
  <si>
    <t>As a user I need to be able to see the results of my search of registry records in relevant UI pages, as it is important locate the proper party /party role record.  _x000D_
The results should be either displayed in list or system should display a message on what needs to be done to get the results I need (e.g.  add more criteria to limit on the records in searching dataset).  _x000D_
_x000D_
System should hep me understand what I am seeing._x000D_
 - Easy to find widgets_x000D_
 - Always Surface _Some_ Results First &amp; keep it responsive  : No empty list views but show something without waiting for the whole query_x000D_
 - Clear Messaging on Limits and Encourage  Filtering  :  Limits enforceable server-side (10,000 query) ,  Show a clear message with what is it displayed and the limits reached  &amp; Message when No Records Show_x000D_
 - Alternative via Export flexibility ([https://jira.intrasoft-intl.com/browse/IRM-29306]) _x000D_
 - Create more filters for registry_x000D_
_x000D_
*Out of scope :* _x000D_
 - Modification in Search results (to be depicted in another ticket) _x000D_
 - Theming (to be depicted in another ticket)_x000D_
 _x000D_
_x000D_
*Background*_x000D_
_x000D_
Because of limit set by RLS, the dataset to search data in , i.e. the dataset returned by selected criteria, should not be more than 10000 records. This dataset will be further filtered based on user RLS meaning the results appear may be less or even 0._x000D_
_x000D_
 _x000D_
_x000D_
*Functional Requirements*_x000D_
_x000D_
*1) New filter :*_x000D_
Based on party type filter parties Person or  Legal Entity_x000D_
+Party Type Natural Person+_x000D_
Category = Party _x000D_
Legal Entity = False _x000D_
e.g.,: Individual: PERSONDM1 _x000D_
_x000D_
*2) Parameters:* _x000D_
Set default identifier for search for : _x000D_
 * Party , Party Role_x000D_
 * Asset_x000D_
 * Organization Unit_x000D_
 * Claimants_x000D_
_x000D_
+Note : this requirement may be ignored if search may happen by any identification type and one search identifier container for any identification (as is now in party search)+ _x000D_
_x000D_
*3) Default list view party :*_x000D_
 * Section *a)* Header similarly to as suggested by UX team adapted with the existing Solon functionality _x000D_
{*}Considerations{*}:  Export to spreadsheet buttons, select columns , save filter or use existing filter._x000D_
_x000D_
 * (widget) Section *b)* *Search by ID*_x000D_
Identifier Type  | Identifier ID _x000D_
One Identifier type will be the default (see paragraph 2 and check if may be ignored) .  The default Identifier type may be configured by customers as mentioned above  *(paragraph 2)* (e.g. for Greece their AFM ) (!) _x000D_
Note:  This widget may be used in home page, searching for Parties only by any identifier. _x000D_
_x000D_
 * Section *c)* Search if Natural *Person* or *Legal* entity _x000D_
 * Section *d)* Search by {*}criteria{*}. - Similar to what we have now with new UI . Separate filter as the filters are separated per tab now. (Need to improve in later stage)   _x000D_
 ** Results are filters per criteria in section c)_x000D_
 ** If query gathers more than the system limit (10000) records_x000D_
Message appears in the search criteria page when click to save criteria _x000D_
Your search criteria returns more than 10000 records. Try refine your filters to narrow this view. _x000D_
 * Section *e)* *Search Results*_x000D_
 **  Pagination, select columns, sorting , number of records shown, action buttons similarly to as is now. _x000D_
 ** If the dataset after RLS filtering results in zero records, the system shall display:_x000D_
"No records found. Results may be restricted based on your access rights."_x000D_
 ** If Results = 0 , show “No records found” message_x000D_
 ** Search results section appears only if here is no error and there are returned results (search results are less than 10000, no error and more than 0) _x000D_
 ** User may export results  ([https://jira.intrasoft-intl.com/browse/IRM-29306]) _x000D_
_x000D_
*4)* *Default list view Party Role :* _x000D_
Similarly, adding relevant filters and without section c) _x000D_
_x000D_
*5)*  *Default list view Asset* _x000D_
Similarly, adding relevant filters and without section c) _x000D_
_x000D_
*6)*  *Default list view Organizational Units* _x000D_
_x000D_
Similarly, adding relevant filters and without section c) _x000D_
_x000D_
*7)*  {*}Default list view Claimants{*}{*}{{*}}{*}{{*}}_x000D_
_x000D_
Similarly, adding relevant filters and without section c) _x000D_
_x000D_
 _x000D_
_x000D_
 _x000D_
_x000D_
 _x000D_
_x000D_
*UX:* _x000D_
_x000D_
[https://www.figma.com/make/1wLo5Uy0Qet6TYNcEBSvug/Search-Results-Page-with-Filters?p=f&amp;fullscreen=1]_x000D_
_x000D_
!image-2026-02-26-19-11-25-010.png!_x000D_
_x000D_
!image-2026-02-26-19-12-09-440.png!_x000D_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-General Web UI Pattern_x000D_
Modern list components (whether in enterprise UIs like Microsoft Fluent, Salesforce-style grids, or custom apps) use techniques like:_x000D_
Virtualized rendering (only render what’s visible in the viewport, not all records). This helps handle very large lists without freezing the UI._x000D_
Indexed filters and query limits to constrain what gets pulled from the server._x000D_
_x000D_
-Progressive Load with Early Results_x000D_
Perform a lightweight server query that fetches the top N records (e.g., 2,000)._x000D_
Display those instantly as the “preview” of the full list._x000D_
Meanwhile, the system in the background can continue gathering metadata about total matches._x000D_
This gives users a quick answer — they feel in control and the app feels fast._x000D_
_x000D_
-Use Virtualization_x000D_
Only render rows that are visible on screen (plus a buffer)._x000D_
As the user scrolls, dynamically load/render more items._x000D_
This improves performance for very large lists_x000D_
_x000D_
 </t>
  </si>
  <si>
    <t>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
_x000D_
*Background*_x000D_
In as-is system the form should be saved in order to be able to upload documents._x000D_
_x000D_
*Functional Requirements*_x000D_
 * Users (revenue officer or taxpayer) can upload attachments with permitted metadata while filling the form, before saving._x000D_
_x000D_
 * Users can view the list of uploaded attachments while filling the form (before saving)._x000D_
_x000D_
 * Before and After saving, users can:_x000D_
View attachments_x000D_
Add new attachments_x000D_
Remove attachments_x000D_
Edit metadata_x000D_
 * In RM , users can link attachments to additional system records (e.g., case file) while managing form attachments._x000D_
_x000D_
 * If attachment upload fails:_x000D_
The user is clearly informed by a message that attachment was not successfully uploaded. _x000D_
Form saving/submission is not blocked._x000D_
Successfully uploaded files remain attached. (Orphan issue).  _x000D_
_x000D_
 * Attachments modifications after saving are stored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</si>
  <si>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_x000D_
_x000D_
As a RM user, I need clear, intuitive access to keyboard and language shortcuts, profile information, and search so that my profile preferences are respected and interface shortcuts are logically placed._x000D_
_x000D_
 _x000D_
_x000D_
 </t>
  </si>
  <si>
    <t>As an admin I need to be able to use several unicode characters in code fields that can be technically allowed to be used as to explain in code in localized text the short configuration name. _x000D_
_x000D_
 _x000D_
_x000D_
*Functional Requirements* _x000D_
_x000D_
(BE &amp; UI)_x000D_
 * Defined Whitelist for "Code" fields of configuration entity types : _x000D_
*A)* A–Z, a–z, 0–9  _x000D_
*B)* - (dash), _ (underscore),. (dot)_x000D_
*C)*  Unicode characters for multilingual/localized alphabets,  e.g. ,  Greek , Swedish, Lithuanian, Spanish, Italian, French, Chinese.... _x000D_
 * Apply the validation to all Solon Tax Config entity types. If invalid characters are added validations will be thrown.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 Some config types are completed because of the linked bugs_x000D_
 - By Sec team : Since Unicode will be supported, the validation has to be done after normalization of Unicode characters. Otherwise, special characters could still be accepted. For example ‘\u003C’ will be converted to the less than sign ‘&lt;’._x000D_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
 - Assumption : Records with Unicode Code characters are visible in UI properly, and  are searchable_x000D_
_x000D_
 </t>
  </si>
  <si>
    <t>As a RM user, I need to be able to clearly distinct if I click to open the record to view or to edit.  _x000D_
_x000D_
*Background*_x000D_
In current version, there is no clear distinction between “view” and “edit” states. Increase the likelihood of unintended changes._x000D_
We need to enable customers to preview records, and if needed perform actions on them.  _x000D_
To succeed that the record pages should be available in 2 stages : View and Edit. _x000D_
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</si>
  <si>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As an admin user, I need to capture and manage Start Date and End Date fields in the system that define the validity period of granted permissions, so that access rights can be controlled accurately and limited to specific timeframes._x000D_
_x000D_
*{color:#ff8b00}CHECK ! Review the LT branch for any implemented functionalities that can be merged into the product.{color}*_x000D_
_x000D_
*Functional requirements*_x000D_
_x000D_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(along status define in [https://jira.intrasoft-intl.com/browse/IRM-36665]) _x000D_
 * If no end date is defined the system should clearly flag in UI  "No End Date”_x000D_
_x000D_
Note: Already available fields in Party role relationship._x000D_
_x000D_
*Timezone* _x000D_
 * Display datetime in the user’s configured timezone._x000D_
 * Validity must be calculated based on stored system time (not client browser time)._x000D_
 * Daylight Saving Time (DST) transitions must not cause early expiration or extended validity._x000D_
_x000D_
*Versioning*_x000D_
 * Changes should be logged in Audit log._x000D_
_x000D_
*Validations* _x000D_
 * End Date cannot be earlier than Start Date._x000D_
 * Start Date is mandatory._x000D_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</si>
  <si>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As an Administrator, I need the ability to record the user responsible for creating and submitting a form, as in many cases this user may not be the same as the Party associated with the form._x000D_
_x000D_
 _x000D_
_x000D_
 _x000D_
_x000D_
*Functional Requirements* _x000D_
_x000D_
*a)* Optional fields in Form metadata_x000D_
*Created By* : Reference to a Party Role ID representing the user who created the form_x000D_
*Posted By* : Reference to a Party Role ID representing the user who submitted/posted the form_x000D_
*External System Created Date/Time* (external_created_dttm) :Timestamp indicating when the form was created in an external system (similar to the Party record field)_x000D_
_x000D_
*b)* user may search forms using the above fields._x000D_
_x000D_
*c)* Enable user-define-characteristics (Data Area)  in forms for other metadata related items. (Data Area = Form Details)  _x000D_
Example: Import Date from external system. (Date field)_x000D_
_x000D_
*d)* Apply Notes in Forms in RM and SS _x000D_
In UI add Notes only in RM_x000D_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</si>
  <si>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In scope: _x000D_
_x000D_
Codelists_x000D_
_x000D_
 _x000D_
_x000D_
*Functional Requirements*_x000D_
1) I can display all Audit log of the related items under the live record of parent items for the areas: _x000D_
 * Reference data (under Codelists)  i.e. Codelists, Codelist items, attributes_x000D_
_x000D_
2) I can see the history under codelist for all codelist related changes as well as all codelists items related changes. _x000D_
_x000D_
 _x000D_
_x000D_
*Documentation*_x000D_
Document all the above adjustments. _x000D_
_x000D_
 _x000D_
_x000D_
*Non functional requirements*_x000D_
Performance , Security, Accessibility, DODs should be fulfilled.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</si>
  <si>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_x000D_
In scope: _x000D_
*registration MS*_x000D_
_x000D_
    c_resource_calendar_related_exception_calendar_x000D_
_x000D_
 _x000D_
_x000D_
*Functional Requirements*_x000D_
1) I can display Audit logs  for Resource Calendars (Time offs, assigned calendars, , caledars details , Calendar exceptions)_x000D_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</si>
  <si>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As a revenue officer I should be able to define a threshold amount for a revenue type registration so that the system can support Tax Account implementation. _x000D_
_x000D_
*Introduction* _x000D_
_x000D_
This analysis outlines the requirements for introducing a threshold amount field in the Revenue Type Registration entity to support Tax Account functionality in Solon Tax. The threshold field will enable implementation teams to configure automatic threshold determination rules while maintaining manual editability during the initial implementation phase. _x000D_
_x000D_
The threshold amount will be used in Tax Account scenarios where specific monetary limits determine processing behavior, validation rules, or reporting requirements. This field provides the foundation for threshold-based business logic while allowing implementation teams flexibility in defining automatic calculation rules._x000D_
_x000D_
*Functional Business Requirements*_x000D_
_x000D_
Add a new field thresholdAmount to the Revenue Type Registration entity that:_x000D_
_x000D_
&gt; Stores a monetary threshold value for tax account processing_x000D_
&gt; Supports decimal precision for accurate financial calculations_x000D_
&gt; Allows null values (optional field)_x000D_
&gt; Is editable by users during creation and updates_x000D_
&gt; Can be automatically populated by system rules (future enhancement)_x000D_
_x000D_
_x000D_
_x000D_
This enhancement provides the foundational threshold capability required for Tax Account implementations while maintaining the flexibility needed for diverse implementation requirements and future automatic rule integration._x000D_
_x000D_
*Documentation*_x000D_
Document all the above adjustments for introducing a threshold amount filed in revenue type registration._x000D_
_x000D_
 _x000D_
_x000D_
*Non functional requirements*_x000D_
Performance , Security, Traceability, Accessibility, Usability  DODs should be fulfilled. </t>
  </si>
  <si>
    <t>As an RM Admin, I can update reference data with a codelist item having a code that is not unique, while its description is updated with different validity periods (no overlap), so as to comply with EU regulating updates._x000D_
_x000D_
*Introduction* _x000D_
_x000D_
*Tax Activity Codes in the EU:* There is no single "tax code" for all EU members. Instead, three main systems are used:_x000D_
 * {*}NACE Codes{*}: The official statistical classification for economic activities. The current version is *NACE Rev. 2.1* (effective Jan 1, 2025). Attached in this feature for reference. _x000D_
 * {*}VAT Category Codes{*}: Standardized letters (e.g., *S* for Standard, *E* for Exempt) used in electronic invoicing._x000D_
 * {*}VATEX Codes{*}: Specific codes used to justify *VAT exemptions* based on EU Directive 2006/112/EC._x000D_
 * *Customs Codes (TARIC/CN)* For the import/export of goods, the Combined Nomenclature (CN) is used, which is an 8-digit coding system. _x000D_
_x000D_
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
 * {*}Structure{*}: The first 4 characters of an eight-digit Greek KAD are fully identical to the 4 characters of the corresponding NACE code._x000D_
 * {*}2026 Harmonization{*}: AADE recently proceeded (as of 01/03/2026) with an automatic update of KADs for 1.9 million Tax IDs (AFM), in order to fully harmonize them with the new European standard {*}NACE Rev. 2.1{*}._x000D_
 * {*}Purpose{*}: This mapping ensures that economic activities in Greece are comparable to those of other EU member states for statistical and regulatory purposes._x000D_
_x000D_
*When a Code is Updated*_x000D_
_x000D_
When the EU updates the NACE structure:_x000D_
 * {*}Automatic Migration{*}: Most codes are automatically updated by national tax authorities (like AADE in Greece) if there is a 1-to-1 match._x000D_
 * {*}Manual Selection{*}: If one old code splits into multiple new ones, the taxpayer must manually select the most accurate one via the tax portal._x000D_
 * {*}Description Changes{*}: A code's number *can stay the same while its description* *is updated* to reflect modern technology or clearer definitions._x000D_
_x000D_
Validity and History_x000D_
 * {*}Historical Accuracy{*}: A code must be valid for the period it was used. If you are filing an amended return for 2024, you use the code that was active in 2024, not the new 2025/2026 version._x000D_
 * {*}EU-Wide Validity{*}: This principle of historicity applies to all EU countries. While the digital portals differ (e.g., myAADE in Greece), the transition logic to NACE Rev. 2.1 is harmonized across the Union._x000D_
_x000D_
For Greek Tax Authority_x000D_
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
 * {*}System Maintenance{*}: AADE and Eurostat systems maintain the "historical versions" of the codes. If you need to file an amended return for a previous year, you must use the old code that corresponded to that specific period._x000D_
 * {*}Migration (Mapping){*}: The mapping performed by AADE does not "erase" the past; it creates a new entry in your Registry history. The "Registry Certificate" will show the expiration date of the old code and the start date of the new one._x000D_
 * {*}Audits and Cross-checks{*}: In the event of a tax audit for a past fiscal year, auditors examine the activity based on the description and the code that were in effect at the time of the transaction._x000D_
_x000D_
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
_x000D_
*Current Implementation Support*_x000D_
_x000D_
The platform currently supports:_x000D_
 * Unique code constraint for codelist items within a codelist_x000D_
 * Basic validity period management with valid_from and valid_to fields_x000D_
 * Codelist item labels with language support_x000D_
_x000D_
*To Be Implementation*_x000D_
_x000D_
Allow the same code to be added for different validity periods with:_x000D_
 * No overlap between validity periods for the same code_x000D_
 * Different descriptions for the same code across different time periods_x000D_
 * Historical data preservation for reporting and backdated updates_x000D_
_x000D_
*Functional Business Requirements*_x000D_
 # {*}Historical Code Management{*}: Enable codelist items to have the same code with different descriptions across non-overlapping validity periods_x000D_
 # {*}Temporal Data Integrity{*}: Ensure no validity period overlaps exist for items with the same code within a codelist_x000D_
 # {*}Backdated Processing Support{*}: Allow selection of historical codelist items when processing backdated taxpayer updates_x000D_
 # {*}Regulatory Compliance{*}: Support EU tax code evolution requirements (NACE Rev. 2.1)_x000D_
 # {*}Reporting Continuity{*}: Maintain historical reference data for accurate reporting across different time periods_x000D_
_x000D_
*Documentation*_x000D_
Document all the above adjustments for updating reference data to support compliance with EU updates codes not unique per validity period._x000D_
_x000D_
 _x000D_
_x000D_
*Non functional requirements*_x000D_
Performance , Security, Traceability, Accessibility, Usability  DODs should be fulfilled. </t>
  </si>
  <si>
    <t>As an RM user with specific rights or admin, I need to be able to define and manage representations in RM system. _x000D_
The internal tax-authority user must be able to manage the authorizations of the taxpayers. The provided functionality is the same as the one provided in the Self Service portal, with the addition of the possibility to select a Taxpayer to manage._x000D_
_x000D_
*{color:#ff8b00}CHECK ! Review the LT branch for any implemented functionalities that can be merged into the product.{color}*_x000D_
_x000D_
 _x000D_
_x000D_
*Background*_x000D_
_x000D_
Representations are already implemented in the system plus additional enhancements are asked https://jira.intrasoft-intl.com/browse/IRM-36665 _x000D_
Representation = authorization granted by a taxpayer to a representative to act on their behalf for specific services and within a defined validity period._x000D_
_x000D_
*Functional requirements*_x000D_
_x000D_
*Basics:* _x000D_
_x000D_
List of representations available in RM for permitted users to create and manage_x000D_
 * Users with permissions may search for existing representations in a list of SS representations in RM_x000D_
 ** _x000D_
 *** Agreement : From user_x000D_
 *** Agreement : To user_x000D_
 *** Agreement : Start , End date_x000D_
 *** Agreement : Last modified date_x000D_
 *** Agreement : Source system_x000D_
 *** Agreement : Agreement_x000D_
 *** Agreement : Status _x000D_
 *** Agreement : Status Reason  from [https://jira.intrasoft-intl.com/browse/IRM-36665]  _x000D_
 *** other from [https://jira.intrasoft-intl.com/browse/IRM-36665]   , [https://jira.intrasoft-intl.com/browse/IRM-39135] _x000D_
    Agreement :"Purpose" (as in other cases in system) , _x000D_
    Agreement :"External created datetime" (as in parties)_x000D_
    Agreement :"Requested by External system"_x000D_
 *** Agreement service : service_x000D_
 *** Agreement service :  Start , End date_x000D_
 *** Agreement service :  Last modified date_x000D_
 * Lifecycle as in  [https://jira.intrasoft-intl.com/browse/IRM-36665] _x000D_
 * Users with permissions may create representations in RM (via form or RM record)_x000D_
 ** _x000D_
 *** Agreement : select the users _x000D_
From  (Taxpayer)_x000D_
To       (Representative)_x000D_
 *** Agreement : Select period_x000D_
Start_x000D_
End_x000D_
 *** Source should be set as RM system_x000D_
 *** Agreement : Agreement_x000D_
 *** Agreement service : see the list of all services (along with descriptions and included rights) and be able to select the services along the  Start , End date of each_x000D_
 *** Other fields from _x000D_
 *** other from [https://jira.intrasoft-intl.com/browse/IRM-36665]  _x000D_
_x000D_
{*}Validatio{*}{*}ns{*}_x000D_
 * Be able to define and validations with configured parameters as in .[https://jira.intrasoft-intl.com/browse/IRM-32343] _x000D_
_x000D_
*Levels*_x000D_
 * Levels of hierarchy ability to define and display as in [https://jira.intrasoft-intl.com/browse/IRM-36665]  _x000D_
_x000D_
*Sync*_x000D_
 * Sync RM/SS happens real time_x000D_
_x000D_
*Records Locking*_x000D_
 * When edited in SS record cannot be edited in RM.  (as per Solon locking functionality - if not yet implemented you may split in a different feature)_x000D_
Prevent conflicting or overlapping delegations (or require explicit override)._x000D_
_x000D_
*Versioning*_x000D_
 * Changes should be logged in Audit log._x000D_
_x000D_
 _x000D_
_x000D_
*Permissions*_x000D_
 * Admin may assign specific permissions to users that can create/update agreements._x000D_
 * Restriction: Only users with “Representation Management” role can create/update._x000D_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Remaining parts moved to [https://jira.intrasoft-intl.com/browse/IRM-41760] </t>
  </si>
  <si>
    <t>{panel:title=Task}_x000D_
Increasing the development experience. Eliminate the pain points that developers have while setting up platofrm locally. _x000D_
{panel}_x000D_
{panel:title=Current state}_x000D_
The biggest problems identified at the time of creating this enabler are:_x000D_
 * database migration - there is a 99.99% probabilty that the problems occur when running database migration scripts locally. Investigate and intoduce a solution._x000D_
 * component tests - it takes forever to rune component tests locally,_x000D_
 * lack of troubleshooting documentation,_x000D_
 * slow performance - how can the performance be improved?,_x000D_
 * local keycloak mostly not working ootb._x000D_
_x000D_
Despite above development process forces local testing (which is good). Local tests because of the above issues are very frustrating._x000D_
{panel}_x000D_
{panel:title=Solution}_x000D_
Find out the root cause of the problems. Come up with solution and implement them. Adjust/create documentation in form of Maintenance Guide O0300._x000D_
{panel}_x000D_
h3. PPD Maturity Index / Control point: Resource Utilization (local resource utilization) / Testability / Technical depth / Development and test environments</t>
  </si>
  <si>
    <t>{panel:title=Task}_x000D_
To improve the platform maturity index, resource utilization must be optimized with a focus on Green Coding principles. To achieve this, existing CI/CD processes should be reviewed, adjusted, and ultimately optimized. Current documentation must also be updated to reflect these changes to the CI/CD workflows._x000D_
{panel}_x000D_
{panel:title=Current state}_x000D_
Jenkins is used to fully support CI/CD processes and flows._x000D_
{panel}_x000D_
{panel:title=Solution}_x000D_
*Review and Optimize Current Processes:*_x000D_
 * *Reduce Build Frequency:* Adjust the process to reduce the number of builds executed by Jenkins. For example, ensure that Merge Requests in "Draft" state do not trigger builds._x000D_
 * *Optimize Caching:* Investigate using or optimizing cache strategies to boost the efficiency of Jenkins builds._x000D_
 * *Review Retention Policies:* Verify if cleaning policies are applied in the artifact repository (Nexus) for both Maven artifacts and Docker images{panel}_x000D_
h3. PPD Maturity Index / Control point: Resource Utilization</t>
  </si>
  <si>
    <t>The system manages simultaneous record modifications through a  mechanism, ensuring consistent updates and providing users with confirmation on whether their commit was accepted._x000D_
_x000D_
As discussed:_x000D_
 * Data integrity is enforced via optimistic locking (version control)._x000D_
 * -UI locking is optional and only improves user experience  to reduce user conflicts. The system may implement a soft UI lock when a user enters edit mode.-_x000D_
 * Conflict handling strategy is required_x000D_
 * Retry policy for batch/BPMN is required_x000D_
_x000D_
(Notes _x000D_
 * *Optimistic locking* : no long-lived DB lock. Conflict detected when commit_x000D_
_x000D_
 * *Pessimistic locking* : record locked during editing_x000D_
) _x000D_
_x000D_
*Suggestion*_x000D_
_x000D_
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
_x000D_
The system shall verify that the *submitted version matches the current version* in the database._x000D_
_x000D_
{*}Mismatch{*}:_x000D_
 * The transaction is {*}rejected{*}. A message appears in Ui or an exception if thrown (for the caller)  explaining the concurrency conflict error._x000D_
{*}Message{*}: “This record was modified by another user. Please reload and review the latest data.”_x000D_
_x000D_
 * UI:  User must reload the record _x000D_
 * UI :  User may reapply changes and retry._x000D_
_x000D_
 * Batch / BPMN : Retry policy updates  (with a number of attends)_x000D_
 * Batch / BPMN : Reload latest version? _x000D_
 * Batch / BPMN : Log exception_x000D_
_x000D_
*Release mismatch*_x000D_
 * The user commits changes_x000D_
_x000D_
 * The user cancels editing_x000D_
_x000D_
 * The session times out  or by a configurable defined time out _x000D_
_x000D_
*Considerations:* _x000D_
Party record may be updated by more than one Forms and a batch process the same time.  (example: A form to update address and meanwhile an older action because of an asynchronous process or a bpmn waiting for an signal to continue to the next step) to update ID was proceeded) _x000D_
How long UI lock is valid? Could this version locked may be renewable after a refresh, cancelation, time  etc? _x000D_
What happens on browser crash?_x000D_
_x000D_
 _x000D_
_x000D_
!image-2026-02-17-14-08-31-993.png|width=929,height=477!!image-2026-02-17-14-09-26-503.png!_x000D_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</si>
  <si>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{panel:title=Task}_x000D_
To improve the platform maturity index, resource utilization must be optimized. To achieve this, green coding principles should be defined and incorporated into our programming guidelines. The current documentation should be extended to include these rules._x000D_
{panel}_x000D_
{panel:title=Current state}_x000D_
Currently programming guidelines are described in the following deliverables:_x000D_
_x000D_
[DD160 -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
_x000D_
[Clean Coding|https://confluence.intrasoft-intl.com/spaces/IC/pages/36142033/Clean+Code]_x000D_
{panel}_x000D_
{panel:title=Solution}_x000D_
Please add green coding rules for the following technologies:_x000D_
 * Java_x000D_
 * JavaScript_x000D_
 * Rego_x000D_
 * Drools_x000D_
 * Helm charts_x000D_
 * Maven_x000D_
 * PostgreSQL_x000D_
 * Oracle PL/SQL_x000D_
 * Liquibase scripts_x000D_
 * Are docker images used by the platofrm are green friendly? Consider using more greener if possible. Consider create greener docker images -&gt; smaller in size, with dedicated runtimes. IRM-28585 Docker image size optimization_x000D_
_x000D_
This list should be extended if necessary. These rules should either be integrated into the existing programming guidelines or compiled into a new document dedicated specifically to green coding._x000D_
{panel}_x000D_
h3. PPD Maturity Index / Control point: Resource Utilization / Programming Guidelines / Development and test environments</t>
  </si>
  <si>
    <t>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"submit e-invoices"- _x000D_
_x000D_
 _x000D_
_x000D_
*Functional Requirement*_x000D_
_x000D_
Define an right o be used for Agreements:   _x000D_
_x000D_
a) Based on Form Types_x000D_
 * View and Post BUSREG_x000D_
 * View and Post VAT return_x000D_
 * View only VAT return_x000D_
 * View only Busreg and vat return_x000D_
_x000D_
b) -Based on APIs-_x000D_
 * -Be able to access external apis- (example : [https://jira.intrasoft-intl.com/browse/PSD-15198] ) _x000D_
_x000D_
 _x000D_
_x000D_
 _x000D_
_x000D_
 _x000D_
_x000D_
AS-IS: _x000D_
_x000D_
!image-2026-03-05-17-56-01-645.png!_x000D_
_x000D_
AADE :_x000D_
!image-2026-03-05-17-59-15-270.png!_x000D_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</si>
  <si>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_x000D_
_x000D_
As a user, I want the main page bar to display only relevant information, include a Save button for quick saving, and show a breadcrumbs bar under the header so that I can easily navigate and manage my work._x000D_
_x000D_
 _x000D_
_x000D_
!image-2026-03-07-23-59-16-316.png!</t>
  </si>
  <si>
    <t>{color:#c1c7d0}{color:#172b4d}Leftover part of {color}https://jira.intrasoft-intl.com/browse/IRM-36809 _x000D_
_x000D_
continuing  and dependent : [https://jira.intrasoft-intl.com/browse/IRM-30785] {color}_x000D_
_x000D_
{color:#c1c7d0}On previous section of the functionality the availability of items publicly was enabled. On top of that we need admin to be able to configure which items can be available publicly. {color}_x000D_
_x000D_
*Functional Requirements* _x000D_
_x000D_
{color:#c1c7d0}Configure the items that can be publicly available in db level : {color}_x000D_
 * {color:#c1c7d0}Admin may define which reference data items can be publicly available.{color}_x000D_
{color:#c1c7d0}Example System parameters cannot be available. Party Classifications can be. {color}_x000D_
 * {color:#c1c7d0}Admin may define which translation items can be publicly available.{color}_x000D_
{color:#c1c7d0}Example: Party page labels can be available, Exceptions labels may not. {color}_x000D_
 * {color:#c1c7d0}Admin may define which service items can be publicly available.{color}_x000D_
{color:#c1c7d0}Example: VAT form cannot be publicly available, Registration forms can{color}_x000D_
_x000D_
Permissions:  (depends on  IRM-34224 ) _x000D_
 * Specific rights should be assigned to an admin to be able to configure the above settings. _x000D_
_x000D_
{color:#c1c7d0}Additional Considerations{color}_x000D_
 * {color:#c1c7d0}Audit logs capture configuration changes{color}_x000D_
 * {color:#c1c7d0}Documentation is updated to describe the configuration options and default behavior.{color}_x000D_
 * {color:#c1c7d0}Automated tests validate unauthenticated access and expected responses for each endpoint.{color}_x000D_
 * {color:#c1c7d0}Backward compatibility is preserved for existing operations{color}_x000D_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</si>
  <si>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searching and party assignment.* _x000D_
_x000D_
*Functional Requirements*_x000D_
_x000D_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+Organizations /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+Assets+_x000D_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</si>
  <si>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Gather needs for SS automation testing. _x000D_
 * Apis test_x000D_
 * Authentications_x000D_
 * Based on [https://jira.intrasoft-intl.com/browse/IRM-36809] : Automated tests validate unauthenticated access and expected responses for each endpoint _x000D_
 * Overview/Home pages_x000D_
 * Agreements tests_x000D_
 ** Create representations and sub representations using several agreement rights_x000D_
 * Forms_x000D_
 ** Create Draft forms , Check forms , publish forms_x000D_
 ** Human Tasks_x000D_
 ** Attach documents_x000D_
 ** Review forms_x000D_
 ** See filling obligations_x000D_
 * Human Tasks_x000D_
 ** Create and manage tasks_x000D_
 * Document Management_x000D_
 ** Upload and monitor attachments_x000D_
 * SS Admin</t>
  </si>
  <si>
    <t>As a revenue officer I need to describe with more details revenue type and related tax as to be able to use this categorization in decisions in flows and journal entries creation in system. _x000D_
_x000D_
*Functional Requirements*_x000D_
_x000D_
*A)* New OPTIONAL fields in Revenue Type:  _x000D_
 * Checkbox: Actively used_x000D_
Default value = Checked_x000D_
 * New cl field  : *Revenue Domain*_x000D_
 ** Demo values: _x000D_
VAT _x000D_
Income 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</si>
  <si>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
_x000D_
These new parameters will enable the system to efficiently handle the many hundreds of special cases that must be supported, reduce the size of the GL decision table and the number of FT types, and overall improve the system’s maintainability and administration._x000D_
_x000D_
 _x000D_
_x000D_
*Functional Requirements* _x000D_
_x000D_
 _x000D_
_x000D_
*Valid From/To columns*_x000D_
 * Add columns Valid from / Valid to (as Datetime ) in GL Decision Table(s)_x000D_
 * if empty valid from to is empty , consider line as valid._x000D_
 * Rules should consider the validity based on these fields._x000D_
 * Advise in documentation and code the format of the field. _x000D_
_x000D_
 _x000D_
_x000D_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!image-2026-03-02-23-45-16-740.png|width=688,height=278!_x000D_
_x000D_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Type,_x000D_
 ** Accounting Date_x000D_
 ** Claimant? (Yes /No)  ,  Claimant type/ID    _x000D_
 ** Segment Type (Bill segment, Payment, Allocation) , Segment Category     Segment Subcategory    _x000D_
 ** (as -is) FT Type Category  , Financial Transaction Accounting Date _x000D_
 ** Action (Create . Cancel)_x000D_
 ** Add a no functional logic "Notes" column_x000D_
 * Customers should be able to add their own parameters and get the parameters from FT record._x000D_
 ** Columns for  Custom Parameter A (e.g. Reference year), Custom Parameter B  (e.g. DOY) , Custom Parameter C    (these may be ignored if customers can add their columns if/when needed.  _x000D_
 ** Considerations : Customers may need to add conditions/Parameters on FT details, or Party details, or RTR details and these details may be also captured in data areas.  _x000D_
_x000D_
 _x000D_
_x000D_
*Correction future proof for multicurrency*_x000D_
Replace the one column GL Account Code for Gain/loss with 2 _x000D_
GL Account Code for Gain/loss/ CREDIT (MAKE IT NULLABLE)    _x000D_
GL Account Code for Gain/loss/ DEBIT (MAKE IT NULLABLE) , leave it null in reference implementation sheet. _x000D_
_x000D_
 _x000D_
_x000D_
 _x000D_
_x000D_
*Documentation*_x000D_
Document all the above adjustments. _x000D_
_x000D_
*Non functional requirements*_x000D_
Performance , Security, Accessibility, Usability  DODs should be fulfilled. </t>
  </si>
  <si>
    <t>As an admin, I need to configure the bill segment types generated by the Transfer Amount process so they align with existing, predefined bill segment configurations used in other relevant procedures (e.g., for the same revenue types and bill segment categories)._x000D_
_x000D_
In the as-is, one Bill segment type is defined and be used for source and target bill segments._x000D_
_x000D_
 _x000D_
_x000D_
*Functional Requirements*_x000D_
_x000D_
 _x000D_
_x000D_
*A)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segment._x000D_
_x000D_
 _x000D_
_x000D_
*Documentation*_x000D_
Document all the above adjustments. _x000D_
_x000D_
*Non functional requirements*_x000D_
It is expected that the team is manage to collaborate with specialists and ensure that the solution improves or maintain the product's : _x000D_
Performance , Security, Accessibility, Usability  _x000D_
It is expected that all DODs are fulfilled. </t>
  </si>
  <si>
    <t>h3. Problem Statement_x000D_
_x000D_
The current module structure of *revenue-management-be-custom* is not aligned with hexagonal architecture principles._x000D_
_x000D_
Hexagonal architecture is the architectural foundation of the *SolonTax* and the same principles should consistently apply to {*}be-custom{*}._x000D_
_x000D_
At present, the structure does not clearly separate application, domain, and adapter layers, which makes the module harder to maintain, evolve, and use as a proper extension point._x000D_
_x000D_
Since *be-custom* is intended to serve clients as a starting point for implementing their own platform customizations, the current structure does not provide a clean and consistent reference model to follow._x000D_
h3. Proposed Solution_x000D_
_x000D_
Restructure *revenue-management-be-custom* to follow hexagonal architecture principles and align it with the architectural standards of the main *revenue-management-be* project._x000D_
_x000D_
The target modular structure should consist of:_x000D_
 * microservice-adapter_x000D_
 * microservice-app_x000D_
 * microservice-core_x000D_
 * microservice-rest-api_x000D_
 * microservice-dto (optional)_x000D_
 * microservice-domain (optional)_x000D_
 * microservice-business-specific (optional, more than one module possible)_x000D_
_x000D_
Module dependencies should follow the structure presented in the attached diagram: _x000D_
_x000D_
!image-2026-02-26-14-41-24-169.png!_x000D_
h3. Out of Scope_x000D_
 * Introduction of new business functionality._x000D_
 * Refactoring of unrelated microservices._x000D_
 * Major redesign of existing business logic beyond structural alignment._x000D_
 * Changes in external APIs or contracts unless required by the restructuring._x000D_
_x000D_
h3. PPD Maturity Index / Control point: Quality / Maintainability / Modularity</t>
  </si>
  <si>
    <t>Performance -Known issues with performance in tasks assignment_x000D_
_x000D_
*Introduction*_x000D_
Assuming that automating and enhancing user assignments in tasks will introduce additional complexity (combined with the known performance issues of this functionality prior to these enhancements), we need to re-evaluate, measure, and improve its function performance._x000D_
The issue was reported by PD team without specific reporting on the results. _x000D_
_x000D_
 _x000D_
_x000D_
*Functional Requirements*_x000D_
a) Measure as-is_x000D_
b) Investigate performance enhancement  _x000D_
c) Make fixes estimation_x000D_
_x000D_
 _x000D_
_x000D_
*Expected LT volumes* _x000D_
|Transactions RM – Tasks|Year – Cases, assigned (human) tasks to users|~1.5 million tasks/year| |_x000D_
|Transactions RM – Tasks|Daily – Cases, assigned (human) tasks|~2,000–3,000/day| |_x000D_
|Transactions RM – Tasks|Peak – Cases, assigned (human) tasks|~5,000/day (during campaign or mass-processing periods)| |_x000D_
| |Stress|5000 in 1 hour| |_x000D_
_x000D_
Volumes : [https://confluence.intrasoft-intl.com/spaces/IC/pages/218929689/Assumptions+on+Data+Volumes+WIP]_x000D_
|API key object retrieval| ≤ 3 seconds|_x000D_
|UI interaction (FE respond any page)| ≤ 2 seconds |_x000D_
_x000D_
[https://confluence.intrasoft-intl.com/spaces/IC/pages/92740063/Performance] _x000D_
_x000D_
[GatheringDetailsForPerformanceSystemChecks.xlsx|https://netcompany-my.sharepoint.com/:x:/p/isiampou/IQA4n6p5ju_OSJPMQSdgPr9rASk4o6y4x0Gx8ze82IJxL9o?e=jPc9hi]</t>
  </si>
  <si>
    <t>As an SS or RM user with specific rights or admin, I need to be able to relate attachments with representations as to be able to relate Authorization paperwork with representations. _x000D_
*{color:#ff8b00}CHECK ! Review the LT branch for any implemented functionalities that can be merged into the product.{color}*_x000D_
_x000D_
 _x000D_
_x000D_
*Functional requirements*_x000D_
_x000D_
*Basics:* _x000D_
 * If user via a form or in SS or RM Ui, create a representation, document may be related to _x000D_
Agreement, Party Role relations,  Both Party Roles_x000D_
_x000D_
*Versioning*_x000D_
 * Changes should be logged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</si>
  <si>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*Only P1 batchjobs will be migrated in this Part 2 Enabler, the remaining will be migrated in Part 3 (IRM-41632)*_x000D_
_x000D_
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|overpayment-process|BASE|TBD|p1|_x000D_
|direct-deposit|BASE|TBD|p1|_x000D_
|object-access-group-initialization*|BASE|TBD|p1|_x000D_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|candidate-case-creation|EXAMPLE|TBD|p1|_x000D_
|late-filer-rule|EXAMPLE|TBD|p1|_x000D_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</si>
  <si>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This enabler focuses on improving the overall usability and user experience of the Solon Tax application._x000D_
It includes development, QA, and FAT efforts addressing issues identified during accessibility testing, as well as UI/UX refinements to enhance clarity, navigation, and responsiveness._x000D_
_x000D_
The goal is to deliver a smoother, more intuitive interaction for all users while ensuring that accessibility-related improvements integrate seamlessly into the product’s visual and functional design.</t>
  </si>
  <si>
    <t> _x000D_
 * *SS operational reports/contacts -Jasper*_x000D_
 ** I can generate and run Operational reports and contacts in SS._x000D_
_x000D_
 _x000D_
_x000D_
Note: This was defined as needed for Digital signature related api calls. _x000D_
_x000D_
 _x000D_
----_x000D_
 </t>
  </si>
  <si>
    <t>As a revenue officer, I need to provide comments with wider description, as to be able to explain the reason of this item and keep track of them. _x000D_
_x000D_
*Introduction* _x000D_
_x000D_
To support the requirements of LT, we need to expand the maximum character length of the Comment fields across all system items. Currently, the character limits are insufficient for example in Human Tak entity where the user is requested to comment on a task and this requires more than 255 characters that is currently available. _x000D_
_x000D_
*Functional Requirements*_x000D_
_x000D_
For all comment field items: _x000D_
 * Extend Comment fields to accept length of 2000 characters_x000D_
 * Visible in Ui in record page </t>
  </si>
  <si>
    <t>*Problem Statement*_x000D_
_x000D_
As the SolonTax codebase grows in size and complexity, it becomes increasingly difficult to manually enforce architectural guidelines and design principles ( see D0160 Programming Guidelines) during code reviews. This leads to several risks:_x000D_
 * *Architectural Drift:* Over time, the code can deviate from its intended design (e.g., layered architecture, domain model purity), leading to tight coupling and reduced maintainability._x000D_
 * *Inconsistent Code Reviews:* Architectural violations can be easily missed during manual reviews, as reviewers are often focused on business logic._x000D_
 * *Increased Technical Debt:* Unchecked violations accumulate as technical debt, making future development, refactoring, and onboarding of new team members more difficult and costly._x000D_
_x000D_
There is currently no automated mechanism to prevent such architectural decay, making the system's long-term health dependent on tribal knowledge and manual vigilance._x000D_
_x000D_
*Proposed Solution*_x000D_
_x000D_
This enabler will introduce {*}ArchUnit{*}, a free Java library for checking the architecture of your code, into our build and test lifecycle. By writing plain Java unit tests, we can codify our architectural rules and automatically verify them._x000D_
_x000D_
The solution involves:_x000D_
 # *Integrating ArchUnit:* Add the ArchUnit dependency to the project's build configuration (e.g., Maven or Gradle)._x000D_
 # *Creating an Architecture Test Suite:* Establish a dedicated test source set or package for architectural tests._x000D_
 # *Implementing Foundational Rules:* Implement an initial set of high-value architectural rules to serve as a baseline and a template for future rules. These tests will run as part of the standard CI/CD pipeline, failing the build if a violation is detected._x000D_
_x000D_
This will provide immediate, automated feedback to developers and act as a powerful "guardrail" to prevent architectural erosion._x000D_
_x000D_
*Acceptance Criteria*_x000D_
 # *Dependency Integration:* The ArchUnit library is successfully added as a test-scoped dependency._x000D_
 # *Test Suite Creation:* A dedicated maven module is created to house all ArchUnit tests._x000D_
 # *CI/CD Integration:* The architectural test suite is configured to run automatically as part of the continuous integration pipeline during unit tests phase. A build must fail if any architectural rule is violated._x000D_
 # *Baseline Pass:* All newly introduced architectural tests pass against the existing codebase on the main development branch. If any pre-existing violations are found, they must be either fixed or explicitly exempted as part of this task's scope._x000D_
_x000D_
*Out of Scope*_x000D_
 * This enabler focuses on establishing the framework and implementing a foundational set of rules. Defining an exhaustive list of every possible architectural rule is not in scope._x000D_
 * Large-scale refactoring of the existing codebase to fix numerous pre-existing violations is out of scope, unless a small, agreed-upon number of fixes are required to establish a clean baseline.</t>
  </si>
  <si>
    <t>As a Solon Tax user on a customer-hosted environment, I want to access relevant help documentation directly from the Solon Tax hosted environment, so that I can get assistance without needing seperate access to connect to {{[https://docs.netcompany.com/]}} site_x000D_
_x000D_
*Description:*_x000D_
_x000D_
Currently, the Solon Tax UI integrates with the internal documentation portal at {{{}[https://docs.netcompany.com/]{}}}. This setup is not desired for customer-premise deployments which are often in isolated environments._x000D_
_x000D_
This story covers the work required to package, deploy, and integrate a self-contained version of the Solon Tax documentation portal within the standard Solon Tax product deliverables._x000D_
_x000D_
*Acceptance Criteria:*_x000D_
 # A new process exists to build a stripped-down Docker image of the documentation portal, containing only the Solon Tax documentation._x000D_
 # A new Helm chart is created to deploy this documentation Docker image as part of the standard Solon Tax vanilla deployment._x000D_
 # The Solon Tax UI is reconfigured to retrieve help pages from the newly deployed, in-cluster documentation service instead of the external {{{}docs.netcompany.com{}}}._x000D_
 # Access to the bundled documentation site is secured; users must be authenticated and authorized through the existing Solon Tax access control mechanisms._x000D_
 # Unauthenticated users are prevented from accessing the documentation content._x000D_
 # Documentation on installation deliverables, installation procedure and architecture are updated accordingly.</t>
  </si>
  <si>
    <t>h2. Overview_x000D_
_x000D_
This initiative modernizes the Amplio batch processing system by enhancing maintainability, resilience, and operational flexibility. Building on learnings from the Lithuania project and the migration of batch jobs to Amplio the work focuses on refactoring existing batch jobs rather than creating new features._x000D_
h2. Key Objectives_x000D_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Business Value_x000D_
 * Improved system resilience and reduced manual intervention_x000D_
 * Reduced technical debt and improved long-term maintainability_x000D_
 * More stable and secure codebase</t>
  </si>
  <si>
    <t>cont.  :https://jira.intrasoft-intl.com/browse/IRM-25038 _x000D_
_x000D_
 _x000D_
_x000D_
Solon Tax microservices have domain boundaries that also encapsulate the corresponding transactional boundaries. I.e. most API operations result in ACID transactions as the updates are handled within the owning microservice's database._x000D_
_x000D_
 _x000D_
_x000D_
However there are some APIs of the system that the owning service also issues PUT/POST requests to different services. For these cases, strong error handling should be introduced._x000D_
_x000D_
 _x000D_
_x000D_
Syncronous operations refer to:_x000D_
 * HTTP api invocation. A distributed transaction there involves data updates to more than one microservices in the lifecycle of the HTTP request_x000D_
 * Kafka message consumption. A distributed transaction there involves data updates to more than one microservices in the lifecycle of the kafka message under consuption._x000D_
_x000D_
In cases were an operation invokes one or more published messages that are subsequently causing other updates, these are considere eventually consistent transactions and are not in the scope of this enabler._x000D_
_x000D_
 _x000D_
_x000D_
Scope of this enabler is to :_x000D_
_x000D_
Decide and introduce appropriate error handling for Taxpayer cases as listed in [https://netcompany.sharepoint.com/:x:/s/ICARUSProductTeam/IQDDvVCJsRcQR5si6csRQX4UASFBtrUfVPMWEu6yVXFAQ6w?e=6ZruVa] _x000D_
*for " taxpayer", "registration"* _x000D_
_x000D_
Consider any patterns to the flows implemented already_x000D_
_x000D_
Note that the [https://confluence.intrasoft-intl.com/spaces/IC/pages/224722770/Data+integrity+improvements]  _x000D_
_x000D_
1. Assign worker to a human task._x000D_
2. Claim a human task_x000D_
_x000D_
 </t>
  </si>
  <si>
    <t>When using CustomObjectField, we want the UI to display the description of the object rather than the internal code, based on the backend response and the configuration attributes available._x000D_
_x000D_
Currently, we have set isFlat = true in order to display the object data correctly. However, this configuration seems to interfere with how the label is rendered — instead of showing the user-friendly description, it displays the raw code. This is not the expected behavior and leads to a poor user experience.</t>
  </si>
  <si>
    <t>As a taxpayer I want to be able to see calculated tax in a declaration form (ie VAT) in taxpayers' portal prior submitting and save this as a draft form, so as to be able to meet requirements for Greek demo.
*Functional Requirement*
&gt; User can see in  ISS a tax declaration form ie VAT total tax amount calculated prior submitting the form, save form as a draft and then open to submit. </t>
  </si>
  <si>
    <t>As an admin or user with proper permissions, I want to export the information of a specific code list and its related code list items, so that this information can be edited or used in another tool._x000D_
_x000D_
*Functional Requirements*_x000D_
 * Admin can choose to download the information of a specific code list and its related code list items in a structured format (e.g. using XML, csv, xls) , in selected language. _x000D_
Will contain information with codes and descriptions (where applicable) for  : _x000D_
 ** Codelist  , related categories and attributes_x000D_
 ** Codelist Items  with columns_x000D_
a) Code,  b) Description, c) Order,   d)Attributes and attribute values, _x000D_
e) Related codelist items in category cross (with codelist-s related info) (codelist code, description , codelist item code description) , _x000D_
f)   related codelist items within codelist _x000D_
 * Admin can provide a name for the file in which the information must be stored and can indicate in what folder this file should be saved_x000D_
 * Admin can see that a file with the information for that specific code list and its related code list items was created after the download was completed._x000D_
 * UI: User may see controls to export codelist in common codelist UI page. and in codelists list view._x000D_
_x000D_
 _x000D_
_x000D_
*Documentation*_x000D_
Document all the above adjustments. _x000D_
_x000D_
 _x000D_
_x000D_
*Non functional requirements*_x000D_
Performance , Security, Accessibility, Usability  DODs should be fulfilled. </t>
  </si>
  <si>
    <t>As an admin, I want to import information for one or more code lists, so that this information can be used to add or update these code lists and their related code list items._x000D_
_x000D_
*Functional Requirements*_x000D_
 * Admin can select a file that contains structured information (e.g. in XML format) on one or more code lists and their related code list items. The file structure will be available in the Solon documentation. _x000D_
 * Admin can upload the information from the selected file. _x000D_
Assumption is that admin can by uploading the file add new code lists and their related code list items, add a new code list item to an existing code list, and add or update new data pertaining an existing code list or code list item except for any data that uniquely identifies this code list or code list item. _x000D_
Assumption that admin cannot by uploading the file delete any code lists or code list items._x000D_
 * Admin can see that the information from the selected file was used to add or update the code lists and their related code list items for which information was included in the selected file._x000D_
 * UI: Admin may access controls to upload an codelist with codelist items  with attributes and relationships._x000D_
 * Exceptions will be thrown if upload cannot be successfully completed with error descriptions. _x000D_
(non available related item, non available attribute, wrong expiration dates) </t>
  </si>
  <si>
    <t>As an IRM Admin I should be able to support audit trail functionality on the Statute of Limitation period in IRM defined in IRM, so that a revenue authority can comply with  requirement established by law. 
*Introduction* 
As a result of the feature IRM-746 for the support of statute of limitation date, audit trail functionality of this date is essential for a revenue authority to be able to comply with legal requirements. 
*Functional Requirements*
The admin should be able to identify on which events an instance of statute of limitation date was altered, and whether this was done via an automatic process or manual (by which user). The aim is to be able to provide details of the modifications on a statute of limitation date. </t>
  </si>
  <si>
    <t>As a self service user, I want to see an overview of a taxpayer account that I can access, so that I can confirm this is the taxpayer account that I intended to access, can understand the obligations for this account, can see notifications sent to this account and see the taxpayer account balances.
*Introduction*
This feature is related to IRM-3447 in which requirements have been doccumented to see an overview of a taxpayer account on the self service.
Some example wireframes have been attached to this feature.  In case the content on the wireframes differs from the functional requirements, then the functional requirement should be used as input when implementing this feature.
*Functional requirements*
 * User can see registration details of the taxpayer.
 ** {color:#c1c7d0}Data set:{color}
 *** {color:#c1c7d0}Name: the primary name of the taxpayer for which the account overview is shown{color}
 *** {color:#c1c7d0}ID type: the type of the primary identifier of the taxpayer for which the account overview is shown{color}
 *** {color:#c1c7d0}ID number: the primary identifier number of the taxpayer for which the account overview is shown{color}
 *** {color:#c1c7d0}Address: the preferred address for communication with the taxpayer for which the account overview is shown{color}
 *** {color:#c1c7d0}Email: the preferred email address for communication with the taxpayer for which the account overview is shown{color}
 ** Actions:
 *** {color:#172b4d}User can open the registration details{color}
 *** {color:#172b4d}User can open and update the registration details{color}
 * {color:#c1c7d0}User can see the current balances for each tax type for which this taxpayer was registered{color}
 ** {color:#c1c7d0}Data set - can contain data for multiple tax types{color}
 *** {color:#c1c7d0}Tax type: a tax type for which this taxpayer was registered{color}
 *** {color:#c1c7d0}Balance: the current balance for a tax type for which a taxpayer was registered - any period in which the tax type was applicable for this taxpayer should be considered when calculating the balance{color}
 ** {color:#c1c7d0}Actions:{color}
 *** {color:#c1c7d0}User can open the details for a specific tax type for which this taxpayer was registered (see IRM-3449){color}
 * {color:#c1c7d0}User can see the past, present, and future obligations and their status for the taxpayer account in a timeline{color}
 ** {color:#c1c7d0}Data set - can contain data for multiple obligations{color}
 *** {color:#c1c7d0}Tax type: the tax type for which the obligation exists{color}
 *** {color:#c1c7d0}Obligation action type: the type of action that the taxpayer is obliged to take{color}
 *** {color:#c1c7d0}Period: the period for which the obligation exists (if any){color}
 *** {color:#c1c7d0}Status: the status of the action that the taxpayer is obliged to take - user can for example see if the action has been completed or not - and see for actions that have not been completed yet whether the action is considered overdue or not (e.g. overdue is red, due is orange and completed is green){color}
 *** {color:#c1c7d0}Obligation Due date: the date by which the action, that the taxpayer is obliged to take, must be completed{color}
 ** {color:#c1c7d0}Actions:{color}
 *** {color:#c1c7d0}User can open the details for a specific obligation{color} (see IRM-3451)
 * {color:#c1c7d0}User can see the latest notifications{color}
 ** {color:#c1c7d0}Data set - can contain data for multiple notifications{color}
 *** {color:#c1c7d0}Notification date: the date the notification was sent to the taxpayer{color}
 *** {color:#c1c7d0}Notification message: the notification message header{color}
 *** {color:#c1c7d0}Notification read or unread: indication whether the user has read the message ate least once or not{color}
 *** {color:#c1c7d0}Notification importance: the importance of the notification{color}
 ** {color:#c1c7d0}Actions:{color}
 *** {color:#c1c7d0}User can open the details for a specific notification{color}</t>
  </si>
  <si>
    <t>As an admin, I want to use the case worker’s availability as a criterion in a case worker’s profile. So that only case workers that have a certain availability can be assigned to cases for which this case worker’s profile is applicable.
*Introduction*
This feature extends IRM-702 in which requirements have been documented to define what case worker’s profiles are required to perform a certain type of case.
*Functional Requirements*
 * Admin can use the following matching criteria when defining profiles for the most suitable case workers for a specific type of case:
 ** Average Allocation: can be calculated by dividing the sum of the allocated effort of a worker within a given period (from the start date up until the end date of a case) by the sum of the available man-hours in that same period based on the resource calendars that are effective for the case worker in that period. Admin can for example define that the average allocation should be equal to or less than 0.8.
 ** Available man-hours: can be calculated by subtracting the sum of the allocated effort of a case worker within a given period (from the start date up until the end date of a case) from the sum of the available man-hours in that same period based on the resource calendars that are effective for the case worker in that period. Admin can for example define that a worker should at least have 8 hours unallocated man-hours within a period.</t>
  </si>
  <si>
    <t>As a revenue official, I want to assign case workers (user) that have a required profile (e.g. skills, experience and part of a certain organizational unit) to a case while also considering the availability of the suitable candidates, so that a capable worker (user) with sufficient availability can work on and complete the case. Also, I want to see how much effort is involved for each assigned case worker and for the case in total.
*Introduction*
This feature extends IRM-680 in which requirements have been documented to assign and unassign a worker to/from a case. IRM-680 includes a requirement that the user can specify the expected allocation of a case worker for a case.
This feature is related to IRM-12459 in which requirements have been documented to assign and unassign one or more resource calendars to a worker.
*Functional Requirements*
 * Eligible Workers
 ** User can see the average allocation from the case start date up until the case end date for each case worker that meets any of the worker’s profiles for the case. Average allocation can be calculated by dividing the sum of the allocated effort of a case worker from the start date up until the end date of a case by the sum of the available man-hours in that same period based on the resource calendars that are effective for the case worker in that period
 ** User can see the availability in man-hours from the case start date up until the case end date for each case worker that meets any of the case worker’s profiles for the case. Available man-hours can be calculated by subtracting the sum of the allocated effort for a case worker from the start date up until the end date of a case from the sum of the available man-hours in that same period based on the resource calendars that are effective for the case worker in that period.
 * Worker’s Assignment
 ** User can see what effort has been calculated based on the provided expected allocation for the case worker’s assignment and the resource calendar(s) that are effective for this worker from the case start date up until the case end date. Effort can only be calculated if (1) a start date and end date have been defined for the related case, and (2) an expected allocation has been provided. Period(s) within the start and end date of the case for which no effective resource calendar has been defined for the case worker are considered non-working periods. Assumption is that the effort will be recalculated if (1) the case start or end date are updated, (2) the expected allocation for that case worker for that case is updated, and/or (3) a resource calendar of an assigned case worker that falls within the period in which the case has been scheduled, is updated.
 * User can see the total calculated effort for the case. Total effort is equal to the sum of the effort that was calculated for each case worker that was assigned to the case.</t>
  </si>
  <si>
    <t>As a self service user, I want to see the details of a specific filing obligation for a specific taxpayer, so that I can see what forms have been created and/or already filed as a result of this obligation, what amounts have been assessed as a result of filing these forms, and what other information has been exchanged with the revenue authority related to this filing obligation such as supporting documents and notices.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filing obligation for a specific taxpayer
 ** Actions:
 *** {color:#172b4d}User can open a new or draft amended tax return form for a filing obligation. Assumption is that the correct tax return form is opened for the specific tax type for which the overview is provided. Also, the assumption is that the tax return form can be prefilled with data that is already known - for example the taxpayer details, filing period details and data from the original tax return. User can only open a new or draft amended tax return if an original tax return has been submitted for this filing obligation. Assumption is that the user can only amend a tax return for specific tax types (e.g. for corporate income tax).{color}
 *** {color:#172b4d}User can open a payment form (see IRM-3542 for an example of a payment form) to pay the sum of all current positive balances of any payment obligations that are related to a specific filing obligation (e.g. late filing penalty or tax assessment and any related charges that were added after filing a tax return for this filing obligation). Assumption is that the payment form can be prefilled with data that is already known - for example the taxpayer details and the payment obligation details. User can only open a payment form if there is an outstanding amount that needs to be paid for these payment obligations.{color}
 *** {color:#172b4d}User can open a form to request a refund if an overpayment exists for one or more payment obligations that are related to a specific filing obligation (e.g. late filing penalty or tax assessment and any related charges that were added after filing a tax return for this filing obligation). Assumption is that the refund request form can be prefilled with data that is already known - for example the taxpayer details and the details of the payment obligations for which an overpayment exists. User can only open a refund request form if an overpayment amount exists for any of the payment obligations.{color}
 *** {color:#172b4d}User can open a form to request to offset an overpayment that exists for one or more payment obligations that are related to a specific filing obligation (e.g. late filing penalty or tax assessment and any related charges that were added after filing a tax return for this filing obligation). Assumption is that the request overpayment offset form can be prefilled with data that is already known - for example the taxpayer details and the overpayment amount that can be offset.{color}
 *** {color:#c1c7d0}User can upload a supporting document that can be used by the revenue authority to validate the content of the submitted tax return. User can only upload a document if the obligation to file a tax return has been met.
 *** User can open a financial overview (see IRM-3452) for the payment obligations that are related to a specific filing obligation (e.g. late filing penalty or tax assessment and any related charges that were added after filing a tax return for this filing obligation).
 * User can see what amounts have been assessed related to a specific filing obligation (e.g. late filing penalty or tax assessment that was added after filing a tax return for this filing obligation). Any charges (e.g. late payment penalty or interest) that are levied towards these original assessments are not considered in this overview.
 ** Data set - can contain data for multiple assessments
 *** Filing type: the type of submission that was done (e.g. submit preliminary, original or amended tax return)
 *** Letter reference number: unique reference number of the assessment notice in which the taxpayer was informed about the assessment
 *** Assessed amount: the amount that was assessed{color}
 * {color:#172b4d}User can see what draft tax returns exist for a specific filing obligation. These tax returns have not been submitted yet.{color}
 ** {color:#172b4d}Data set - can contain data for multiple draft tax returns - most often just one draft form{color}
 *** {color:#172b4d}Form type: the type of form that was saved as a draft{color}
 *** {color:#172b4d}Form reference number: the reference number of the form that was saved as a draft{color}
 *** {color:#172b4d}Last updated date: the date the draft form was last updated{color}
 *** {color:#172b4d}Status: the status of the form that was saved as a draft (e.g. saved){color}
 ** {color:#172b4d}Actions:{color}
 *** {color:#172b4d}User can open the draft tax return (see IRM-3539 for an example of a value added tax return form){color}
 * {color:#172b4d}User can see what supporting documents have been uploaded for a specific filing obligation.{color}
 ** {color:#172b4d}Data set - can contain data for multiple supporting documents{color}
 *** {color:#172b4d}Document type: the type of supporting document that was submitted to the revenue authority{color}
 *** {color:#172b4d}Document reference number: a unique reference number of the supporting document that was submitted to the revenue authority{color}
 *** {color:#172b4d}Submission date: the date the supporting document was submitted to the revenue authority{color}
 *** {color:#172b4d}Status: the status of submitting a supporting document (e.g. submitted){color}
 ** {color:#172b4d}Actions:{color}
 *** {color:#172b4d}User can open a supporting document{color}
 * {color:#172b4d}User can see what letters (e.g. reminder letter, notice letter) were sent to the taxpayer by the revenue authority.{color}
 ** {color:#172b4d}Data set:{color}
 *** {color:#172b4d}Letter type: the type of letter that was sent to the taxpayer{color}
 *** {color:#172b4d}Letter reference number: a unique reference for the letter that was sent to the taxpayer{color}
 *** {color:#172b4d}Description: a description of the letter that was sent to the taxpayer{color}
 *** {color:#172b4d}Letter date: the date the letter was considered to have been delivered to the taxpayer{color}
 ** {color:#172b4d}Actions:{color}
 *** {color:#172b4d}User can open a letter (see attached wireframe){color}</t>
  </si>
  <si>
    <t>As an admin, I want to define and maintain user-defined characteristics for payment events, so that these characteristics can be used to store data on instances of payment events.
*Functional Requirements*
 * Admin can define user-defined characteristics that must be available for a payment event
 * Admin can edit the properties of a user-defined characteristics, such as a unique identifier, description, help text, data type, data length, predefined value, lookup values, required, visible, and display only. Examples of data types that can be supported for these characteristics are string, date/time, number, amount, code list (e.g. region) and a reference to another type of entity in the application.
 * Reference Type of Entity
 ** Admin can define multiple user-defined characteristics that reference the same type of entity if instances of that type of entity can have a different meaning for a payment event
 ** Admin can define whether a user-defined characteristic can reference only one or multiple instances of a specific type of entity
 ** Admin can define what properties are shown for each type of entity that is referenced by a certain user-defined characteristic
 * Reference Code List
 ** Admin can define multiple user-defined characteristics that reference the same code list
 ** Admin can define whether a user-defined characteristic can reference only one or multiple code list items of a specific code list
 * Admin can remove a user-defined characteristic for a payment event if there are no referential constraints
 * Admin can disable a user-defined characteristic for a payment event if the characteristic is no longer relevant
 * Admin can enable a disabled user-defined characteristic for a payment event if the characteristic is deemed relevant again
 * Admin should be warned when adding or editing user-defined characteristics when payment events exist
 * Grouping
 ** Admin can group characteristics. Group can contain sub-groups.
 ** Admin can edit a group, for example the description
 ** Admin can delete a group, provided there are no referential constraints
 ** User can rearrange groups and sub-groups
 ** User can rearrange the characteristics within the payment event, groups or sub-groups
 * Rules
 ** Admin can define rules for a characteristic to validate the data that will be entered by the user
 ** Admin can define rules for a characteristic to determine if the characteristic should be visible or invisible
 ** Admin can define rules for a characteristic to determine if a characteristic is required or not
 ** Admin can define rules for a characteristic to determine when the characteristic should be editable or not
 ** Admin can define an error message that must be shown when the data entered by the user does not comply with the validation rule</t>
  </si>
  <si>
    <t>As a self service user, I want to see the details of a specific payment, so that I can understand when and how the payment was made, understand what was paid and see the related payment receipt.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payment
 ** Data set:
 *** Payment date: the date on which a payment was made by the user
 *** Payment method: the method that was used to make the payment
 *** Amount paid: the amount that was paid by the user
 *** Status: the status of the payment that was made by the user (e.g. accepted and cancelled)
 * User can see what payment form was submitted to make the payment
 * Data set
 ** Form type: the type of form that was submitted
 ** Form reference number: the reference number of the form that was submitted
 ** Submission date: the date the form was submitted
 ** Status: the status of the form that was submitted (e.g. submitted, being processed or processed)
 * Actions:
 ** User can open a submitted payment form (see IRM-3542 for an example of a payment form)
 * User can see the payment receipt that was provided after having completed the payment
 ** Data set:
 *** Receipt number: a unique reference for the payment receipt that was provided
 *** Creation date: the date the receipt was created
 ** Actions:
 *** User can open the receipt (see attached wireframe)
 * User can see what was paid with the payment.
 ** Data set:
 *** Tax type: description of the tax type to which the payment was distributed for the taxpayer
 *** Period: description of the period (if any) to which the payment was distributed for the taxpayer
 *** Amount paid: the amount that was paid to the specific tax type and period for the taxpayer</t>
  </si>
  <si>
    <t>As a self service user, I want to see what payments were made for a specific taxpayer, so that I understand when those payments were made, what payment methods were used, how much was paid and see the statuses of these payments.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payments that were made for a specific taxpayer
 ** Filters:
 *** Year: user can choose to view the payments for all years or for a specific year
 *** Status: user can choose to view the payments with any status or to view only payments with a specific status
 ** Data set:
 *** Payment date: the date on which a payment was made by the user
 *** Payment method: the method that was used to make the payment
 *** Amount paid: the amount that was paid by the user
 *** Status: the status of the payment that was made by the user (e.g. accepted, rejected and cancelled)
 ** Actions:
 *** User can open the details of a specific payment (see IRM-3545)</t>
  </si>
  <si>
    <t>As a self service user, I want fill in and submit a payment form to pay the amounts owed for certain payment obligations, so that I can meet these payment obligations towards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a payment form
 ** Data set:
 *** Taxpayer details
 **** Taxpayer name: name of the taxpayer for which the payment obligations exist - assumption is that the taxpayer name can be prefilled and is read-only
 **** Identification type: the primary identification type of the taxpayer - assumption is that the identification type can be prefilled and is read-only
 **** Identification number: the primary identification number of the taxpayer - assumption is that the identification type can be prefilled and is read-only
 *** Payment details
 **** Payment method: payment methods that the user can select from - payment method credit card is used as an example in this example
 **** Payment service provider: payment service providers that the user can select from - payment service provider can only be selected if there are multiple payment service providers that support the selected payment method
 **** Credit card: types of credit cards that the user can choose from
 **** Credit card number: number on the user's credit card
 **** Expiry date month: credit card will expire at the end of this month
 **** Expiry date year: credit card will expire in this year
 **** CVV Security Code: security code that can be found on the back of the credit card
 **** Name: name that is displayed on the front of the card
 *** Payment Obligations - can contain data of multiple payment obligations
 **** Tax type: description of the tax type for which the payment obligation exists - assumption is that this information is prefilled based on the payment obligations that were selected on a previous page (see for example IRM-3451 and IRM-3541) and read-only
 **** Period: description of the period (if any) for which the obligation to pay certain liabilities exist (e.g. late filing penalty or tax assessment and any related charges that were added after filing a tax return for this period) - assumption is that this information is prefilled based on the payment obligations that were selected on a previous page (see for example IRM-3451 and IRM-3541) and read-only
 **** Payable amount: the total outstanding amount for a payment obligation - assumption is that this information is prefilled based on the payment obligations that were selected on a previous page (see for example IRM-3451 and IRM-3541) and read-only
 **** Payment amount: amount that the user can enter to indicate how much should be paid for a specific payment obligation - assumption is that the payment amount is equal to the payable amount by default
 **** Total payable amount: the sum of the payable amounts of the selected payment obligations - assumption is that this amount is calculated and read-only
 **** Total payment amount: the sum of the amount that will be paid for the selected payment obligations - assumption is that this amount is calculated and read-only
 ** Actions:
 *** User can print a payment form as a PDF
 *** User can submit a payment form once the form has been filled in. User can see if there are any validation issues that need to be resolved before the value added tax return can be submitted. User can see a confirmation if the payment was successfully processed (see attached wireframe). User can open a payment receipt if the payment was successfully processed (see attached wireframe).</t>
  </si>
  <si>
    <t>As a self service user, I want to see what payment obligations exist for a specific taxpayer, so that I can take action to pay what is owed by the taxpayer to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current payment obligations for a specific taxpayer
 ** Data set:
 *** Tax type: description of the tax type for which the obligation to pay certain liabilities exist
 *** Period: description of the period (if any) for which the obligation to pay certain liabilities exist (e.g. late filing penalty or tax assessment and any related charges that were added after filing a tax return for this period)
 *** Payable amount: the amount that the taxpayer is obliged to pay for the specific tax type in the specific period (if any)
 *** Status: the status of the payment action that the taxpayer is obliged to perform - user can see whether the action is considered overdue or not
 ** Actions:
 *** User can select one or more payment obligations for which the user wants to take action to pay what is owed to the revenue authority
 *** User can open a payment form (see IRM-3542) to provide the information that is required to pay the selected payment obligations</t>
  </si>
  <si>
    <t>As an admin, I want to automatically send a copy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IRM-786 and IRM-789 where requirements have been documented to send an outbound letter and outbound email / text messages automatically to a single party._x000D_
_x000D_
*Functional Requirements*_x000D_
_x000D_
Admin can enter literal values and/or reference values that will be known at run-time for input parameters that admin has defined for this type of contact and that can be used to automatically select the type of recipients that need to be considered for this type of outbound message, and automatically select a recipient for each type of recipient (based on rules defined by admin). These values can be defined on a 'establish and/or record contact' task within a specific type of business process (see IRM-785)._x000D_
_x000D_
When executing the 'establish and/or record contact' task on an instance of this type of business process, the system will automatically generate all outbound messages, store these messages, finalize the messages, select a communication channel for each recipient and send the finalized outbound messages via the selected communication channels (e.g. print letter or send email).</t>
  </si>
  <si>
    <t>As an admin, I want to define and maintain rules to determine what recipient(s) need to receive a copy of a certain type of outbound message (e.g. certain type of letter, email or SMS), so that duplicate messages can be send to all parties that need to be informed._x000D_
_x000D_
*Introduction*_x000D_
_x000D_
This feature extends IRM-772 in which requirements have been documented to define and maintain different types of contacts._x000D_
_x000D_
Recipients will receive the same information or almost the same information. For example, one letter could contain text to explain that this letter is a copy of the letter that has been sent to the taxpayer representative._x000D_
Relevant to https://jira.intrasoft-intl.com/browse/IRM-774 _x000D_
_x000D_
*Functional Requirements*_x000D_
 * Admin can define rules to determine what types of recipients must receive a copy of a specific type of outbound message under certain circumstances. For example, if a certain type of letter is sent to the recipient type 'taxpayer' then a copy of this letter may have to be sent to the recipient type 'tax agent' and/or recipient type 'spouse'._x000D_
 * Admin can define rules to determine the recipient for each type of recipient that will receive a copy of the message. For example, find the 'tax agent' that is representing a 'taxpayer' for a specific type of tax. Input parameters defined on the contact type can be used to select the recipients. Values for these input parameters can be provided at design time (literal values) or can be provided at run-time.</t>
  </si>
  <si>
    <t>As an admin, I want to define and maintain different types of recipients for outbound messages, so that it can be indicated to what type of recipients a specific message (e.g. letter or email) must be send.
*Functional Requirements*
 * Admin can define a new type of recipient. Examples of properties of a recipient are a code and a description.
 * Admin can search a type of recipient
 * Admin can update a type of recipient
 * Admin can delete a type of recipient provided there are no referential constraints</t>
  </si>
  <si>
    <t>As a revenue official, I want to send a copy/version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IRM-762 and IRM-765 where requirements have been documented to send an outbound letter and outbound email / text message manually to a single party._x000D_
Admin feature to support this is the IRM-26951 _x000D_
_x000D_
*Functional Requirements*_x000D_
 * *Select recipients*_x000D_
 ** User can select to send a contact to multiple recipients instead of one party role if contact type allows this usage. Option appears to the user to load a list. _x000D_
 *** Optionally select to upload a file with party role IDs.  The party roles appears in a list. _x000D_
 *** Optionally may add recipients manually selecting them and adding in the list. _x000D_
 *** Optionally may select one recipient from the list and click to remove it._x000D_
 *** The contact is send using one record of contact as per the channel selected. -The preferred contact is selected if applicable.-_x000D_
-(Note: it is better to use systems contact details to avoid improper usage of persons emails)-  _x000D_
 ** -User will create the parent contact as per contact type.-_x000D_
 *** -It is expected system , per recipient to generate/send a new contact  - as a child contact to parent contact created.-  _x000D_
 *** -The child contacts should be visible under the parent contact-_x000D_
 ** User will select one channel. _x000D_
 * *Generation and results*_x000D_
 ** User can generate the outbound messages/emails for the recipients selected._x000D_
 ** Different types of recipients may receive different outbound message content. (Based on [https://jira.intrasoft-intl.com/browse/IRM-774] ) Admin need to define the contact template per recipient.  _x000D_
Examples: _x000D_
One outbound message could contain text to explain that this outbound message is a copy of the outbound message that has been sent to another type of recipient._x000D_
Address requested in contact template as well as balance is adjusted as per party selected. _x000D_
Generation requirements as documented in IRM-762 and IRM-765 also apply when sending outbound messages to multiple recipients. (to be moved to a new feature)._x000D_
 ** User can regenerate the outbound messages. Regeneration requirements as documented in IRM-762 and IRM-765 also apply when sending outbound messages to multiple recipients._x000D_
 ** User can finalize the generated outbound messages._x000D_
 ** User can send the finalized outbound messages via the selected communication channel. Send requirements as documented in IRM-762 and IRM-765 also apply when sending outbound messages to multiple recipients._x000D_
 ** User can store the outbound messages. Storage requirements as documented in IRM-762 and IRM-765 also apply when sending outbound messages to multiple recipients._x000D_
 ** User can see the results of the emailing/sms if integration allows so (as per  IRM-27816 ) _x000D_
 ** Solution should be applicable to [https://jira.intrasoft-intl.com/browse/IRM-28177] _x000D_
 * *Exceptions*_x000D_
 ** Errors/exceptions appears if one of the recipients have incorrect/missing contact details for the selected channel and none of the batch  is sent. _x000D_
"Mass contact generation failed" _x000D_
"Mass contact send failed" _x000D_
Note: it is expected is user does not have access as per row level security to the party role, cannot select party role in the list described above._x000D_
 ** Errors/exceptions appears if any of the contacts cannot generate proper content - parameters are missing. _x000D_
 * *History*_x000D_
 ** All Actions and list of sent contacts should be logged in audit trail_x000D_
 * *Admin leftovers*_x000D_
 ** Make visible admin items implemented in [https://jira.intrasoft-intl.com/browse/IRM-26951]  _x000D_
_x000D_
 _x000D_
----_x000D_
Notes: _x000D_
_x000D_
 _x000D_
_x000D_
A)_x000D_
_x000D_
By an end customer an idea of how to work with files is: _x000D_
_x000D_
!image-2025-09-15-20-42-40-437.png!_x000D_
_x000D_
B) _x000D_
_x000D_
Requirements for a next version of this functionality : _x000D_
 * -{color:#c1c7d0}User can see what type of recipients are considered for this type of outbound message (based on rules defined by admin){color}-_x000D_
 * -{color:#c1c7d0}User can see what recipients have automatically been selected for each type of recipient that is considered for this type of outbound message (based on rules defined by admin). Values entered by the user for input parameters that provide the context in which the outbound message is created (as described in IRM-762 and IRM-765), are used as input to select the correct recipients.{color}-_x000D_
 * -{color:#c1c7d0}User can override what type of recipients must be considered for this outbound message{color}-_x000D_
 * -{color:#c1c7d0}User can override the selection of recipients for each type of recipient{color}-_x000D_
 * {color:#c1c7d0}-User can see and override the preferred communication channel for each recipient. Requirements to select communication channels as documented in IRM-762 and IRM-765 also apply when sending outbound messages to multiple recipients.-{color}_x000D_
 * User can send the finalized outbound messages via the selected communication channel{-}{color:#c1c7d0}s{color}{-}. Send requirements as documented in IRM-762 and IRM-765 also apply when sending outbound messages to multiple recipients._x000D_
 *  </t>
  </si>
  <si>
    <t>As a taxpayer, I want to see and pay my outstanding liabilities from the self service portal, so that I can understand and meet my payment obligations towards the revenue authority.
*Introduction*
This feature describes how the taxpayer can use the taxpayer self service portal to initiate a payment to pay outstanding liabilities.
The steps the taxpayer must follow to initiate and complete a payment may vary depending on the type of integration between ICARUS and the payment service providers (a.k.a. payment gateways or PSPs). Integration types to consider are (1) hosted - taxpayer leaves self service portal to complete payment on PSP portal, (2) direct post - PSP page that is used to complete the payment is embedded in a frame on self service portal and (3) non-hosted - self service portal provides features to capture all payment details and uses an API to submit details to the PSP. This feature describes the requirements assuming the 3rd type of integration is used.
Revenue authorities can depending on the requirements provide various options on the self service portal to pay outstanding liabilities, including for example (1) pay party role, (2) pay specific tax account, (3) pay a specific filing period, (4) pay a specific pay plan, (5) pay a specific collection notice, (6) pay a specific tax return, or (7) pay a specific single assessed liability (e.g. tax, penalty or interest). This feature describes the requirements for the 3rd and 7th option.
Revenue authorities can depending on the requirements provide various payment methods on the self service portal to pay outstanding liabilities. Examples include (1) credit card, (2) debit card, (3) PayPal and other similar services, (4) M-Pesa, Paym and other similar services, (5) direct debit, (6) PDS2 and other similar services and (7) guarantees registered at the revenue authority. This feature describes the requirements for the 1st option.
Revenue authorities and/or payment service providers may charge convenience fees. Information on any applicable fees must be presented to the portal user before submitting the payment. Convenience fee requirements will be documented in another feature.
As credit card details are used in the self service portal, the product should cater for features to allow the revenue authority to be PCI-DSS compliant. Relevant PCI-DSS requirements will be documented in another feature.
*Functional requirements*
 * User can select outstanding liabilities for payment. Examples in scope for this feature are:
 ** User can see a list with outstanding liabilities. Examples of properties to display in the list are the debt category, revenue type, filing period, notice reference number, payable amount and status of the liability (e.g. pending or overdue). User can select one or more outstanding liabilities for payment. See example on attached screenshot 'ICARUS Self Service Pay Specific Assessed Liabilities Example.png'. Multi-select and passing data to another action will be implemented as part of IRM-401.
 ** User can see the assessed liabilities (including outstanding liabilities) for a specific filing period (on the filing obligation details page). User can choose to pay all outstanding liabilities for the filing period or choose to pay a single assessed liability. See example on attached screenshot 'ICARUS Self Service Pay Specific Filing Period Example.png'.
 * User can enter the following data in the sample payment form.
 See example of form in attached screenshot 'ICARUS Self Service Payment Form Credit Card Example.png'
 ** Taxpayer Details
 *** Taxpayer Name (prefilled and read-only)
 *** Identification Type (prefilled and read-only)
 *** Identification Number (prefilled and read-only)
 ** Payment Details
 *** Payment Method (configurable list)
 *** Payment Service Provider (configurable list)
 Payment Service Provider field is only shown if there are multiple Payment Service Providers defined that support the selected Payment Method
 *** Credit Card (configurable list)
 *** Credit Card Number
 *** Expiry Date - Month
 *** Expiry Date - Year
 *** CVV Security Code
 *** Name on Card
 ** Payment Obligations (multiple; prefilled based on selected outstanding liabilities)
 *** Debt Category (prefilled)
 *** Revenue Type (prefilled)
 *** Period (prefilled)
 *** Reference Number (prefilled)
 *** Payable Amount (prefilled)
 *** Payment Amount
 User can enter the payment amount for each row with outstanding liability details.
 *** Total Payable Amount (calculated)
 *** Total Payment Amount (calculated)
 * User can see currency symbol for amounts.
 * User can save a draft of the payment form.
 * User can print the payment form to PDF.
 * User can submit the payment form to the Payment Service Provider.
 * User can see a payment confirmation message if the payment was successfully processed after submission. Examples of data displayed on the payment confirmation are the payment status, payment date, payment amount and payment receipt number. See example on attached screenshot 'ICARUS Self Service Payment Confirmation.png'.
 * If the payment could not be processed after submission, the user can see the validation exceptions in the payment form. Examples of reasons why the payment could not be processed are invalid credit card number and credit card is expired. The user should be able to correct the data entered in the payment form or to abort the attempt to pay
 * User can open the payment receipt. Examples of data displayed on the payment receipt are taxpayer name, taxpayer identification type, taxpayer identification number, taxpayer address, payment method, payment date, payment amount, and information about what was paid (e.g. tax type and filing period) (will be handled by IRM-380)
 * User can print the payment receipt to PDF (will be handled by IRM-380)
 *Note* that the form described above refers to the case of paying transactions. A different form should be created for the case of paying an obligation (Pay button on upper part of "ICARUS Self Service Pay Specific Filing Period Example.png"</t>
  </si>
  <si>
    <t>To Do</t>
  </si>
  <si>
    <t>p1</t>
  </si>
  <si>
    <t>Waiting Analysis Approval</t>
  </si>
  <si>
    <t>In Design</t>
  </si>
  <si>
    <t>Ready for Dev</t>
  </si>
  <si>
    <t>p2</t>
  </si>
  <si>
    <t>Under Analysis</t>
  </si>
  <si>
    <t>Waiting Solution Approval</t>
  </si>
  <si>
    <t>HLD</t>
  </si>
  <si>
    <t>p3</t>
  </si>
  <si>
    <t>In Progress</t>
  </si>
  <si>
    <t>Features Description</t>
  </si>
  <si>
    <t>Feature Status</t>
  </si>
  <si>
    <t>Feature Priority</t>
  </si>
  <si>
    <t>IRM-41799</t>
  </si>
  <si>
    <t>Representations : ISS - IRM Integration layer</t>
  </si>
  <si>
    <t>h3. Background_x000D_
_x000D_
The epic introduces the ability to create and manage representations from both the ISS and IRM system. _x000D_
_x000D_
The representations are initiated by an agreement, which is owned by the ISS system._x000D_
When an agreement is approved by both parties the representation is created as a party role relationship, which is owned by IRM._x000D_
_x000D_
The representation is therefore always created form ISS to IRM and not the opposite direction _x000D_
h3. Goal_x000D_
_x000D_
The goal of the enabler is to define and implement the integration contract between IRM and ISS for the agreement and party role relationship data_x000D_
 * IRM can consume ISS Agreement data in real-time._x000D_
 * ISS can react to IRM initiated Agreement data._x000D_
 * ISS can retrieve Party Role Relationship data from IRM_x000D_
 * No direct coupling between the two systems_x000D_
_x000D_
h3. Scope_x000D_
 # Integration contract_x000D_
 # Kafka topic definitions_x000D_
 # ISS API definitions_x000D_
 # Record locking across systems</t>
  </si>
  <si>
    <t>IRM-41760</t>
  </si>
  <si>
    <t>Representations : Notifications and Expiration Management of Representations in RM (affecting SS users)</t>
  </si>
  <si>
    <t>As an RM user with specific rights or admin, I need to be able to receive notifications related to representations if I am related to any such processes. _x000D_
_x000D_
*{color:#ff8b00}CHECK ! Review the LT branch for any implemented functionalities that can be merged into the product.{color}*_x000D_
_x000D_
 _x000D_
_x000D_
*Background*_x000D_
Representations are already implemented plus enchanced in [https://jira.intrasoft-intl.com/browse/IRM-36666] and [https://jira.intrasoft-intl.com/browse/IRM-36665] _x000D_
Representation = authorization granted by a taxpayer to a representative to act on their behalf for specific services and within a defined validity period._x000D_
_x000D_
 _x000D_
_x000D_
*Functional requirements*_x000D_
_x000D_
 _x000D_
_x000D_
*Expiration Enforcement*_x000D_
 * Automated expiration enforcement: Deactivation or permissions/representations when End DateTime expires._x000D_
_x000D_
 _x000D_
_x000D_
*Notification* _x000D_
 * When saving new representation or updated representation a notification is sent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Based on the below , revenue authority officer receives notifications of the representations that are related to his/her user account.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</si>
  <si>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IRM-41632</t>
  </si>
  <si>
    <t>Amplio batch - Replacement of SCDF with Amplio (Part 3)</t>
  </si>
  <si>
    <t>PI30</t>
  </si>
  <si>
    <t>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</si>
  <si>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PI29</t>
  </si>
  <si>
    <t>IRM-30356</t>
  </si>
  <si>
    <t>CORE DATA HUB CAPABILITIES</t>
  </si>
  <si>
    <t>AEOI, VIDA &amp; OTHER DATA EXCHANGE</t>
  </si>
  <si>
    <t>Vida PoC - Flow and example  integrations</t>
  </si>
  <si>
    <t>*FLOW :*_x000D_
_x000D_
{color:#505f79}1. Invoice Creation (Seller ERP/Accounting System){color}_x000D_
{color:#505f79}Seller generates invoice in EN 16931 compliant format (structured XML/UBL).{color}_x000D_
{color:#505f79}Integration Needed: ERP/accounting system must be able to export EN 16931 e-invoic{color}es._x000D_
_x000D_
_2._ *Submission / Pre-Validation (National Digital Reporting System, DRR)*_x000D_
Invoice data is sent electronically to the tax authority before being delivered to the buyer._x000D_
Integration Options:  Direct API from ERP to tax authority system, or  PEPPOL Access Point that connects ERP  TO  tax authority network endpoint._x000D_
Purpose: pre-validation and acknowledgment._x000D_
_x000D_
*3. Validation by Tax Authority*_x000D_
Tax authority checks: Invoice format (EN 16931 compliance) ,  VAT numbers and amounts ,  Business rules and optional risk checks_x000D_
Outcome process: _x000D_
Accepted: unique ID and timestamp assigned_x000D_
Rejected : correction requested_x000D_
Integration Needed: Validation engine integrated with DRR database &amp; ERP feedback mechanism._x000D_
_x000D_
{color:#505f79}4.   Invoice Delivery to Buyer_x000D_
Once validated, invoice is transmitted electronically to the buyer system (ERP or e-invoicing platform).{color}_x000D_
{color:#505f79}Integration Needed: PEPPOL or other secure delivery channels to buyer system.{color}_x000D_
_x000D_
*5. Storage and EU Data Exchange*_x000D_
Tax authority stores invoice data in national database._x000D_
For cross-border transactions, summary data or full invoices may be shared with EU Member States via VIES 2.0._x000D_
Integrations Needed:   _x000D_
National DB from and to  VIES 2.0 interface _x000D_
Internal reporting / archival systems_x000D_
Long-term *archive* of e-invoices, {*}logs{*}, and *declarations* / Security (data retention)_x000D_
GDPR_x000D_
_x000D_
*6. Reconciliation / VAT Return &amp; Compliance*_x000D_
Invoice data is used to:_x000D_
Auto-populate VAT returns for the taxpayer_x000D_
Pre-fill VAT declarations in OSS/IOSS or national system /Extend OSS usage   (?) _x000D_
Share summary data with EU authorities for cross-border reconciliation_x000D_
Integration Needed:_x000D_
DRR from/to VAT return processing system,_x000D_
OSS/IOSS connectors_x000D_
(Low- Optional) Payment &amp; Banking Interfaces to verify VAT collection_x000D_
_x000D_
*7. Monitoring and Risk Analysis*_x000D_
Real-time analytics for:  Cross-checking declarations , Fraud detection ,  Audit trails and compliance reporting_x000D_
Integration Needed: DRR / national DB ↔ Analytics engines / Risk management platforms_x000D_
_x000D_
 _x000D_
_x000D_
Other: _x000D_
Make sure the exceptions of any failures are logged _x000D_
_x000D_
_What is for revenue authority : a) Expand and consolidate systems like mydata (Greece) SDI (Italy) , SII (Spain) b) e-invoicing  integration, connection to VIES 2.0, e-invoicing support, c) New rules for e-Invoices, data retention, real-time reporting ,  d)  Interconnects ERP and e-Invoicing Providers with new APIs and infrastructures for real-time reporting , e) Data protection, auditing, traceability, data analytics, train personnel , specs, instructions, helpdesk.__x000D_
_x000D_
 _x000D_
_x000D_
– Additional_x000D_
— data validation and enrichment engines for real-time submissions._x000D_
— fraud-detection analytics and risk scoring models._x000D_
— cross-matching of domestic vs. cross-border data (via VIES 2.0)._x000D_
— dashboards and audit trails for inspectors and management.</t>
  </si>
  <si>
    <t>IRM-30679</t>
  </si>
  <si>
    <t>Vanilla Installation automation - Solon Tax kubernetes operator</t>
  </si>
  <si>
    <t>*Problem Statement*_x000D_
_x000D_
The current installation procedure for SolonTax (until v2.1.0 ) relies on the manual configuration and deployment of multiple Helm charts for core and auxiliary components. This process presents several challenges:_x000D_
 * *High Operational Overhead:* System administrators must manually configure multiple {{values.yaml}} files, which is time-consuming._x000D_
 * *Prone to Errors:* There is a significant risk of misconfiguration when values are not synchronized correctly across different Helm charts (e.g. service endpoints)._x000D_
 * *Complex Upgrades:* Managing the upgrade sequence and dependencies between components is a manual and fragile process._x000D_
_x000D_
*Proposed Solution*_x000D_
_x000D_
To address these challenges, this feature proposes the development of a new Kubernetes Operator, the {*}SolonTax Operator{*}. The operator will act as a single point of control to automate and streamline the lifecycle management (installation, configuration, and upgrades) of a SolonTax environment._x000D_
_x000D_
By defining a Custom Resource (CR), administrators will be able to declare the desired state of a SolonTax installation, and the operator will work to fulfill that state, abstracting away the complexity of managing the underlying Helm charts._x000D_
_x000D_
*Acceptance Criteria*_x000D_
 # *Helm Chart Orchestration:* The operator utilizes the existing {{Revenue Management}} and {{ISS}} Helm charts to deploy SolonTax components._x000D_
 # *Selective Component Installation:* The operator's Custom Resource (CR) allows specifying the installation of:_x000D_
 ** {{Revenue Management}} components only._x000D_
 ** {{ISS}} components only._x000D_
 ** Both {{Revenue Management}} and {{ISS}} components._x000D_
 # *Configuration Cascading:* A single, top-level configuration value in the operator's CR (e.g., {{{}spec.env.jdbcUrl{}}}) is correctly propagated to all relevant underlying Helm charts and their respective ConfigMaps._x000D_
 # *Configuration Overrides:* The operator's CR provides a mechanism to override specific values in individual Helm charts (e.g., setting {{spec.components.revenueManagement.deployment.apiGateway.logging.level.root }}to {{DEBUG}} should override the default log level for that component only)._x000D_
 # *Dependency Management:* The operator's reconciliation loop correctly manages dependencies. For example, it must ensure a database migration Job completes successfully before proceeding with the upgrade of dependent microservice Deployments._x000D_
_x000D_
*Technical Requirements &amp; Considerations*_x000D_
 * *Technology Stack:* The operator must be implemented using the *Java Operator SDK* ([https://github.com/operator-framework/java-operator-sdk]) and the *Spring Boot Starter* ([https://github.com/operator-framework/josdk-spring-boot-starter])._x000D_
 * *Helm Chart Dependency Strategy:* An architectural decision must be made on how the operator will access the Helm charts it manages. The implementation should consider and evaluate:_x000D_
 ** Bundling the Helm charts within the operator's container image._x000D_
 ** Fetching the charts from a remote Helm registry at runtime._x000D_
 ** A hybrid approach that supports both._x000D_
_x000D_
*Out of Scope*_x000D_
 * The initial version of this operator will *only* manage the core *SolonTax* components ({{{}Revenue Management{}}} and {{{}ISS{}}})._x000D_
 * The management of auxiliary components (e.g., databases, message brokers, logging stacks) is not included in the scope of this work but may be considered for future iterations.</t>
  </si>
  <si>
    <t>IRM-40987</t>
  </si>
  <si>
    <t>Amplio Batch - Java foundation 4.0</t>
  </si>
  <si>
    <t>This Support is dependant on the newest version of Amplio being released, which is expected sometime in the beginning of 2026._x000D_
_x000D_
Scope:_x000D_
 # Update to newest version of Amplio_x000D_
 ** Java Foundation 4.0 and Amplio Rho 2.0 are scheduled to be released in January 2026._x000D_
 ** The release will introduce new functionality for the batch engine, for example the possibility to start batch jobs directly from the UI. _x000D_
 ** The upgrade should be coordinated with the Amplioj4Solon team, as revenue-management-batch, Amplio Admin and Amplio Process Engine all need to follow the same version of Amplio._x000D_
 # Technical alignment between Amplio Process Engine, Amplio Batch and SOLON_x000D_
 ** Because of the direct dependencies between the components, It is needed to get them technically aligned. This is both in regards to ensuring immediate support for new functionality but also ensuring maintainability of the projects within the SOLON product team._x000D_
 # Use foundation functionality for batch jobs_x000D_
 ** The scope is both in regards to utilizing improved batch scheduler functionality introduced in future foundation releases, but also ensuring proper multitenancy support, as provided by the foundation.</t>
  </si>
  <si>
    <t>IRM-28521</t>
  </si>
  <si>
    <t>Generic component - Support for Embedded 3rd-Party Digital Signature and Document Preview Components in RM pages</t>
  </si>
  <si>
    <t>Closed</t>
  </si>
  <si>
    <t>As an delivery team and admin I need the ability to integrate 3rd-party components such as digital signature dialogs and embedded document/PDF previewers into the Solon UI, so that we can support customer-specific implementations._x000D_
As a revenue authority user, I want to preview forms and assist taxpayers in digitally signing documents directly within the Registration Module (RM), in order to comply with national requirements and improve support service at physical desks._x000D_
_x000D_
On these Solon will not provide any out of the self integration with these tools but will provide a widget to enable partners on that. _x000D_
_x000D_
*Introduction*_x000D_
_x000D_
According to the Lithuanian law, when signing documents electronically, the user should be able to preview the document in the Web page. Furthermore, the customers want to be able to preview signed or unsigned documents within the web app._x000D_
Moreover, there are user flows provided by the client, where users need to preview PDF documents directly within the application. However, the current UI/JSON schema system does not support rendering or embedding PDF viewers, making it impossible to include this functionality through the schema._x000D_
_x000D_
Currently, Solon's UI metadata schema (UI/JSON) does not support rendering embedded components like PDF viewers or signature popups. As a result, these features cannot be implemented declaratively through configuration alone. Similar components will be used in ISS by LT delivery teams  (using external portal platform). _x000D_
Relevant: _x000D_
[https://jira.intrasoft-intl.com/browse/PSD-11428]_x000D_
[https://jira.intrasoft-intl.com/browse/PSD-12028] _x000D_
_x000D_
Solon {*}will not deliver native integrations with specific 3rd-party signature providers or preview tools{*}. However, to support flexibility and enable integration at project level, Solon will provide a generic UI extension mechanism (widget) that can be configured to load and render such external components._x000D_
_x000D_
+Considerations+ _x000D_
 * _This widget/tag will allow embedding or linking to external components,  such as:__x000D_
 ** _PDF  document viewers (e.g. in form page preview form and attachments in a relevant preview mode)__x000D_
 *** _External digital signature modules.__x000D_
_WHAT IS/could be  INCLUDED IN THE iframe and the support of all its usages is Out of scope_ _x000D_
_In scope: Be able to add iframes in modals and pages._ _x000D_
 ** _The new tag if used in an appropriate widget that is expected to be implemented by delivery , it will be able to support_ _x000D_
 *** _rendering the embedded content inline_ _x000D_
 *** _or  opening it as a dialog/popup/modal. (such as receiving input request from digital signature app)__x000D_
 *** _being triggerable by actions of user (e.g. sign button)__x000D_
 *** _pass parameters  via urls or post messages_ _x000D_
 *** _return control to Solon tax ui on success of the process (e.g. sign properly) ._ _x000D_
_x000D_
 _x000D_
_x000D_
*Functional requirements*_x000D_
 * A new *custom widget framework  (i.e.*  *widget-based framework* *using* *secure iframe embedding)* will be introduced in the UI schema system._x000D_
 ** Product based on type of widget  (pdf viewer, digital signature)  the proper sandbox attributes should be used_x000D_
(iframes preferably should have the {{sandbox}} attribute to restrict the content of the embedded page. Any features that are needed (execute scripts, submit forms, etc.) can be explicitly enabled per case when needed)._x000D_
 ** Closing window callbacks may be functional. _x000D_
 ** Be agnostic to signature providers._x000D_
 ** Be reusable / configurable _x000D_
_x000D_
Out of scope : _x000D_
Ui interaction/ post messages _x000D_
Custom error messages _x000D_
_x000D_
 _x000D_
_x000D_
*Assumption* :_x000D_
Integration is {*}properly implemented{*}._x000D_
The delivery teams must ensure that the embedded solutions conform to {*}data protection{*}, {*}security policies{*}, and *access control rules* already applied in Solon._x000D_
_x000D_
 _x000D_
_x000D_
*Documentation*_x000D_
_x000D_
Document all the above adjustments and any suggestion on good usage of the iframe while posting messages. _x000D_
_x000D_
 _x000D_
_x000D_
*Non functional requirements*_x000D_
_x000D_
Performance and Security DODs should be fulfilled. _x000D_
----_x000D_
!image-2025-07-31-14-51-32-673.png!_x000D_
_x000D_
!image-2025-07-28-21-14-34-600.png|width=1146,height=625!_x000D_
_x000D_
 _x000D_
_x000D_
 _x000D_
----_x000D_
Flow :_x000D_
_x000D_
*E-Signature Workflow Overview*_x000D_
 # *User Initiates Signing* (frontend)_x000D_
_x000D_
The user clicks the *"Sign"* button._x000D_
 # *Signing Initialization Request* (backend)_x000D_
_x000D_
A request is sent to the {*}electronic signature service{*}, which:_x000D_
 * Uploads the files to the {*}signature provider{*}._x000D_
 * Initializes the signing process with a specified returnUrl, used to redirect the user back to our system after signing._x000D_
 * Returns an {*}external signing UID{*}._x000D_
_x000D_
 # *Popup with Embedded Signing UI* (frontend)_x000D_
_x000D_
A popup window is opened containing an iframe._x000D_
The iframe loads the signing page using the URL that includes the *external signing UID* as a query parameter._x000D_
_x000D_
*_[DASKALAKIS Ioannis] Please provide, if possible, some more details on the authentication and authorization scheme that may need to be followed to facilitate loading service’s provider URL for the given UID with  the User’s  browser session._*_x000D_
_x000D_
*_No authentication needs to be done from the browser. Only the backend IP needs to be whitelisted on the service provider and our service accepting the callback needs to be exposed and reachable by the service provider. We have started a discussion about this on another channel, still waiting for a response._*_x000D_
 # *User Signs Documents* (frontend)_x000D_
_x000D_
The user completes the signing process within the loaded iframe page._x000D_
 # *Callback and Document Handling* (backend)_x000D_
_x000D_
Our service receives a *callback* from the signature provider when the document status changes (e.g., signing completed)._x000D_
At this point, we:_x000D_
 * {*}Download{*}the signed version of the document from the provider._x000D_
 * {*}Validate{*}the signed document._x000D_
 * {*}Upload{*}it via the document-management_x000D_
_x000D_
*_[DASKALAKIS Ioannis] This, along with #3, suggests that any document exchange between our system and the signature provider will only take place via service API calls with an adapter implemented in the scope of the project. Please confirm._*_x000D_
_x000D_
*_Yes, that is correct._*_x000D_
 # *User Redirection and UI Update* (frontend)_x000D_
_x000D_
After signing, the user sees a *success message* on the provider's page and is *redirected to the* {*}returnUrl{*}._x000D_
If we are able to detect this redirect within the popup, we can:_x000D_
 * Automatically {*}close the popup{*}._x000D_
 * {*}Load the signed document{*}and its metadata in our system for the user to review._x000D_
_x000D_
*_[DASKALAKIS Ioannis] Is this required to be a document preview functionality, or it is a direct document download?_*_x000D_
_x000D_
*_Preview is required according to project requirements._*</t>
  </si>
  <si>
    <t>IRM-30526</t>
  </si>
  <si>
    <t>TRAINING</t>
  </si>
  <si>
    <t>Training material and courses</t>
  </si>
  <si>
    <t>* Training material (presentation, documentation &amp; videos)_x000D_
 * Hands-on exercises_x000D_
 * Classroom sessions (4 rounds per year - 10 days/round)_x000D_
_x000D_
Curriculum is presented in the attached slide. PD is expected to cover the scope of the column on the right and offer support (approx. 30%) for the remaining scope</t>
  </si>
  <si>
    <t>IRM-30525</t>
  </si>
  <si>
    <t>Training environment</t>
  </si>
  <si>
    <t>Setup and maintenance of a dedicated environment for training purposes. _x000D_
_x000D_
 </t>
  </si>
  <si>
    <t>IRM-39515</t>
  </si>
  <si>
    <t>DOCUMENTATION</t>
  </si>
  <si>
    <t>Tooling | Internal Documents Review Process - DRAFT MR</t>
  </si>
  <si>
    <t>Internal Documents Review Process by means of DRAFT MR.</t>
  </si>
  <si>
    <t>IRM-30255</t>
  </si>
  <si>
    <t>Support an AI-assisted JSON schema generation mechanism within Form Designer</t>
  </si>
  <si>
    <t>As an admin, I should be able to use an AI-assisted JSON + UI schemas generation mechanism when using the form designer, so as to minimise complexity and error prone methods._x000D_
_x000D_
*Introduction* _x000D_
_x000D_
Adding an AI-assisted JSON schema generation mechanism within the Form Designer would significantly reduce complexity for administrators, developers, and integrators by automatically converting designed forms into standardized data structures._x000D_
_x000D_
*Functional Requirement* _x000D_
_x000D_
*&gt; AI Schema Translation*_x000D_
_x000D_
Revenue Management shall automatically generate a JSON Schema representation for every saved or published form._x000D_
_x000D_
Revenue Management shall use an AI model to infer correct JSON Schema types, structures, and validation constraints based on field definitions and properties from the form designer._x000D_
_x000D_
_Example:_ A “Date of Birth” field becomes {{{}{ "type": "string", "format": "date" }{}}}._x000D_
_x000D_
Revenue Management shall support bidirectional conversion, allowing import of JSON Schemas back into editable form layouts._x000D_
_x000D_
The AI engine shall recognize conditional logic and field dependencies and express them in JSON Schema constructs (e.g., {{{}if/then/else{}}})._x000D_
_x000D_
The AI engine shall automatically infer relationships between nested sections or tabs and map them as nested JSON objects._x000D_
_x000D_
*&gt; Schema Optimization and Validation*_x000D_
_x000D_
The AI engine shall validate generated JSON Schemas for compliance with JSON Schema Draft version specifications compatible with the one used in solon Tax revenue management at the time._x000D_
_x000D_
Revenue Management shall flag inconsistencies or redundant structures detected during generation (e.g., duplicate field names, circular dependencies)._x000D_
_x000D_
Revenue Management shall allow users to preview and manually fine-tune the generated JSON Schema before publishing._x000D_
_x000D_
Revenue Management shall maintain version history for generated schemas aligned with form versions._x000D_
_x000D_
*&gt; AI Learning and Context Awareness*_x000D_
_x000D_
The AI engine shall learn from existing published forms and schemas to improve accuracy of future translations (e.g., reusing known field mappings)._x000D_
_x000D_
The AI engine shall support domain-specific language understanding — for instance, recognizing that “Gross Income” or “Taxable Income” should be treated as numeric fields with precision settings._x000D_
_x000D_
The AI shall support multilingual form labels, understanding that language differences should not affect schema consistency._x000D_
_x000D_
*&gt; Integration and Export*_x000D_
_x000D_
Revenue Management shall allow exporting the generated JSON Schema for use in external systems (e.g., data validation APIs or ETL processes)._x000D_
_x000D_
Revenue Management shall expose a REST API endpoint to retrieve schema definitions programmatically by form name or version._x000D_
_x000D_
The AI mechanism shall ensure backward compatibility between schema versions (e.g., mapping old field names to new ones if renamed)._x000D_
_x000D_
*&gt; Security and Governance*_x000D_
_x000D_
The AI mechanism shall not expose sensitive taxpayer data during schema generation or learning._x000D_
_x000D_
Revenue Management shall record an audit log of AI actions (generation, corrections, user overrides)._x000D_
_x000D_
Only users with specific roles can configure, view or export generated schemas.</t>
  </si>
  <si>
    <t>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
_x000D_
This requirement is requested by GR AADE project. _x000D_
_x000D_
 _x000D_
_x000D_
*Functional Requirements*_x000D_
_x000D_
 _x000D_
_x000D_
*Revenue type Administration*_x000D_
 * Admin may define that a revenue type can be used for Organizational Units. (Checkbox : Applicable for Organizational Unit) _x000D_
 * Admin may define that a revenue type can be used for Claimants (that will be the "debtors" or" "creditors" and it is not the same as how claimants are now related with revenue type registrations).  (Checkbox : Applicable for Claimant)_x000D_
 * Default value : False_x000D_
 * If selected revenue type registrations party role field will allow the selection on Organizational units or Claimants respectively.  _x000D_
_x000D_
*Revenue Type Registration*_x000D_
 * The Organizational units (related party roe) may be used as party roles when creating Revenue type Registrations_x000D_
 * The Claimants may be used as party roles when creating Revenue type Registrations_x000D_
_x000D_
*Party Role Relationships For Org units*_x000D_
 - I can relate Org units with other psarties_x000D_
 - I can related Party roles of Org units with other party roles (any types) _x000D_
_x000D_
*Financial transactions*_x000D_
 *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 Organization Unit , Claimant _x000D_
_x000D_
 _x000D_
_x000D_
*UI:*_x000D_
 - Organizational unit and Claimants page: Party Roles are available as a related list_x000D_
 - Revenue type:  Filter by Org units, claimants  related types and flag available in the page_x000D_
 - Bill segment : Filter Obligation Actions By Org Units , or  claimants and flag in the UI that OA is related to Org unit or claimant._x000D_
 - Bill segment list page  : Filter Bill segments related to Org units or claimants_x000D_
 - Display a label in Party roles, Bill segments, Fin Transactions, Revenue type registrations and Obligations that are related to Org Units or Claimants , In list views and record page (similar as amendment label in Assessments). _x000D_
_x000D_
*Demo items:* _x000D_
Party role type for Organizational Units_x000D_
Party role type for Claimants_x000D_
Revenue Type for Organizational Units _x000D_
Relationships Type : Org Type Relation_x000D_
_x000D_
 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met._x000D_
_x000D_
 _x000D_
----_x000D_
 _x000D_
_x000D_
\ !image-2026-04-29-10-25-39-666.png!</t>
  </si>
  <si>
    <t>IRM-30334</t>
  </si>
  <si>
    <t>PAYE</t>
  </si>
  <si>
    <t>PIT  &amp;  Pay as you earn</t>
  </si>
  <si>
    <t> _x000D_
_x000D_
*A)  PIT  form (RM, ISS)*  prerequisites :  _x000D_
 * _x000D_
 ** [https://jira.intrasoft-intl.com/browse/IRM-16272]_x000D_
 ** [https://jira.intrasoft-intl.com/browse/IRM-16273]_x000D_
 ** [https://jira.intrasoft-intl.com/browse/IRM-15337]_x000D_
 ** [https://jira.intrasoft-intl.com/browse/IRM-19256]_x000D_
_x000D_
*B) Pay as you earn logic* _x000D_
Reference Implementations including forms, calculations, demo data + possibly new entities (also included in registration new entities)_x000D_
 * _x000D_
 ** for 3rd parties / employer _x000D_
 *** _x000D_
 **** Create a new Form (or another solution )  for Tax Employee Services  (in GR one amount for all employees not drill down) /  Form for Yearly Payroll statement per employee (could be a log to each taxpayer with some details) to get the  amounts for the taxpayer  (withholding form) _x000D_
 **** Demo data RT calendar and RT (preliminary and monthly collection) _x000D_
 **** Calculations for estimations /Preliminary  tax assessments_x000D_
 **** Payments per RTR _x000D_
 **** Prepare the functionality to get  Amendments based on new calculations_x000D_
 **** Payments reconciliation (what we have already) _x000D_
 ** Taxpayer_x000D_
 *** _x000D_
 **** Capture the data per taxpayer (possibly new entity)_x000D_
 **** Load taxes info in the PIT form for each taxpayer (Batch)_x000D_
 **** Notifications for Amendments postdated updates-  if there has been a retrospective change in the data and parameters that affect the tax calculation (implemented as example in Municipality tax)_x000D_
_x000D_
 - _x000D_
 ** _x000D_
 *** _x000D_
 ---- SS :  Preliminary assessment  notice for Taxpayer_x000D_
 ---- SS :  Prefilled PIT form  (see above) _x000D_
 ---- SS : Taxpayer Objection to PIT_x000D_
_x000D_
*C) Monthly and yearly Processing*_x000D_
 - Perform a comprehensive processing of all parties/party roles once a month (monthly reconciliation) including complex calculation areas (e.g.  p&amp;I,  calculate balances, etc)._x000D_
 - Perform comprehensive reconciliations in scheduled times for all taxpayers in the tax year at the time of the final tax assessment for several taxes.</t>
  </si>
  <si>
    <t>IRM-30357</t>
  </si>
  <si>
    <t>AI in RM</t>
  </si>
  <si>
    <t>- Search_x000D_
 -- Autocomplete, suggestions, ranking, search relevant items, cross entity searching. _x000D_
 - Navigation_x000D_
 -- natural language navigation ,  suggest quick links on frequently used items, suggest next action, voice commands_x000D_
_x000D_
 - RM  - Customer overview _x000D_
 -- Notifications e.g most likely to delay filling obligations for...._x000D_
 -- Suggest next actions_x000D_
 -- Summarize taxpayer overview.  _x000D_
 -- detect suspicious or incorrect patterns that rule-based logic might miss._x000D_
 - RM - Document Management_x000D_
 -- Document management /Classify documents sent as attachments or in any other ways by mapping them to the right taxpayer, period, or transaction types_x000D_
 - RM - Support Reconciliations_x000D_
 --  Time-consuming job of reconciliations may be supported  </t>
  </si>
  <si>
    <t>As an admin user, _x000D_
I need to capture the status, source system and integration time of representations defined as to be able to know how the representations were created._x000D_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[https://jira.intrasoft-intl.com/browse/IRM-36665] _x000D_
[https://jira.intrasoft-intl.com/browse/IRM-32538]   {color}{color:#172b4d}(data areas and support external systems as in LT branch)_x000D_
Delegations enhancements in [https://jira.intrasoft-intl.com/browse/IRM-38408] _x000D_
_x000D_
_x000D_
{color}_x000D_
----_x000D_
*Functional requirements*_x000D_
_x000D_
 _x000D_
_x000D_
*Additional details /fields:* _x000D_
 * Admin and Procedures may log (new fields)_x000D_
"{*}Source system{*}" (As the common cl used in all similar fields in system) , _x000D_
"{*}Purpose{*}" free text (as in other cases in system) ,  _x000D_
"{*}External created datetime{*}" (as in parties)_x000D_
*"Requested by External system"* , boolean  (to be used ERP system sends an authorization request)  _x000D_
in {*}Agreements{*},  *Agreements services* , {*}user rights{*}, *party role relationships* (most already available) and any other record that defines representations._x000D_
 * Source System , purpose, external dt fields are *optional.*_x000D_
It is suggested to define a default value for the "Source System"._x000D_
 * System will generate timestamps :  "{*}Created datetime{*}" , "{*}Last modified date time{*}" ,  in {*}Agreements{*},  *Agreements services* , {*}user rights{*}, *party role relationships* (most already available) _x000D_
(see already implemented parts in  [https://jira.intrasoft-intl.com/browse/IRM-32538]  ) _x000D_
 * Admin and users  may search and filter items per Source system, Requested by External system and Create/Modified date time. _x000D_
_x000D_
 _x000D_
_x000D_
 _x000D_
_x000D_
*Versioning*_x000D_
 * Changes should be logged in Audit log._x000D_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</si>
  <si>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IRM-30636</t>
  </si>
  <si>
    <t>APPSEC TEAM</t>
  </si>
  <si>
    <t>SOLONTAX Supply Chain Security Enablement</t>
  </si>
  <si>
    <t>This enabler targets the end-to-end improvement of software supply chain security across development operations by adopting related best practices (CIS benchmark, NIST SSDF, SLSA, OWASP SCVS).{*}Scope includes:{*}_x000D_
_x000D_
*1. Benchmark Assessment*_x000D_
 * Conduct an initial assessment of existing software supply chain processes and tools against the CIS benchmark control families (Governance, Source Code, Build, Dependencies, Deployment, Monitoring)._x000D_
 * Identify compliance gaps and improvement areas._x000D_
_x000D_
*2. Governance &amp; Policy Definition*_x000D_
 * Update a Supply Chain Security practices in the security plan._x000D_
 * Establish ownership, maintenance procedures, and periodic review cycles._x000D_
_x000D_
*3. Source Code &amp; Dependency Security*_x000D_
 * Enforce secure repository configurations (signed commits, branch protection, access control)._x000D_
 * Integrate Software Composition Analysis (SCA) and open-source dependency validation._x000D_
 * Generate and maintain Software Bill of Materials (SBOMs) for all products._x000D_
_x000D_
*4. Build &amp; CI/CD Pipeline Hardening*_x000D_
 * Review and harden CI/CD configurations per CIS benchmark controls:_x000D_
 ** Credential and secret management_x000D_
 ** Build agent isolation_x000D_
 ** Artifact integrity validation_x000D_
 ** Controlled use of third-party build steps/plugins_x000D_
 ** Enable artifact signing and reproducible builds._x000D_
_x000D_
*5. Artifact &amp; Deployment Integrity*_x000D_
 * Enforce signed artifacts and signature verification during deployments._x000D_
 * Apply access and retention controls for artifact repositories._x000D_
_x000D_
*6. Monitoring, Compliance &amp; Continuous Improvement*_x000D_
 * Automate CIS benchmark validation where possible._x000D_
 * Conduct regular re-assessments and track remediation progress._x000D_
 * Provide compliance dashboards and evidence for audits.</t>
  </si>
  <si>
    <t>IRM-30358</t>
  </si>
  <si>
    <t>AI in SS</t>
  </si>
  <si>
    <t>-  Search_x000D_
 -- Autocomplete, suggestions, ranking, search relevant items, cross entity searching. _x000D_
 - Navigation_x000D_
 -- natural language navigation ,  suggest quick links on frequently used items, suggest next action, voice commands_x000D_
 - SS: AI Assistant_x000D_
 -- Support taxpayer to fill-in a form_x000D_
 -- Suggest next step (e.g. submit new form, amend a form after marriage status update)_x000D_
 -- Document management / ** classify PDFs or other files per period, or transaction type._x000D_
 - SS:  Live support /BOTs _x000D_
 -- Support taxpayer on actions /live support_x000D_
 -- help agents to respond more quickly, automate responses where possible_x000D_
_x000D_
 </t>
  </si>
  <si>
    <t>IRM-30635</t>
  </si>
  <si>
    <t xml:space="preserve">SOLON TAX Application Security Core Enablement </t>
  </si>
  <si>
    <t>This enabler covers all recurring application security assurance activities executed annually and per Program Increment (PI) to maintain a consistent, compliant, and resilient security posture across all products._x000D_
_x000D_
*Scope includes:*_x000D_
h4. Annual activities_x000D_
 * Application security training for development teams._x000D_
_x000D_
 * Product threat model updates._x000D_
_x000D_
 * Security requirements compliance assessments (OWASP ASVS Trust Level 3)._x000D_
_x000D_
h4. Per-PI activities_x000D_
 * Secure Architecture and Secure Design definition support._x000D_
_x000D_
 * Threat modeling for new features and existing components._x000D_
_x000D_
 * Secure code review for critical and high-risk features._x000D_
_x000D_
 * DevSecOps automation maintenance and configuration (SAST, SCA, DAST, Container Image Scanning, Secret Scanning)._x000D_
_x000D_
 * Vulnerability management monitoring, resolution advisory, and reporting._x000D_
_x000D_
 * Security verification testing against newly implemented features._x000D_
_x000D_
 * Handling of security service requests from clients and projects, including support for external assessments, questionnaires, penetration testing evidence, and product security clarifications._x000D_
_x000D_
h4. Continuous evolution (tooling, methodology, practices)_x000D_
 * Enhancements in policies and configurations for automated security testing to increase accuracy and coverage._x000D_
_x000D_
 * Adaptation of threat modeling techniques and secure coding practices based on evolving standards and frameworks._x000D_
_x000D_
 * Research and Proof of Concept (PoC) evaluations of new application security testing tools to identify opportunities for automation, scalability, and improved detection capabilities._x000D_
_x000D_
h4. Governance and support_x000D_
 * Provide security-related input to tender documentation._x000D_
_x000D_
 * Participate in internal and external audits, providing technical and procedural security evidence._x000D_
_x000D_
 * Participate in meetings and security review boards as required.</t>
  </si>
  <si>
    <t>As an admin user, _x000D_
I need to capture the status, source system and integration time of representations defined as to be able to know how the representations were created._x000D_
Representations are 2-ways authorized. _x000D_
Representations are multilevels_x000D_
A lifecycle should be defined to representations forms as to be able to temporally saved, validated and revoked. 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[https://jira.intrasoft-intl.com/browse/IRM-32538]   {color}{color:#172b4d}(data areas and support external systems as in LT branch){color}_x000D_
_x000D_
The purpose of this feature is to validate the current implementation based on new requirements and make adjustments. _x000D_
_x000D_
{color:#172b4d}In this feature will name: _x000D_
*Requester*            : The user asking someone else to represent them_x000D_
*Representative*    : The user who may act on behalf of the requester. This user may also ask to be represented.  _x000D_
2-ways: Both may be initiate a representation request and the other part will reply._x000D_
Multilevel: Many levels of representation should be supported. {color}_x000D_
_x000D_
     *Authorization schema* /Multiple levels of authorizations _x000D_
 * The authorization scheme support  *2-ways.*   _x000D_
*Requester*  to *Representative*     ,_x000D_
*Representative* to *Requester*   _x000D_
 * The authorization scheme support  *multiple levels* of representations._x000D_
i.e., several levels of sub-users may be able to be defined. _x000D_
{color:#505f79}Examples:  {color}_x000D_
{color:#505f79}1) The (account and user) *Legal Person* to a user of *Company's legal representative*{color}_x000D_
{color:#505f79}2) *Company's legal representative*  to an *Accounting firm*  to manage the accountings  of the company{color}_x000D_
{color:#505f79}3) *Accounting firm* to the user  of  *Accountant employee* to delegate/assign the task{color}_x000D_
{color:#505f79}or{color}_x000D_
{color:#505f79}1) A (account and user) *Natural person* to a user of his/her *Guardian* (e.g. father)_x000D_
2) *Guardian* to an *Accounting firm* _x000D_
3) *Accounting firm*  to the *Accounting firm's legal representative*_x000D_
4) *Accounting firm's legal representative to the*  *Accountant employee*{color}_x000D_
 * {color:#172b4d}If a representation is delegated, then the delegation may happen with the rights assigned to the main representative or less. Cannot add more rights to delegator. (As-is){color}_x000D_
 * Admins should be able to view and track the level of representation per Agreement. _x000D_
_x000D_
Assumptions :_x000D_
The customers may add their own validations overriding validations service. _x000D_
The customers  may define custom lifecycle extending and overriding existing functionality. _x000D_
----_x000D_
*Functional requirements*_x000D_
_x000D_
 _x000D_
_x000D_
{color:#172b4d}*Configurability*{color}_x000D_
 * {color:#172b4d}Configurators may *define Agreement types* (Agreement cl) e.g. , Legal Representation , Non-Legal Representation{color}_x000D_
 * Document to projects how team they may *define their own statuses and lifecycle.*_x000D_
 * Customers may define the default Source system and purpose values (CLs){*}{{*}}_x000D_
 * -{color:#172b4d}Configurators {color}may define the identifier type(s) that may be visible to users when searching for representation (e.g. TIN number)-_x000D_
_x000D_
*Validations*_x000D_
 - Configurable parameter Max_depth (as described above)  will be used to validate that a representation is not delegated more than this amount of times.  Validation e.g. May delegate for up to 3 levels_x000D_
_x000D_
 - Non allowed circular representations _x000D_
_x000D_
*Additional Configuration level -* *agreement service rights* _x000D_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_x000D_
_x000D_
 * {color:#172b4d}Configurators should be able to define criteria to define the list of allowed representatives_x000D_
(Example  : If Account = Company , Representative id not the legal company representative can be an Accounting firm or employee of a firm with permission of Books category A) {color}_x000D_
_x000D_
*Search for users*_x000D_
 * User search users to be selected for representation only by IDs  (identification numbers that are allowed to be visible) but cannot see other user details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Permissions* 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_x000D_
-In case of some representations as sub users, then needs to follow implementation in  [https://jira.intrasoft-intl.com/browse/IRM-38408]- _x000D_
 * For status change, reason may be filled in Optionally (see above field Change status reason{*}){*}  _x000D_
Status Field is RO  in UI , action buttons will manage the flow and status changes and not directly change status values in relevant field. _x000D_
(e.g. , as is implemented in product) _x000D_
_x000D_
 * _x000D_
 ** _x000D_
 *** *Pending* (Temporally save , not applied/committed not considered) -(To avoid incorrect Requester  or representative selected (similar names, wrong identifier).  _x000D_
Created by *Representative* or  *Requester*  (see above 2-ways and multilevel)_x000D_
Set by Admin in SS/RM_x000D_
_x000D_
 * _x000D_
 ** _x000D_
 *** {*}Access Proposed{*}: Requested agreement but not processed_x000D_
Set by the process  (that was previously initiated by  Representative  or  Requester )_x000D_
Set by Admin in SS/RM_x000D_
_x000D_
 * _x000D_
 ** _x000D_
 *** *Access Denied* :   Agreement is not established_x000D_
 Set by the process/system  because of an error or incorrect selection of representation users or other validation._x000D_
Status Field is RO for the users_x000D_
 Set by Admin in SS/RM_x000D_
_x000D_
 * _x000D_
 ** _x000D_
 *** *Access Granted :* agreement/representation is valid. (Configured value as the cl value that provides access)   _x000D_
Set by the process based on what replied  by  Representative  or  Requester (the receiver of the request) _x000D_
Set by Admin in SS/RM_x000D_
_x000D_
 * _x000D_
 ** _x000D_
 *** *Access Revoked :* agreement/representation is not valid any more._x000D_
Set by the process based on what replied  by  Representative  or  Requester (the receiver of the request) _x000D_
Revoked by process because of end date reached _x000D_
Revoked by any part of the agreement _x000D_
Set by Admin in SS/RM_x000D_
_x000D_
 * _x000D_
 ** _x000D_
 *** *Canceled  :* agreement/representation is not valid_x000D_
Set by the process based on what replied  by  Representative  or  Requester (the receiver of the request) _x000D_
Set by Admin in SS/RM_x000D_
_x000D_
 * _x000D_
 ** _x000D_
 *** After cancel and revoke record cannot change any status._x000D_
User need to create a new record to extend this. _x000D_
_x000D_
                                     !image-2026-03-10-09-10-29-034.png!_x000D_
_x000D_
 _x000D_
 * If in  representation  1-&gt;2-&gt;3-&gt;4  i.e, 1-&gt;2 and  2-&gt;3 and  3-&gt;4  _x000D_
If  1-&gt;2  is canceled then 2-&gt;3 και 3-&gt;4 get canceled _x000D_
If 2-&gt;3  is canceled then 3-&gt;4  is canceled but 1-&gt;2 is not. _x000D_
Same with revokes. _x000D_
_x000D_
 * To be accepted a  representation  1 to 4 (1-&gt;2-&gt;3-&gt;4) there should have been accepted the 1-&gt;2 , 2-&gt;3, 3-&gt;4_x000D_
_x000D_
 _x000D_
_x000D_
*Versioning*_x000D_
 * Changes should be logged in Audit log._x000D_
_x000D_
 _x000D_
_x000D_
!image-2026-04-06-13-17-11-066.png|width=1025,height=570!_x000D_
!image-2026-03-10-10-34-26-315.png!_x000D_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</si>
  <si>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IRM-30724</t>
  </si>
  <si>
    <t>Release Automation Enhancements</t>
  </si>
  <si>
    <t>Placeholder for activities that will streamline release process, such as:_x000D_
 * Automating release branch management: A single operation should create all develop/release/master branches_x000D_
 * Automatically sync environments to a specified version_x000D_
 * etc</t>
  </si>
  <si>
    <t>IRM-16272</t>
  </si>
  <si>
    <t>PIT - File Original Personal Income Tax Return from Self Service – User</t>
  </si>
  <si>
    <t>As a self service user, I want to file an original personal income tax return for a specific filing period, so that I can meet my obligation to file a personal income tax return with correct data and on time as stipulated in the tax law.
*Introduction*
Personal income tax return that will be presented on the self service will have the same form sections and form fields as the example personal income tax return that has been described in IRM-14601.
Assumption is that the following self service requirements related to personal income tax are already supported:
 * User can login to the self service portal to deal with the tax matters for a specific party in a specific to which this user has been granted access
 * User can see what filing obligations exist for this party in a specific role for personal income tax and see the status of each of these obligations
 * User can see the personal income tax assessment for a specific filing / payment obligation
 * User can see what payment obligations exist for personal income tax assessments for which this specific party in a specific role is liable
 * User can see what payment obligations exist for any additional charges that have been levied towards a personal tax assessment (e.g. late payment interest) and for which this party in a specific role is considered liable
 * User can pay a liability that exists for a personal income tax assessment and any related charges for this party in a specific role
 * User can see the balance for personal income tax for this party in a specific role
Following self service requirements related to the personal income tax have not been implemented yet and are not in scope of this feature.
 * User can see that income that was paid by employers to this party in a specific role, and that the taxes and social contributions that were already deducted by these employers, are prefilled in the income form section of a pending personal income tax return
 * User can save a draft of a pending personal income tax return, and can open and complete a draft personal income tax return at a later point in time
 * User can see a notification that the personal income tax has been assessed for the filing period for which the personal income tax return was submitted
*Functional Requirements*
 * User can create a pending original personal income tax return for a filing period for which no original personal income tax has been submitted yet. User can see the form sections for taxpayer details, bank account details, income details, details on deductions, cost of living details, final tax assessment and attachments, and the related form fields as described in IRM-14601. Any meta data related to a personal income tax return (e.g. form source, related risk observations and related bill segments) should not be shown on the self service.
 * User can see that the taxpayer details and bank account details are prefilled in a pending personal income tax return
 * User can fill in the necessary details in the bank account details, income details, details on deductions, cost of living details, final tax assessment and attachments form sections
 * User can submit the personal income tax return once completed
 * User can see if there are any validation exceptions that prevent the pending personal income tax return from being submitted. User can navigate from a validation exception to the related form section and form field(s) to resolve any issues.
 * User can open a submitted personal income tax return to see what data was included in that return</t>
  </si>
  <si>
    <t>IRM-30378</t>
  </si>
  <si>
    <t xml:space="preserve">Integration with Luminus (BRA &amp; Audit support)  </t>
  </si>
  <si>
    <t>* Improve *integration* with Lumenus BRA / Contractual_x000D_
   Candidate list to generate cases flow (batch) _x000D_
   SSO, traceability of source steps and criteria/valuation _x000D_
 * Establish  *integration* with Lumenus Audit Support  (?) / Contractual_x000D_
   Audit cases integrated with Audit cases in Lumenus and sync statuses</t>
  </si>
  <si>
    <t>IRM-16273</t>
  </si>
  <si>
    <t>PIT - Amend Original Personal Income Tax Return from Self Service – User</t>
  </si>
  <si>
    <t>As a self service user, I want to amend an already submitted original personal income tax return, so that changes in my income or deductions are reflected in the adjusted personal income tax return.
*Introduction*
This feature is related to IRM-16272 in which requirements have been documented to enable a self service user to file an original personal income tax return for a specific filing period.
Amended personal income tax return that will be presented on the self service will have the same form sections and form fields as the example personal income tax return that has been described in IRM-14601.
This feature is related to IRM-1973 in which requirements have been documented to record adjustments to the data in an input form that was already posted and post any differences that result from these adjustments.
*Functional Requirements*
 * User can amend an original personal income tax return that was submitted and processed. User can only amend the personal income tax return for the current filing period or for the two prior filing periods. And a user can amend an original personal income tax return more than once. User cannot amend an original personal income tax return if the original personal income tax return has not been submitted or processed yet. If an original income tax return was already amended, then the user can only amend the income tax return again if the previously amended return has also been submitted and processed.
 * User can see that the pending amended personal income tax return is prefilled with data from the submitted and processed original personal income tax return or from the latest submitted and processed personal income tax return that amended this original personal income tax return.
 * User can update the necessary details in the bank account details, income details, details on deductions, cost of living details, final tax assessment and attachments form sections of the pending amended personal income tax return
 * User can submit the pending amended personal income tax return once completed
 * User can see if there are any validation exceptions that prevent the pending amended personal income tax return from being submitted. User can navigate from a validation exception to the related form section and form field(s) to resolve any issues.
 * User can see what amendments have been submitted when for a specific original personal income tax return
 * User can open a submitted amended personal income tax return to see what data was included in that return
 * Any updates to the personal income tax return input form, form rules and process that have been implemented in the Revenue Management application (see IRM-14601), that are required to support amended tax returns are also in scope of this feature. When processing an amended original personal income tax return in the Revenue Management application, the difference between the personal income tax assessment in this return and the assessment of the original personal income tax return or the latest submitted and processed personal income tax return that amended this original personal income tax return should be posted.</t>
  </si>
  <si>
    <t>IRM-35280</t>
  </si>
  <si>
    <t>DEVOPS</t>
  </si>
  <si>
    <t>PI27 DevOPs Meetings and Training</t>
  </si>
  <si>
    <t>Plan and deliver a series of DevOps meetings and training sessions to align teams on CI/CD best practices, Infrastructure as Code, observability, security/compliance, and incident response.</t>
  </si>
  <si>
    <t>IRM-35283</t>
  </si>
  <si>
    <t>Pi27 DevOps Evolution</t>
  </si>
  <si>
    <t>Enhancements on tools, pipelines, automations</t>
  </si>
  <si>
    <t>IRM-35282</t>
  </si>
  <si>
    <t>PI27 DevOps Cluster Upgrades</t>
  </si>
  <si>
    <t xml:space="preserve">Upgrade of Solon Tax's existing clusters </t>
  </si>
  <si>
    <t>IRM-35281</t>
  </si>
  <si>
    <t>PI27 DevOps - Infrastructure and Maintenance activities</t>
  </si>
  <si>
    <t xml:space="preserve">Infrastructure and maintenance requests originating from DevOps </t>
  </si>
  <si>
    <t>IRM-35519</t>
  </si>
  <si>
    <t>PI27 DBA Activities and Environment Support</t>
  </si>
  <si>
    <t>IRM-30421</t>
  </si>
  <si>
    <t>Compliance with accessibility standards (WCAG 2.1 AA and EN 301 549)</t>
  </si>
  <si>
    <t>-</t>
  </si>
  <si>
    <t>IRM-30730</t>
  </si>
  <si>
    <t>Introduce helm charts dependencies</t>
  </si>
  <si>
    <t>*Problem Statement*_x000D_
_x000D_
The current Helm chart architecture for SolonTax does not utilize Helm's dependency mechanism. This has led to several inefficiencies:_x000D_
 * *Template Duplication:* Common templates and helper logic are copied across multiple charts, leading to significant code duplication._x000D_
 * *High Maintenance Overhead:* Enhancements or bug fixes made in one chart's templates must be manually identified and ported to all other charts, a process that is both time-consuming and error-prone._x000D_
 * *Inconsistent Configurations:* The {{revenue-management-be}} and {{revenue-management-be-custom}} charts are maintained as two completely separate entities, doubling the effort required for updates and increasing the risk of divergence._x000D_
_x000D_
This lack of a centralized structure makes the charts difficult to maintain, scale, and audit._x000D_
_x000D_
*Proposed Solution*_x000D_
_x000D_
This feature will refactor the SolonTax Helm charts to adopt a more modular and maintainable structure by introducing a common *{{base}}* chart._x000D_
 # *Create a {{base}} Helm Chart:* A new {{base}} chart will be created to serve as a common dependency for all application charts. This chart will consolidate all shared templates, helpers, and logic (e.g., for Deployments, Services, ConfigMaps, etc.). It will be designed to be flexible enough to handle both backend and frontend components._x000D_
_x000D_
 # *Refactor {{revenue-management-be}} Charts:* The {{revenue-management-be-custom}} chart will be refactored to use the {{revenue-management-be}} chart as a parent dependency. The custom chart will become a lightweight extension, responsible only for overriding values (like image tags) and adding configurations specific to the customized microservices. This will result in a single, unified Helm release for all {{revenue-management-be}} components._x000D_
_x000D_
*Acceptance Criteria*_x000D_
 # *Base Chart Creation:* A new {{base}} Helm chart is created and contains common, reusable templates for standard Kubernetes resources (e.g., Deployment, Service, ConfigMap, Ingress)._x000D_
 # *Dependency Adoption:* All existing SolonTax application charts (both backend and frontend) are updated to declare the {{base}} chart as a dependency in their {{{}Chart.yaml{}}}._x000D_
 # *Duplication Removal:* Duplicated template logic is removed from the application charts, which now leverage the templates provided by the {{base}} chart._x000D_
 # *{{revenue-management-be}} Refactoring:* The {{revenue-management-be-custom}} chart is refactored to be a child chart of {{{}revenue-management-be{}}}._x000D_
 # *Unified Release:* A single {{helm install}} or {{helm upgrade}} of the refactored {{revenue-management-be-custom}} chart successfully deploys both the standard {{revenue-management-be}} components and the customized components as a single Helm release._x000D_
 # *Override Functionality:* The {{revenue-management-be-custom}} chart can successfully override default values (e.g., image tags) from the parent {{revenue-management-be}} chart and inject additional properties for its specific microservices._x000D_
 # *Flexibility for Exceptions:* Application charts retain the ability to introduce their own specialized templates if a specific requirement cannot be met by the common {{base}} chart.</t>
  </si>
  <si>
    <t>IRM-30828</t>
  </si>
  <si>
    <t>EXEMPTIONS</t>
  </si>
  <si>
    <t>Introduce Exemptions</t>
  </si>
  <si>
    <t>As a revenue authority I need to be able to implement Policy-driven exclusions for assessments and other liabilities ti the taxpayers to promote sectors, fairness, or development goals. (Other examples on their purposes :  Encourage social or economic development. , support specific sectors or vulnerable groups. , simplify tax administration for low-value cases. align with policy objectives (e.g., promoting investment, education, or sustainability) ) ._x000D_
_x000D_
The exceptions may be of several *types* e.g. _x000D_
*Geographic* exemptions : to develop special zones_x000D_
*Activity* exemptions : develop verticals based on Taxpayer activities exemptions  _x000D_
*Party type* exemptions , *Party size* exemptions_x000D_
_x000D_
*Introduction*_x000D_
_x000D_
Already applied in system _x000D_
*Waivers:* Relief based on a discretionary decision to "forgive" or "cancel" a debt (mostly interest or penalty) _x000D_
It is applied after liability is assessed but before payment._x000D_
Amount is no longer collectible_x000D_
_x000D_
{*}Write-offs{*}: An accounting action to remove an uncollectible debt from active accounts (not the same as forgiveness)._x000D_
It is applied after the debt is confirmed and collectible. _x000D_
Amount is legally due but no longer pursued. _x000D_
_x000D_
*Suppression:* _x000D_
A temporary hold or administrative decision to suppress or defer issuing an assessment , interest._x000D_
It is applied during the assessment/process. _x000D_
The due amount exists but it is not communicated or enforced yet.  _x000D_
_x000D_
New :_x000D_
*Exemption:* _x000D_
A lawful exclusion from a tax obligation defined in legislation or policy._x000D_
It is applied before a due amount/liability arises. _x000D_
(e.g. Charitable organizations are exempt from income tax.)_x000D_
The tax {*}never becomes due{*}—it’s not assessed or recorded as payable._x000D_
_x000D_
[Revenue type Registration]-&gt;  Apply Exemptions_x000D_
[Obligations] -&gt;  Exempt items excluded_x000D_
Other: _x000D_
[Assessment]-&gt;  Suppressions may be applied_x000D_
[Billing &amp; Payment] -&gt;   Waivers may be issued_x000D_
[Collection/ Enforcement]-&gt;  Write-offs recorded_x000D_
[Audit &amp; Compliance]-&gt; for all_x000D_
 _x000D_
_x000D_
*Functional Requirements*_x000D_
_x000D_
*Admin :*_x000D_
I can define Exception types [ Type, Status,  Period or permanent ,  Can be applied manually?,  Approvers list or profiles,  filters on how to define related audience/scope, filters on what will be exemptions requested, define details on the policy applied , legal reason/decision ]_x000D_
_x000D_
I can apply Exceptions to taxpayers massively.  [Workflow,  Approvals,  Keep attachments, Keep contacts  , RTR and Obligations status , StartDate, EndDate, Status, Reason , timestamp, batch id ] _x000D_
 * Define approvers lists or profiles_x000D_
 * Define approval process_x000D_
 * Functionality on permanent or time defined exceptions_x000D_
 * Define Legal bases_x000D_
 * How to define scope_x000D_
 * How to define targeted actions_x000D_
 * Validations should be applied._x000D_
_x000D_
*User :*_x000D_
I can apply Exceptions to taxpayers manually.  _x000D_
_x000D_
*Addiitonally,*  _x000D_
 * New statuses for Obligations_x000D_
 * Balances review_x000D_
 * Forms updated filters with exceptions_x000D_
 * Traceability _x000D_
 * I can report on the exemptions applied</t>
  </si>
  <si>
    <t>IRM-30639</t>
  </si>
  <si>
    <t>Horizontal Security Controls Design Specification &amp; Documentation</t>
  </si>
  <si>
    <t>This enabler focuses on ensuring the product’s security design and specification documentation meets the requirements defined in OWASP ASVS 5.0, improving transparency, audit readiness, and maintainability._x000D_
_x000D_
The activity involves reviewing, updating, and formalizing the product’s design documentation across key domains to ensure it aligns with secure design expectations and is kept current with architectural and functional changes._x000D_
h3. *Key Objectives:*_x000D_
 * Establish and maintain comprehensive security design and specification documentation in alignment with OWASP ASVS 5.0 requirements._x000D_
 * Perform a gap analysis against ASVS 5.0 to identify missing, incomplete, or outdated security documentation._x000D_
 * Define and document security controls, expected behaviors, and rationale for all key areas (validation, authentication, authorization, data protection, configuration, secure coding, and logging)._x000D_
 * Ensure that design specifications accurately reflect implemented controls and are updated whenever architectural or functional changes occur._x000D_
 * Introduce a structured and version-controlled documentation framework (e.g., via Confluence or repository) to ensure traceability and controlled updates._x000D_
 * Integrate documentation reviews into the product’s regular development and release cadence (e.g., per PI or major release)._x000D_
 * Improve alignment between threat models, design specifications, and verification activities to support audits and ongoing assurance.</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</si>
  <si>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_x000D_
For all the above mentioned Party child objects, Party , Party Role, add Optional fields_x000D_
 * *Valid State?* , Boolean _x000D_
Default value = true_x000D_
 * *Valid State  Reason*_x000D_
Free text _x000D_
 * (!)   Define if a record type should be checked for uniqueness or not. This may create conflicts that there are suggested rules to overcome. _x000D_
*Field: Check if unique?*  /Boolean_x000D_
Default value = true_x000D_
Suggestion add this configuration in Code list items as metadata for party child objects types.  (e.g.,  Name type, ID type)_x000D_
 * Make fields searchable_x000D_
 * Make fields visible in the UI_x000D_
 * Make fields updatable as/where the Valid from /to fields are_x000D_
 * Move the information to relevant Party role sections (as Valid from/to) _x000D_
 * Default values :_x000D_
 ** All existing records are migrated with valid_state = true_x000D_
 ** All existing records are migrated with Check if unique= true_x000D_
_x000D_
*Rules for Unique record check:*_x000D_
_x000D_
For the same record type (or per case additional filters are used, such as in Identifiers the country) , _x000D_
If the record is *flagged as Valid*_x000D_
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
In case of *end date = other records start date* then the end date overlapping with other record start date is ignored. (i.e. only end date of one period is the same as the start date of another period, see bullet 4) _x000D_
Start date is checked primary to define the period that record is valid. _x000D_
_x000D_
 _x000D_
_x000D_
+Basics:+ _x000D_
 # If a record  flag {*}Valid{*}? = false : it is ignored during uniqueness checks and for primary checks._x000D_
 # If a record  flag {*}CheckifUnique{*}? = false : it is ignored during uniqueness checks and for primary checks.  Record can be valid.  (!)_x000D_
_x000D_
+Examples Conditions:+_x000D_
_x000D_
1 . If a record *Start date* = {*}End date{*}= *Y*  , Flag Valid ? = true  :_x000D_
record is selected primary or considered *proper* entry for date Y   (primary set for start date Y,  if flagged as primary) _x000D_
_x000D_
2.  If  Record 1 start date end = A  and end date = X  , valid = true_x000D_
and Record 2 start date = X , end date = B , valid = true_x000D_
Then these records are not considered overlapping (although in current rule are consider overlapping). This is a *proper* condition. _x000D_
On date X, the valid record is Record2 (the record with start date X)_x000D_
Not the one with end date = X (Record 1)._x000D_
_x000D_
3.  If Record1: start date is null , end date  = X  , valid = true_x000D_
Record2: start date  = X , end date  = null  , valid = true_x000D_
The record 2 is selected primary or the considered for date x . This is a *proper* condition. _x000D_
_x000D_
3.  If Record1: start date is null , end date  = null  , valid = true_x000D_
Record2: start date  = X , end date  = null   , valid = true_x000D_
 System will not allow this because of overlapping in other days because of start dates(!)_x000D_
_x000D_
4. If two records of the same type, _x000D_
and both have Valid state = true, _x000D_
when their validity periods overlap as they have same start date the system rejects the change due to overlapping validity periods. (!)_x000D_
Record1: start date  =  X, end date  = A  , valid = true_x000D_
Record2: start date  =  X , end date  = B  , valid = true_x000D_
_x000D_
If  ** CheckifUnique? = false  , and we need to identity the value applicable per period, we will use the start date ignoring the end date overlap. _x000D_
_x000D_
+Other :+_x000D_
 # A record is considered for date D when: _x000D_
valid state = true and _x000D_
start date &lt;= D AND (end date is null OR end date &gt; D)_x000D_
or_x000D_
If start date = end date = D_x000D_
 # If multiple changes occur in the same transaction, Uniqueness validation must run after the end of batch updates. _x000D_
 # If valid_state = false , state_reason must be populated_x000D_
 # If all record for a type are not valid then the system will behave like not having any record available_x000D_
 # (as mentioned above) . If Check if Valid id checked as false then no need to make any checks for the specific record or include this record in other checks.  In case of conflicts the first option based on start date sorting,  that is valid = true will be selected._x000D_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BE able to  Filter history records by valid from date_x000D_
 If valid_state = false , state_reason must be populated_x000D_
Project may define if  Valid = false and Check if unique is false records should be displayed or not.  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</si>
  <si>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IRM-30677</t>
  </si>
  <si>
    <t>Automatic Documentation Generation enhancements</t>
  </si>
  <si>
    <t>Scope of this enabler is to supply the appropriate tooling to automatically generate documentation artifacts, currently documented manually, directly from source. Items that can be covered are;_x000D_
 * C4 container view diagrams:_x000D_
 ** {*}Possibility{*}: create a maven plugin that can parse annotated classes that denote inbound outbound ports and create the diagrams in structurizr of pluntuml format_x000D_
 ** {*}Affects{*}: https://docs.netcompany.com/swpd-doc/docs-solon-tax/solon-tax/2.0.0/sad/partials/container_view.html_x000D_
 * Application Properties:_x000D_
 ** {*}Essential{*}: Back all application properties used in solontax microservices with POJOS (currently not 100% the case) _x000D_
 ** {*}Possibility{*}: create tooling that can extract application properties information via either a maven plugin or via actuator endpoints and generate documentation as it's done  _x000D_
 ** {*}Affects{*}: [https://docs.netcompany.com/swpd-doc/docs-solon-tax/solon-tax/2.0.0/ing/partials/appendix_a_application_properties.html]_x000D_
 * Installation Configuration instruction_x000D_
 ** {*}Essential{*}: Embed installation configuration guidelines within helm charts README.md documents, and use that directly in installation manual:_x000D_
 ** *Affects:* [https://docs.netcompany.com/swpd-doc/docs-solon-tax/solon-tax/2.0.0/ing/partials/components_installation_configuration.html]_x000D_
 * Base/Demo configuration data (not currently documented)_x000D_
 ** {*}Essential{*}: Create tooling that can extract Base and Demo data entries:_x000D_
 *** Have complete documentation per release in the appropriate guide_x000D_
 *** Have information about changes in release notes.</t>
  </si>
  <si>
    <t>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
_x000D_
This capability must be reusable, configurable, auditable, and resilient to failures._x000D_
_x000D_
*Background :*_x000D_
In the current (as-is) systems:_x000D_
Documents are generated via operational reports _x000D_
Documents may be instructed to be generated via BPMN flows._x000D_
Documents may be sent to contacts and/or stored as attachments. _x000D_
Attachments can be linked to a Document Management System (DMS) via integration._x000D_
_x000D_
*Assumptions :* _x000D_
*a)* Revenue authority will supplied by an External provider the digital stamp (ψηφιακή σφραγίδα) in ΡΕΜ or PKC#7 files_x000D_
Then the configurations for digital signs and certificate will be used for documents signature. _x000D_
./pdf_sign_pem_multicert &lt;input_pdf&gt; &lt;output_pdf&gt; &lt;cert.pem&gt; &lt;key.pem&gt;_x000D_
_x000D_
for our tests we need to use one from CA authority _x000D_
*b)* Any additional elements (document IDs, DMS URLs, QR codes) must be printed on the document via project-specific implementation._x000D_
{*}c){*}Attachments are integrated with a DMS per customer configuration and responsibility._x000D_
*d)* One reference configuration for one digital signature will be only will be available for testing purposes (as demo). If projects needs several signatures, they may be able to configure them in the system.  _x000D_
_x000D_
*Out of Scope* (for now)_x000D_
End-user personal digital signatures_x000D_
Non-PDF document formats_x000D_
Additional IDs or other document additional elements other than digital signature. (document ID, qr code)_x000D_
_x000D_
 _x000D_
_x000D_
 _x000D_
_x000D_
*Functional Requirements*_x000D_
_x000D_
*Digital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(by a reserve id method optionally to be used  in the upload  and that may be used if  needed by configurators) 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some details filled and stored in attachments linked to the form) _x000D_
or use the contact generated at the final step, that will be digital signed._x000D_
Consideration: Create the signature as a reusable subflow _x000D_
_x000D_
*Example*_x000D_
_x000D_
!image-2026-02-16-00-37-24-460.png|width=685,height=402!_x000D_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+Security+_x000D_
Certificates and private keys must be stored securely (e.g., HSM, secure vault, encrypted storage) or other repository. _x000D_
Access to signing functionality must be restricted and auditable._x000D_
_x000D_
+Auditability+_x000D_
Every signing action must be logged:_x000D_
Who/what triggered the signing_x000D_
Timestamp_x000D_
Document ID_x000D_
Certificate used_x000D_
_x000D_
+Performance+_x000D_
Signing should not block critical user flows beyond acceptable SLA limits._x000D_
Support async signing for large documents or batch processing._x000D_
_x000D_
+Configurability+_x000D_
Be able to select different configurations for digital signs  to be used.  _x000D_
_x000D_
 _x000D_
_x000D_
*Notes:* _x000D_
In Gr used:  [https://www.harica.gr/el/Products/eSeal] _x000D_
----_x000D_
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
_x000D_
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t>
  </si>
  <si>
    <t>IRM-30734</t>
  </si>
  <si>
    <t>[Vanilla Installation] - Introduce OpenTelemetry observability support</t>
  </si>
  <si>
    <t>*Problem Statement*_x000D_
_x000D_
The current observability solution for SolonTax has several significant limitations:_x000D_
 * *Intrusive Instrumentation:* Backend microservices require a built-in {{elastic-apm}} Java dependency, which tightly couples the application code to a specific monitoring tool._x000D_
 * *Incomplete Coverage:* The existing setup provides no mechanism to instrument and gather telemetry from critical auxiliary components like Kafka or Keycloak, creating visibility gaps in the system._x000D_
 * *Inflexible Architecture:* The system is hard-wired to use Elasticsearch as the sole destination for telemetry data (logs, traces, metrics). This prevents integration with other modern observability platforms or routing data to different sinks based on need._x000D_
_x000D_
The current approach is not aligned with modern best practices, where OpenTelemetry has emerged as the industry standard for vendor-neutral telemetry collection._x000D_
_x000D_
*Proposed Solution*_x000D_
_x000D_
This feature will modernize the SolonTax observability stack by adopting OpenTelemetry as the new standard. This will be achieved by leveraging the OpenTelemetry Operator for Kubernetes to enable non-intrusive, comprehensive data collection._x000D_
_x000D_
The key changes include:_x000D_
 # *Introduce OpenTelemetry Components:* The OpenTelemetry Operator (providing the necessary CRDs) and the OpenTelemetry Collector will be added as standard components to a vanilla SolonTax installation._x000D_
 # *Enable Non-Intrusive Instrumentation:* The existing {{elastic-apm}} dependency usage will be deprecated. Instead, instrumentation will be applied automatically at runtime using the OpenTelemetry {{Instrumentation}} Custom Resource Definition (CRD), which injects the agent without requiring code changes._x000D_
 # *Centralize Telemetry Collection:* The OpenTelemetry Collector will be configured as the central hub for all telemetry data. It will receive logs, metrics, and traces from SolonTax services and will be architected to support receiving data from auxiliary components in the future. It will then process and forward this data to the appropriate backend, such as Elasticsearch._x000D_
_x000D_
This aligns with the findings of the proof-of-concept from {*}IRM-20971{*}, which validated the feasibility of this approach._x000D_
_x000D_
*Acceptance Criteria*_x000D_
 # *OTel Operator and Collector Installation:* The OpenTelemetry Operator and a default OpenTelemetry Collector instance are successfully deployed as part of the standard SolonTax installation process._x000D_
 # *Default Auto-Instrumentation:* The SolonTax and Auxilliary components are automatically instrumented via the OpenTelemetry {{Instrumentation}} CRD by default in a new installation._x000D_
 # *APM Dependency Deprecation:* The {{elastic-apm}} JAR dependency is flagged as deprecated ._x000D_
 # *End-to-End Telemetry Flow:* Traces, metrics, and logs generated by the SolonTax services are successfully collected by the OpenTelemetry Collector and correctly forwarded to and indexed in the configured Elasticsearch backend._x000D_
 # *Architectural Adherence:* The observability topology is updated to reflect OpenTelemetry best practices, with the Collector serving as the primary entry point for all telemetry data._x000D_
_x000D_
*Out of Scope*_x000D_
 * The configuration of telemetry sinks other than Elasticsearch is not included in this scope. The primary goal is to replace the collection mechanism while maintaining the existing data backend.</t>
  </si>
  <si>
    <t>IRM-30739</t>
  </si>
  <si>
    <t>Dev Experience improvements</t>
  </si>
  <si>
    <t>Everything that can include developer experience:_x000D_
 * Test code changes easier either locally or in a developer env sandbox_x000D_
 * Usage of AI  in day to day development_x000D_
_x000D_
TBD</t>
  </si>
  <si>
    <t>IRM-36279</t>
  </si>
  <si>
    <t>Addition of validitiy period on relationships between codelist items</t>
  </si>
  <si>
    <t>Codelist item relationship need to be enhanced and include date range for which the relationship applies.</t>
  </si>
  <si>
    <t>IRM-30840</t>
  </si>
  <si>
    <t>AEOI, VIDA &amp; OTHER DATA STORAGE</t>
  </si>
  <si>
    <t>Data Storage  - National DB -Central repository for all issued and received e-invoices.</t>
  </si>
  <si>
    <t>Based on [https://jira.intrasoft-intl.com/browse/IRM-30356] ** _x000D_
on of the solution flow steps " *_Storage and EU Data Exchange "_* _x000D_
and thus we need to support a solution: _x000D_
 * Central repository for all issued and received e-invoices._x000D_
 * Supports tax control, audit, analytics, and EU data exchange (e.g., via {*}VIES 2.0{*})._x000D_
 * Must comply with national tax law *and* EU data protection rules (GDPR). _x000D_
_x000D_
 _x000D_
_x000D_
Also to ensure: _x000D_
 * *Data integrity* (accurate, complete, auditable)_x000D_
 ** *Immutable (WORM) storage:* prevent tampering or deletion._x000D_
 ** *Retention automation:* apply expiry dates and legal-hold exceptions._x000D_
 ** *Allow Integrity checks:* hash verification and periodic audits._x000D_
_x000D_
 * *Scalability &amp; performance* (handles national volume)_x000D_
 * *Interoperability* (VIES 2.0, EU standards)_x000D_
 * *Security &amp; privacy compliance* (GDPR + national law)_x000D_
 * *Governance &amp; traceability* (audit-ready at all times)_x000D_
_x000D_
 _x000D_
----_x000D_
+*Solution Considerations*+ _x000D_
 * *Core* _x000D_
 ** *Structured DB + payload store:* relational DB (e.g., PostgreSQL) for key fields; object/WORM storage for full files._x000D_
{*}Scaling{*}_x000D_
*Checksum*_x000D_
*Storage &amp; indexing:* fast access to invoice metadata and totals; keep original payloads for audit.{*}{{*}}_x000D_
 ** *Schema*_x000D_
*Ingestion &amp; validation:* accept e-invoices in various formats (UBL, CEN, XML); check syntax and business rules_x000D_
{*}Canonical data model:{*} normalize invoices into a consistent schema for processing and reporting._x000D_
_x000D_
 * *Integrations*_x000D_
 ** *Exchange integration:* interface with VIES 2.0 and other EU Member States (summary or full invoices)._x000D_
{*}VIES 2.0 adapter:{*} validate VAT IDs, send/receive cross-border summaries or full invoices._x000D_
 ** *Internal systems:* link to taxpayer master, audit, analytics, and archival modules._x000D_
 ** *Reporting/export:* feed BI dashboards and legal reports._x000D_
_x000D_
 *  *Auditing &amp; Reporting*_x000D_
 ** *Search &amp; reporting:* support compliance queries, risk analysis, and statistical reporting._x000D_
 ** *Audit &amp; traceability:* log every event—submission, modification, access, and exchange._x000D_
_x000D_
 _x000D_
_x000D_
--------------------------------------------_x000D_
_x000D_
Notes - _x000D_
 * Monitoring, alerting, and reconciliation for VIES exchanges._x000D_
_x000D_
 * Backup, disaster recovery, and business-continuity planning._x000D_
_x000D_
 * Role segregation: operations / auditors / developers._x000D_
_x000D_
 * Periodic reviews of exemption and retention configurations._x000D_
_x000D_
 _x000D_
_x000D_
 </t>
  </si>
  <si>
    <t>IRM-17803</t>
  </si>
  <si>
    <t>Analysis : When Fts/Journal Entries creation fails, admin can re-create them using a system process</t>
  </si>
  <si>
    <t>When FTs or/and  journal entries creation fails, -  records cannot be created - ._x000D_
What if kafka has a process and moved event to dead letters topic ? _x000D_
(For journal entries  system will throw an exception as implemented by [https://jira.intrasoft-intl.com/browse/IRM-17070] ) _x000D_
_x000D_
Admin will not be able to rerun the process to create the Fts and journal entries automatically. If admin has the relevant system access, may create manually the expected journal entries, making the decisions on accounting rules to be used and amounts per journal entry logged. It would be better to support admin on rerunning the part of the process /kafka event that creates the journal entries on settings predefines in fts or assessments etc. _x000D_
_x000D_
(!)  Investigation and decision is needed  on how to move on. _x000D_
_x000D_
(?) Is it similar issue with Financial transactions creation faults? _x000D_
_x000D_
 _x000D_
_x000D_
+Suggested Action :+_x000D_
 -  An api (supported or not by a UI button) to run when no journal entries created while expected - &gt;(re) send the kafka event as to try recreate records. - run dead letter items in queue _x000D_
(?) Similar to the rerun allocation process under Obligations _x000D_
 - (?) BSs cannot created/cancelled/change status if Fts not created._x000D_
_x000D_
 _x000D_
_x000D_
+Notes:+  _x000D_
Topics that needs additional investigation: _x000D_
 - how to define the Journal entries amounts in Allocation segments_x000D_
 - how to define that journal entries rules are instructed by Assessments calculation rules. _x000D_
_x000D_
Additionally, possibly it would be useful to generate in this situation : _x000D_
 - Human task , notification to admin that journal entries are not created 9</t>
  </si>
  <si>
    <t>For Ad-hoc obligations : _x000D_
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
This can be used for Inheritance tax, legacy data migration processes, other cases like Guarantees. _x000D_
_x000D_
The goal is to be able to add more than payment obligation actions per obligation for ad-hoc obligations, similarly to what happens with periodic obligations. _x000D_
_x000D_
Relevant : [https://jira.intrasoft-intl.com/browse/IRM-11522] , [https://jira.intrasoft-intl.com/browse/IRM-10419] _x000D_
_x000D_
*Functional Requirements*_x000D_
_x000D_
*Basics*_x000D_
 * User and admin can create multiple payment obligation actions under an ad-hoc obligation (revenue type category = Ad-hoc)  as installments or even as onceoff , following the structure of the non ad-hoc obligations with installments. _x000D_
 ** User can add a Filing and more that one Payment Actions in ad-hoc Obligation (flagged as Installments or once off) _x000D_
 ** User can define the Category as is in periodic ones : Preliminary, Original_x000D_
 ** User can defile the subtype of the Obligation action (now available in c_revenue_calendar_period_action for periodic only). Values: Once-Off, Installment, Amendment. _x000D_
Default value : Once-Off, Optional for ad-hocs (no need to create breaking change) _x000D_
If values from calendar, then defined by system, if ad-hoc admin may define. _x000D_
 ** User can define the due date (as happens now)_x000D_
 ** Status is managed by the system (as happens now). _x000D_
 ** One Filing OA  per category (preliminary or Original) is only permitted. _x000D_
 ** More than one are permitted for Payment OAs _x000D_
 ** Details of category and subtype are visible in UI._x000D_
 * User may define in a new field Payment reference" text 500 characters , the payment reference_x000D_
 ** User may search by this  new field Payment reference  and see this in UI. _x000D_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
 * User can create manually the payment obligation actions (as happens now)._x000D_
 * User can sort the list._x000D_
 * User can open a pay instalment action to see more details and update if needed. _x000D_
_x000D_
 _x000D_
_x000D_
-*Advanced:*- _x000D_
_x000D_
-*Additional functionality:*- _x000D_
-To be able for the user to create several installments, a set of predefined rules may be ready in a way that  :- _x000D_
-User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
 * -Admin can define the rule in the revenue type on how  to create the installments for ad-hoc revenue types (suggestion : Dynamic Rules)- _x000D_
 ** -Rules will be able via parameters added by user to generate payment actions under an ad-hoc obligation.-  _x000D_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-+Consideration+-_x000D_
-User should be able to define the rule to create the installments (e.g.  Dynamic Rules or batches)- _x000D_
-Rules should be able via parameters added by user to generate payment actions under an ad-hoc obligation.-  _x000D_
-Rule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_x000D_
_x000D_
 _x000D_
_x000D_
 _x000D_
----_x000D_
Notes_x000D_
[https://dev.icarus/revenue-management/page/Obligation/2c578925-f183-475b-a19a-82cb25ebeb11?subType=ADHOC]_x000D_
_x000D_
!image-2024-08-16-17-29-08-392.png!_x000D_
----_x000D_
Notes: _x000D_
_x000D_
 </t>
  </si>
  <si>
    <t>IRM-761</t>
  </si>
  <si>
    <t>Support History of Changes for Contact when edited before sent as well - User</t>
  </si>
  <si>
    <t>As a revenue official, I want to see the history of changes for the contact, so that I can understand who changed what and when._x000D_
_x000D_
*Functional Requirements*_x000D_
_x000D_
*Contacts History*_x000D_
 * User can see a list with list entries that show what changed on the contact over time. Each time the contact is updated a list entry is added automatically. _x000D_
 * For each change (not only status transition - like in parties) , the user can see details of what changed, when and who made the change_x000D_
 ** e.g. , This should be logged also when contact was changed before sent or when in generated status change channel. _x000D_
 * User can click to open version page (as in Financial transactions)_x000D_
 * User can sort and filter the list_x000D_
_x000D_
*List page*_x000D_
 * In Contacts list page I have available the versions menu_x000D_
 * Open Contact versions page</t>
  </si>
  <si>
    <t>IRM-542</t>
  </si>
  <si>
    <t>CIT</t>
  </si>
  <si>
    <t>CIT - Submit a CIT Return on ICARUS Self Service</t>
  </si>
  <si>
    <t>As an ICARUS Self Service user, I want to submit a CIT Return form that captures all necessary Information needed to create a tax assessment for CIT.
*Prerequisites*
 An entity should be:
 1. Registered in IRM System, thus have a TIN
 2. Registered for CIT in IRM
 prior to submit a CIT return form.
The following *actions* should be available in ICARUS Self Service: 
 1. Open a CIT Return form, from the list of existing filing obligations.
 2. Create a CIT Return form and save it as a draft. User should be able to open the draft at a later point and proceed with editing.
 3. Print a CIT Return form in a PDF format should be available.
 4. Submit a CIT Return form to the back-end system.
5. Taxpayer should be able to see the submission date ie the date the form was submitted to the revenue authority. 
6. Taxpayer should be able to see a unique form reference number.
The following *validations* on the CIT Return form should be available in ICARUS Self Service. Note that these are only sample validation rules since these may differentiate per country:
 # In Section "Filing Period Details" Fields "Filing Period Start and End Dates" create a validation for filing period based on the filing frequency defined to verify the period selected is complaint. Ex. If filing frequency is annual then 12 month period should be selected.
 # In Section "Filing Period Details" Field "If you do not have to complete ... please tick this box" create a validation when this field is selected then remaining input amount sections to calculate CIT should not be available to edit. Tax amount for this period should be set to zero. 
 # In Section "Net Income" only fields "Returns and Allowances, Cost of Goods Sold, Depreciation and Amortization" should be allowed to accept negative values (Zero value should be allowed). 
 # In Section "Final Tax Assessment"when field "Other Adjustments" has a value different than zero then Attachment Category "Miscellaneous related attachments" should be required prior submitting the form.</t>
  </si>
  <si>
    <t>Product Delivery</t>
  </si>
  <si>
    <t>Release Management PI29</t>
  </si>
  <si>
    <t>Release Management PI30</t>
  </si>
  <si>
    <t>PREVENTIVE MAINTENANCE PI30</t>
  </si>
  <si>
    <t>Project Support PI29</t>
  </si>
  <si>
    <t>Project Support PI30</t>
  </si>
  <si>
    <t>CORRECTIVE MAINTENANCE PI29</t>
  </si>
  <si>
    <t>CORRECTIVE MAINTENANCE PI30</t>
  </si>
  <si>
    <t>Security Defect/Improvement Management (Current PI29)</t>
  </si>
  <si>
    <t>Security Defect/Improvement Management (Current PI30)</t>
  </si>
  <si>
    <t>Release Activities PI29</t>
  </si>
  <si>
    <t>Release Activities PI30</t>
  </si>
  <si>
    <t>Ceremonies and Trainings (Current PI29)</t>
  </si>
  <si>
    <t>Ceremonies and Trainings (Current PI30)</t>
  </si>
  <si>
    <t>PMO &amp; Analysis</t>
  </si>
  <si>
    <t>WoW and Governance</t>
  </si>
  <si>
    <t>AgenticAI track 1</t>
  </si>
  <si>
    <t>Business Owners</t>
  </si>
  <si>
    <t>IRM-28205</t>
  </si>
  <si>
    <t>MANAGEMENT TIME</t>
  </si>
  <si>
    <t>T0100 - Test Strategy | Construct Document</t>
  </si>
  <si>
    <t>IRM-28387</t>
  </si>
  <si>
    <t>DD160 - Programming Guidelines – Java | Construct Document</t>
  </si>
  <si>
    <t>IRM-28417</t>
  </si>
  <si>
    <t>D0160 - User-interface design | Migrate Document</t>
  </si>
  <si>
    <t>IRM-28434</t>
  </si>
  <si>
    <t>O0200 - Operations Guide | Migrate Document</t>
  </si>
  <si>
    <t>IRM-28442</t>
  </si>
  <si>
    <t>O0500 - Software Architecture | Construct Document</t>
  </si>
  <si>
    <t>IRM-31711</t>
  </si>
  <si>
    <t>D0110 - Technical Design Guidelines | Construct Document (Next Version)</t>
  </si>
  <si>
    <t>IRM-31922</t>
  </si>
  <si>
    <t>Feature-based Documentation | Create Best Practices</t>
  </si>
  <si>
    <t>IRM-32096</t>
  </si>
  <si>
    <t>P0150 - Product Handbook</t>
  </si>
  <si>
    <t>IRM-33182</t>
  </si>
  <si>
    <t>Intermediate release (Current PI27) - x.x.x</t>
  </si>
  <si>
    <t>IRM-33186</t>
  </si>
  <si>
    <t>PSD Service Requests (Current PI27) - Official Project Support</t>
  </si>
  <si>
    <t>IRM-33187</t>
  </si>
  <si>
    <t>Unplanned support to projects - Unofficial Project Support (Current PI27)</t>
  </si>
  <si>
    <t>IRM-33387</t>
  </si>
  <si>
    <t>Hotfix release (Current PI27) - x.x.x</t>
  </si>
  <si>
    <t>IRM-34483</t>
  </si>
  <si>
    <t>PD Support to projects GR (Current PI27)</t>
  </si>
  <si>
    <t>IRM-34749</t>
  </si>
  <si>
    <t>PD Managerial Improvements</t>
  </si>
  <si>
    <t>IRM-34897</t>
  </si>
  <si>
    <t>Tooling | Document Review Process Internal documents/Documentation Owners - TW</t>
  </si>
  <si>
    <t>IRM-34915</t>
  </si>
  <si>
    <t>PI27 | NC Methodology Management</t>
  </si>
  <si>
    <t>IRM-35107</t>
  </si>
  <si>
    <t>Tooling | Document Review Process Internal documents/Documentation Owners - DevOps</t>
  </si>
  <si>
    <t>IRM-35184</t>
  </si>
  <si>
    <t>Ceremonies and Trainings (Current PI27)</t>
  </si>
  <si>
    <t>IRM-35189</t>
  </si>
  <si>
    <t>PI27 Administration</t>
  </si>
  <si>
    <t>IRM-35419</t>
  </si>
  <si>
    <t>Tooling | Document Repository Structure</t>
  </si>
  <si>
    <t>IRM-35720</t>
  </si>
  <si>
    <t>Product Documentation Team - PI 27 Support</t>
  </si>
  <si>
    <t>IRM-35728</t>
  </si>
  <si>
    <t>Product Documentation Support (TW)</t>
  </si>
  <si>
    <t>IRM-36982</t>
  </si>
  <si>
    <t>Support to PdM - Before Feature Creation (Current PI27)</t>
  </si>
  <si>
    <t>IRM-38999</t>
  </si>
  <si>
    <t>PD Documentation updates/enhancements for  ---  (PI29) / WIP</t>
  </si>
  <si>
    <t>IRM-40138</t>
  </si>
  <si>
    <t>Tooling | DD120 Migration to PlantUML</t>
  </si>
  <si>
    <t>IRM-40623</t>
  </si>
  <si>
    <t>PI 27 External Documentation Review (Shared Review) - v3.0.0</t>
  </si>
  <si>
    <t>PD Documentation updates/enhancements for x.x.x (Current PI30)</t>
  </si>
  <si>
    <t>PMO support</t>
  </si>
  <si>
    <t>Initiative Count</t>
  </si>
  <si>
    <t>Feature Count</t>
  </si>
  <si>
    <t>Total Estimate</t>
  </si>
  <si>
    <t>Features</t>
  </si>
  <si>
    <t>P1</t>
  </si>
  <si>
    <t>P2</t>
  </si>
  <si>
    <t>P3</t>
  </si>
  <si>
    <t>Total Hours 2026</t>
  </si>
  <si>
    <t>Spent Hours 2026</t>
  </si>
  <si>
    <t>Planned Hours 2026</t>
  </si>
  <si>
    <t>PI 28 Total Hours</t>
  </si>
  <si>
    <t>PI 29 Total Hours</t>
  </si>
  <si>
    <t>PI 30 Total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</si>
</sst>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2" borderId="0" xfId="0" applyFill="1"/>
    <xf numFmtId="1"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tcompany-my.sharepoint.com/personal/mmc_netcompany_com/Documents/Solon%20Tax%20Estimate%202026%20(Mar).xlsx" TargetMode="External"/><Relationship Id="rId1" Type="http://schemas.openxmlformats.org/officeDocument/2006/relationships/externalLinkPath" Target="https://netcompany-my.sharepoint.com/personal/mmc_netcompany_com/Documents/Solon%20Tax%20Estimate%202026%20(M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Est hrs calc"/>
      <sheetName val="Product Backlog (output)"/>
      <sheetName val="Product Backlog (input)"/>
      <sheetName val="Product Backlog (Jira)"/>
      <sheetName val="Support Backlog (Jira)"/>
      <sheetName val="Management (Placeholders)"/>
      <sheetName val="Factors"/>
      <sheetName val="InitiativeGroupMapping (input)"/>
      <sheetName val="Management"/>
      <sheetName val="Other Activities"/>
      <sheetName val="GetEpic"/>
      <sheetName val="FieldsConfig"/>
    </sheetNames>
    <sheetDataSet>
      <sheetData sheetId="0"/>
      <sheetData sheetId="1">
        <row r="13">
          <cell r="I13">
            <v>160808.08462000001</v>
          </cell>
        </row>
        <row r="14">
          <cell r="I14">
            <v>85233.333333333328</v>
          </cell>
        </row>
        <row r="15">
          <cell r="I15">
            <v>246041.41795333335</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457B4F36-1A75-4B27-8ABF-53FFA7AF3827}" autoFormatId="16" applyNumberFormats="0" applyBorderFormats="0" applyFontFormats="0" applyPatternFormats="0" applyAlignmentFormats="0" applyWidthHeightFormats="0">
  <queryTableRefresh nextId="17">
    <queryTableFields count="11">
      <queryTableField id="1" name="Issue Type" tableColumnId="1"/>
      <queryTableField id="2" name="IRM" tableColumnId="2"/>
      <queryTableField id="3" name="Roadmap Initiative Group" tableColumnId="3"/>
      <queryTableField id="4" name="Roadmap Initiative" tableColumnId="4"/>
      <queryTableField id="5" name="Roadmap Feature" tableColumnId="5"/>
      <queryTableField id="6" name="Requester" tableColumnId="6"/>
      <queryTableField id="7" name="PI" tableColumnId="7"/>
      <queryTableField id="8" name="Estimate" tableColumnId="8"/>
      <queryTableField id="15" name="Feature Priority" tableColumnId="13"/>
      <queryTableField id="13" name="Feature Status" tableColumnId="12"/>
      <queryTableField id="10" name="Features Descrip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9" xr16:uid="{2829690E-6826-460D-A620-6178ACF14ADB}" autoFormatId="16" applyNumberFormats="0" applyBorderFormats="0" applyFontFormats="0" applyPatternFormats="0" applyAlignmentFormats="0" applyWidthHeightFormats="0">
  <queryTableRefresh nextId="8">
    <queryTableFields count="3">
      <queryTableField id="5" name="PI" tableColumnId="5"/>
      <queryTableField id="4" name="Requester" tableColumnId="4"/>
      <queryTableField id="6" name="Estim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0AD89BD3-2861-4541-8630-456F7CB454EB}" autoFormatId="16" applyNumberFormats="0" applyBorderFormats="0" applyFontFormats="0" applyPatternFormats="0" applyAlignmentFormats="0" applyWidthHeightFormats="0">
  <queryTableRefresh nextId="12">
    <queryTableFields count="5">
      <queryTableField id="2" name="PI" tableColumnId="2"/>
      <queryTableField id="1" name="Roadmap Initiative Group" tableColumnId="1"/>
      <queryTableField id="7" name="Initiative Count" tableColumnId="6"/>
      <queryTableField id="10" name="Feature Count" tableColumnId="8"/>
      <queryTableField id="9" name="Estimat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4B76C032-C76A-484E-9FEB-B53519D3900E}" autoFormatId="16" applyNumberFormats="0" applyBorderFormats="0" applyFontFormats="0" applyPatternFormats="0" applyAlignmentFormats="0" applyWidthHeightFormats="0">
  <queryTableRefresh nextId="13">
    <queryTableFields count="8">
      <queryTableField id="1" name="PI" tableColumnId="1"/>
      <queryTableField id="2" name="Roadmap Initiative Group" tableColumnId="2"/>
      <queryTableField id="3" name="Roadmap Initiative" tableColumnId="3"/>
      <queryTableField id="8" name="Total Estimate" tableColumnId="8"/>
      <queryTableField id="9" name="Features" tableColumnId="9"/>
      <queryTableField id="10" name="P1" tableColumnId="10"/>
      <queryTableField id="11" name="P2" tableColumnId="11"/>
      <queryTableField id="12" name="P3"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1C524C-4E5C-4ECC-8CC2-DE72B7BF3533}" name="Full_Features" displayName="Full_Features" ref="A1:K379" tableType="queryTable" totalsRowShown="0">
  <autoFilter ref="A1:K379" xr:uid="{A71C524C-4E5C-4ECC-8CC2-DE72B7BF3533}">
    <filterColumn colId="6">
      <filters>
        <filter val="PI28"/>
        <filter val="PI29"/>
      </filters>
    </filterColumn>
  </autoFilter>
  <sortState xmlns:xlrd2="http://schemas.microsoft.com/office/spreadsheetml/2017/richdata2" ref="A2:K368">
    <sortCondition ref="E1:E379"/>
  </sortState>
  <tableColumns count="11">
    <tableColumn id="1" xr3:uid="{FE21DE99-F858-4E74-A481-70E1F62F03D6}" uniqueName="1" name="Issue Type" queryTableFieldId="1"/>
    <tableColumn id="2" xr3:uid="{7C10594C-6C2D-4703-9161-945510788A16}" uniqueName="2" name="IRM" queryTableFieldId="2" dataDxfId="14"/>
    <tableColumn id="3" xr3:uid="{F788369C-B22B-4BAF-A3DC-593F7462AF99}" uniqueName="3" name="Roadmap Initiative Group" queryTableFieldId="3" dataDxfId="13"/>
    <tableColumn id="4" xr3:uid="{39F207FE-529B-402F-AB4F-CC891A50A6CC}" uniqueName="4" name="Roadmap Initiative" queryTableFieldId="4" dataDxfId="12"/>
    <tableColumn id="5" xr3:uid="{795823A1-80D0-4970-969E-6C9FD3F2ABAC}" uniqueName="5" name="Roadmap Feature" queryTableFieldId="5" dataDxfId="11"/>
    <tableColumn id="6" xr3:uid="{4ECE691C-DCC8-4227-BABD-33BD452AC81C}" uniqueName="6" name="Requester" queryTableFieldId="6" dataDxfId="10"/>
    <tableColumn id="7" xr3:uid="{58FC13B9-2752-47CF-A23F-E0C30C0C2674}" uniqueName="7" name="PI" queryTableFieldId="7" dataDxfId="9"/>
    <tableColumn id="8" xr3:uid="{1C303795-352D-4481-98D1-AAF00D5940F9}" uniqueName="8" name="Estimate" queryTableFieldId="8"/>
    <tableColumn id="13" xr3:uid="{EDE1DE68-5D7D-4DF6-A8C8-1A2BAE03B2F4}" uniqueName="13" name="Feature Priority" queryTableFieldId="15"/>
    <tableColumn id="12" xr3:uid="{2B73485D-1BBE-42B1-83B0-D3B42EDDB304}" uniqueName="12" name="Feature Status" queryTableFieldId="13" dataDxfId="8"/>
    <tableColumn id="10" xr3:uid="{0895B589-BF3F-499A-B677-44F93CC882FE}" uniqueName="10" name="Features Description" queryTableFieldId="10"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C0F6F2-A6E7-4629-9334-11D8D731220E}" name="Requester_stats" displayName="Requester_stats" ref="A1:C9" tableType="queryTable" totalsRowShown="0">
  <autoFilter ref="A1:C9" xr:uid="{46C0F6F2-A6E7-4629-9334-11D8D731220E}"/>
  <sortState xmlns:xlrd2="http://schemas.microsoft.com/office/spreadsheetml/2017/richdata2" ref="A2:C9">
    <sortCondition ref="A1:A9"/>
  </sortState>
  <tableColumns count="3">
    <tableColumn id="5" xr3:uid="{054A3EB3-DA49-43EC-91BC-880E1A31159F}" uniqueName="5" name="PI" queryTableFieldId="5" dataDxfId="1"/>
    <tableColumn id="4" xr3:uid="{237A2C1E-769B-44E6-A3B8-15D33608621E}" uniqueName="4" name="Requester" queryTableFieldId="4" dataDxfId="0"/>
    <tableColumn id="6" xr3:uid="{A0AFB873-9A55-4754-A45B-0739F14398FD}" uniqueName="6" name="Estimat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10DF8-8E4E-4365-AD07-09752B4FDDDC}" name="Initiative_Group_Stats" displayName="Initiative_Group_Stats" ref="A1:E20" tableType="queryTable" totalsRowShown="0">
  <autoFilter ref="A1:E20" xr:uid="{8F710DF8-8E4E-4365-AD07-09752B4FDDDC}"/>
  <sortState xmlns:xlrd2="http://schemas.microsoft.com/office/spreadsheetml/2017/richdata2" ref="A2:E20">
    <sortCondition ref="A1:A20"/>
  </sortState>
  <tableColumns count="5">
    <tableColumn id="2" xr3:uid="{3C4005C3-B477-4343-BFD1-A1FC62B859E7}" uniqueName="2" name="PI" queryTableFieldId="2" dataDxfId="3"/>
    <tableColumn id="1" xr3:uid="{CE73F2C5-571B-48E2-8F15-9B40FC6B343E}" uniqueName="1" name="Roadmap Initiative Group" queryTableFieldId="1" dataDxfId="2"/>
    <tableColumn id="6" xr3:uid="{E592EDED-0830-45C6-B5BF-48089DA41FF9}" uniqueName="6" name="Initiative Count" queryTableFieldId="7"/>
    <tableColumn id="8" xr3:uid="{AB0CE1C3-6340-434B-A6B0-E1F2797C89B9}" uniqueName="8" name="Feature Count" queryTableFieldId="10"/>
    <tableColumn id="7" xr3:uid="{B0694238-E543-4660-A27E-5E63DBAA7D86}" uniqueName="7" name="Estimate"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259E7A-CF5D-42A6-9CC6-8A32455DB353}" name="Initiative_Stats" displayName="Initiative_Stats" ref="A1:H125" tableType="queryTable" totalsRowShown="0">
  <autoFilter ref="A1:H125" xr:uid="{1A259E7A-CF5D-42A6-9CC6-8A32455DB353}">
    <filterColumn colId="0">
      <filters>
        <filter val="PI30"/>
      </filters>
    </filterColumn>
  </autoFilter>
  <sortState xmlns:xlrd2="http://schemas.microsoft.com/office/spreadsheetml/2017/richdata2" ref="A5:H125">
    <sortCondition ref="B1:B125"/>
  </sortState>
  <tableColumns count="8">
    <tableColumn id="1" xr3:uid="{B4034FA2-7642-4521-82E1-5B65B9B6637E}" uniqueName="1" name="PI" queryTableFieldId="1" dataDxfId="6"/>
    <tableColumn id="2" xr3:uid="{62882F9B-619D-430D-9DB5-598DF7F77E3D}" uniqueName="2" name="Roadmap Initiative Group" queryTableFieldId="2" dataDxfId="5"/>
    <tableColumn id="3" xr3:uid="{B07ABBE0-7DA0-436B-879F-F421E4A0B513}" uniqueName="3" name="Roadmap Initiative" queryTableFieldId="3" dataDxfId="4"/>
    <tableColumn id="8" xr3:uid="{869AEEB9-4DB2-408A-BAEE-3F382FF44191}" uniqueName="8" name="Total Estimate" queryTableFieldId="8"/>
    <tableColumn id="9" xr3:uid="{2502E1C5-0120-4744-92C0-19F7092999CA}" uniqueName="9" name="Features" queryTableFieldId="9"/>
    <tableColumn id="10" xr3:uid="{F84DB09A-C77F-4C8C-B0BE-6DCCA8826A42}" uniqueName="10" name="P1" queryTableFieldId="10"/>
    <tableColumn id="11" xr3:uid="{12E2741A-58DC-4FE2-A62C-FFAD027A6990}" uniqueName="11" name="P2" queryTableFieldId="11"/>
    <tableColumn id="12" xr3:uid="{1D5050FB-3D06-42A3-BED0-A5E429BF6071}" uniqueName="12" name="P3"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3F8A-14B9-4043-B9A1-4A06B58D97A4}">
  <dimension ref="A1:K379"/>
  <sheetViews>
    <sheetView workbookViewId="0">
      <selection sqref="A1:K379"/>
    </sheetView>
    <sheetView topLeftCell="E1" workbookViewId="1"/>
  </sheetViews>
  <sheetFormatPr defaultRowHeight="15" x14ac:dyDescent="0.25"/>
  <cols>
    <col min="1" max="1" width="12.85546875" bestFit="1" customWidth="1"/>
    <col min="2" max="2" width="13.42578125" bestFit="1" customWidth="1"/>
    <col min="3" max="3" width="41" bestFit="1" customWidth="1"/>
    <col min="4" max="4" width="39.42578125" bestFit="1" customWidth="1"/>
    <col min="5" max="5" width="81.140625" bestFit="1" customWidth="1"/>
    <col min="6" max="6" width="12.7109375" bestFit="1" customWidth="1"/>
    <col min="7" max="7" width="5" bestFit="1" customWidth="1"/>
    <col min="8" max="8" width="11.28515625" bestFit="1" customWidth="1"/>
    <col min="9" max="9" width="17.28515625" bestFit="1" customWidth="1"/>
    <col min="10" max="10" width="24.28515625" bestFit="1" customWidth="1"/>
    <col min="11" max="12" width="81.140625" customWidth="1"/>
    <col min="13" max="13" width="81.140625" bestFit="1" customWidth="1"/>
  </cols>
  <sheetData>
    <row r="1" spans="1:11" x14ac:dyDescent="0.25">
      <c r="A1" t="s">
        <v>415</v>
      </c>
      <c r="B1" t="s">
        <v>0</v>
      </c>
      <c r="C1" t="s">
        <v>1</v>
      </c>
      <c r="D1" t="s">
        <v>2</v>
      </c>
      <c r="E1" t="s">
        <v>3</v>
      </c>
      <c r="F1" t="s">
        <v>5</v>
      </c>
      <c r="G1" t="s">
        <v>6</v>
      </c>
      <c r="H1" t="s">
        <v>4</v>
      </c>
      <c r="I1" t="s">
        <v>531</v>
      </c>
      <c r="J1" t="s">
        <v>530</v>
      </c>
      <c r="K1" t="s">
        <v>529</v>
      </c>
    </row>
    <row r="2" spans="1:11" x14ac:dyDescent="0.25">
      <c r="A2" t="s">
        <v>416</v>
      </c>
      <c r="B2" t="s">
        <v>196</v>
      </c>
      <c r="C2" t="s">
        <v>24</v>
      </c>
      <c r="D2" t="s">
        <v>58</v>
      </c>
      <c r="E2" t="s">
        <v>197</v>
      </c>
      <c r="F2" t="s">
        <v>19</v>
      </c>
      <c r="G2" t="s">
        <v>14</v>
      </c>
      <c r="H2">
        <v>80</v>
      </c>
      <c r="I2" t="s">
        <v>527</v>
      </c>
      <c r="J2" t="s">
        <v>524</v>
      </c>
      <c r="K2" t="s">
        <v>462</v>
      </c>
    </row>
    <row r="3" spans="1:11" x14ac:dyDescent="0.25">
      <c r="A3" t="s">
        <v>416</v>
      </c>
      <c r="B3" t="s">
        <v>193</v>
      </c>
      <c r="C3" t="s">
        <v>24</v>
      </c>
      <c r="D3" t="s">
        <v>58</v>
      </c>
      <c r="E3" t="s">
        <v>194</v>
      </c>
      <c r="F3" t="s">
        <v>19</v>
      </c>
      <c r="G3" t="s">
        <v>14</v>
      </c>
      <c r="H3">
        <v>126.69999999999999</v>
      </c>
      <c r="I3" t="s">
        <v>523</v>
      </c>
      <c r="J3" t="s">
        <v>520</v>
      </c>
      <c r="K3" t="s">
        <v>466</v>
      </c>
    </row>
    <row r="4" spans="1:11" x14ac:dyDescent="0.25">
      <c r="A4" t="s">
        <v>416</v>
      </c>
      <c r="B4" t="s">
        <v>255</v>
      </c>
      <c r="C4" t="s">
        <v>24</v>
      </c>
      <c r="D4" t="s">
        <v>92</v>
      </c>
      <c r="E4" t="s">
        <v>256</v>
      </c>
      <c r="F4" t="s">
        <v>19</v>
      </c>
      <c r="G4" t="s">
        <v>14</v>
      </c>
      <c r="I4" t="s">
        <v>519</v>
      </c>
      <c r="J4" t="s">
        <v>518</v>
      </c>
      <c r="K4" t="s">
        <v>418</v>
      </c>
    </row>
    <row r="5" spans="1:11" x14ac:dyDescent="0.25">
      <c r="A5" t="s">
        <v>416</v>
      </c>
      <c r="B5" t="s">
        <v>285</v>
      </c>
      <c r="C5" t="s">
        <v>24</v>
      </c>
      <c r="D5" t="s">
        <v>92</v>
      </c>
      <c r="E5" t="s">
        <v>286</v>
      </c>
      <c r="F5" t="s">
        <v>19</v>
      </c>
      <c r="G5" t="s">
        <v>14</v>
      </c>
      <c r="I5" t="s">
        <v>519</v>
      </c>
      <c r="J5" t="s">
        <v>518</v>
      </c>
      <c r="K5" t="s">
        <v>418</v>
      </c>
    </row>
    <row r="6" spans="1:11" x14ac:dyDescent="0.25">
      <c r="A6" t="s">
        <v>416</v>
      </c>
      <c r="B6" t="s">
        <v>247</v>
      </c>
      <c r="C6" t="s">
        <v>24</v>
      </c>
      <c r="D6" t="s">
        <v>92</v>
      </c>
      <c r="E6" t="s">
        <v>248</v>
      </c>
      <c r="F6" t="s">
        <v>19</v>
      </c>
      <c r="G6" t="s">
        <v>14</v>
      </c>
      <c r="I6" t="s">
        <v>519</v>
      </c>
      <c r="J6" t="s">
        <v>518</v>
      </c>
      <c r="K6" t="s">
        <v>418</v>
      </c>
    </row>
    <row r="7" spans="1:11" x14ac:dyDescent="0.25">
      <c r="A7" t="s">
        <v>416</v>
      </c>
      <c r="B7" t="s">
        <v>253</v>
      </c>
      <c r="C7" t="s">
        <v>24</v>
      </c>
      <c r="D7" t="s">
        <v>92</v>
      </c>
      <c r="E7" t="s">
        <v>254</v>
      </c>
      <c r="F7" t="s">
        <v>19</v>
      </c>
      <c r="G7" t="s">
        <v>14</v>
      </c>
      <c r="I7" t="s">
        <v>519</v>
      </c>
      <c r="J7" t="s">
        <v>518</v>
      </c>
      <c r="K7" t="s">
        <v>418</v>
      </c>
    </row>
    <row r="8" spans="1:11" x14ac:dyDescent="0.25">
      <c r="A8" t="s">
        <v>416</v>
      </c>
      <c r="B8" t="s">
        <v>249</v>
      </c>
      <c r="C8" t="s">
        <v>24</v>
      </c>
      <c r="D8" t="s">
        <v>92</v>
      </c>
      <c r="E8" t="s">
        <v>250</v>
      </c>
      <c r="F8" t="s">
        <v>19</v>
      </c>
      <c r="G8" t="s">
        <v>14</v>
      </c>
      <c r="I8" t="s">
        <v>519</v>
      </c>
      <c r="J8" t="s">
        <v>518</v>
      </c>
      <c r="K8" t="s">
        <v>418</v>
      </c>
    </row>
    <row r="9" spans="1:11" hidden="1" x14ac:dyDescent="0.25">
      <c r="A9" t="s">
        <v>416</v>
      </c>
      <c r="B9" t="s">
        <v>619</v>
      </c>
      <c r="C9" t="s">
        <v>24</v>
      </c>
      <c r="D9" t="s">
        <v>92</v>
      </c>
      <c r="E9" t="s">
        <v>620</v>
      </c>
      <c r="F9" t="s">
        <v>19</v>
      </c>
      <c r="G9" t="s">
        <v>540</v>
      </c>
      <c r="H9">
        <v>373.1</v>
      </c>
      <c r="I9" t="s">
        <v>527</v>
      </c>
      <c r="J9" t="s">
        <v>518</v>
      </c>
      <c r="K9" t="s">
        <v>621</v>
      </c>
    </row>
    <row r="10" spans="1:11" x14ac:dyDescent="0.25">
      <c r="A10" t="s">
        <v>416</v>
      </c>
      <c r="B10" t="s">
        <v>619</v>
      </c>
      <c r="C10" t="s">
        <v>24</v>
      </c>
      <c r="D10" t="s">
        <v>92</v>
      </c>
      <c r="E10" t="s">
        <v>620</v>
      </c>
      <c r="F10" t="s">
        <v>19</v>
      </c>
      <c r="G10" t="s">
        <v>542</v>
      </c>
      <c r="H10">
        <v>40</v>
      </c>
      <c r="I10" t="s">
        <v>527</v>
      </c>
      <c r="J10" t="s">
        <v>518</v>
      </c>
      <c r="K10" t="s">
        <v>621</v>
      </c>
    </row>
    <row r="11" spans="1:11" hidden="1" x14ac:dyDescent="0.25">
      <c r="A11" t="s">
        <v>416</v>
      </c>
      <c r="B11" t="s">
        <v>543</v>
      </c>
      <c r="C11" t="s">
        <v>544</v>
      </c>
      <c r="D11" t="s">
        <v>545</v>
      </c>
      <c r="E11" t="s">
        <v>546</v>
      </c>
      <c r="F11" t="s">
        <v>9</v>
      </c>
      <c r="G11" t="s">
        <v>540</v>
      </c>
      <c r="H11">
        <v>2240</v>
      </c>
      <c r="I11" t="s">
        <v>527</v>
      </c>
      <c r="J11" t="s">
        <v>518</v>
      </c>
      <c r="K11" t="s">
        <v>547</v>
      </c>
    </row>
    <row r="12" spans="1:11" x14ac:dyDescent="0.25">
      <c r="A12" t="s">
        <v>416</v>
      </c>
      <c r="B12" t="s">
        <v>543</v>
      </c>
      <c r="C12" t="s">
        <v>544</v>
      </c>
      <c r="D12" t="s">
        <v>545</v>
      </c>
      <c r="E12" t="s">
        <v>546</v>
      </c>
      <c r="F12" t="s">
        <v>9</v>
      </c>
      <c r="G12" t="s">
        <v>542</v>
      </c>
      <c r="H12">
        <v>240</v>
      </c>
      <c r="I12" t="s">
        <v>527</v>
      </c>
      <c r="J12" t="s">
        <v>518</v>
      </c>
      <c r="K12" t="s">
        <v>547</v>
      </c>
    </row>
    <row r="13" spans="1:11" hidden="1" x14ac:dyDescent="0.25">
      <c r="A13" t="s">
        <v>416</v>
      </c>
      <c r="B13" t="s">
        <v>646</v>
      </c>
      <c r="C13" t="s">
        <v>544</v>
      </c>
      <c r="D13" t="s">
        <v>647</v>
      </c>
      <c r="E13" t="s">
        <v>648</v>
      </c>
      <c r="F13" t="s">
        <v>9</v>
      </c>
      <c r="G13" t="s">
        <v>540</v>
      </c>
      <c r="H13">
        <v>3733.1</v>
      </c>
      <c r="I13" t="s">
        <v>527</v>
      </c>
      <c r="J13" t="s">
        <v>518</v>
      </c>
      <c r="K13" t="s">
        <v>649</v>
      </c>
    </row>
    <row r="14" spans="1:11" x14ac:dyDescent="0.25">
      <c r="A14" t="s">
        <v>416</v>
      </c>
      <c r="B14" t="s">
        <v>646</v>
      </c>
      <c r="C14" t="s">
        <v>544</v>
      </c>
      <c r="D14" t="s">
        <v>647</v>
      </c>
      <c r="E14" t="s">
        <v>648</v>
      </c>
      <c r="F14" t="s">
        <v>9</v>
      </c>
      <c r="G14" t="s">
        <v>542</v>
      </c>
      <c r="H14">
        <v>400</v>
      </c>
      <c r="I14" t="s">
        <v>527</v>
      </c>
      <c r="J14" t="s">
        <v>518</v>
      </c>
      <c r="K14" t="s">
        <v>649</v>
      </c>
    </row>
    <row r="15" spans="1:11" x14ac:dyDescent="0.25">
      <c r="A15" t="s">
        <v>416</v>
      </c>
      <c r="B15" t="s">
        <v>65</v>
      </c>
      <c r="C15" t="s">
        <v>17</v>
      </c>
      <c r="D15" t="s">
        <v>66</v>
      </c>
      <c r="E15" t="s">
        <v>67</v>
      </c>
      <c r="F15" t="s">
        <v>9</v>
      </c>
      <c r="G15" t="s">
        <v>542</v>
      </c>
      <c r="H15">
        <v>392</v>
      </c>
      <c r="I15" t="s">
        <v>527</v>
      </c>
      <c r="J15" t="s">
        <v>520</v>
      </c>
      <c r="K15" t="s">
        <v>424</v>
      </c>
    </row>
    <row r="16" spans="1:11" x14ac:dyDescent="0.25">
      <c r="A16" t="s">
        <v>416</v>
      </c>
      <c r="B16" t="s">
        <v>65</v>
      </c>
      <c r="C16" t="s">
        <v>17</v>
      </c>
      <c r="D16" t="s">
        <v>66</v>
      </c>
      <c r="E16" t="s">
        <v>67</v>
      </c>
      <c r="F16" t="s">
        <v>9</v>
      </c>
      <c r="G16" t="s">
        <v>14</v>
      </c>
      <c r="H16">
        <v>42</v>
      </c>
      <c r="I16" t="s">
        <v>527</v>
      </c>
      <c r="J16" t="s">
        <v>520</v>
      </c>
      <c r="K16" t="s">
        <v>424</v>
      </c>
    </row>
    <row r="17" spans="1:11" hidden="1" x14ac:dyDescent="0.25">
      <c r="A17" t="s">
        <v>416</v>
      </c>
      <c r="B17" t="s">
        <v>581</v>
      </c>
      <c r="C17" t="s">
        <v>41</v>
      </c>
      <c r="D17" t="s">
        <v>582</v>
      </c>
      <c r="E17" t="s">
        <v>583</v>
      </c>
      <c r="F17" t="s">
        <v>19</v>
      </c>
      <c r="G17" t="s">
        <v>540</v>
      </c>
      <c r="H17">
        <v>2240</v>
      </c>
      <c r="I17" t="s">
        <v>527</v>
      </c>
      <c r="J17" t="s">
        <v>518</v>
      </c>
      <c r="K17" t="s">
        <v>584</v>
      </c>
    </row>
    <row r="18" spans="1:11" x14ac:dyDescent="0.25">
      <c r="A18" t="s">
        <v>416</v>
      </c>
      <c r="B18" t="s">
        <v>581</v>
      </c>
      <c r="C18" t="s">
        <v>41</v>
      </c>
      <c r="D18" t="s">
        <v>582</v>
      </c>
      <c r="E18" t="s">
        <v>583</v>
      </c>
      <c r="F18" t="s">
        <v>19</v>
      </c>
      <c r="G18" t="s">
        <v>542</v>
      </c>
      <c r="H18">
        <v>240</v>
      </c>
      <c r="I18" t="s">
        <v>527</v>
      </c>
      <c r="J18" t="s">
        <v>518</v>
      </c>
      <c r="K18" t="s">
        <v>584</v>
      </c>
    </row>
    <row r="19" spans="1:11" hidden="1" x14ac:dyDescent="0.25">
      <c r="A19" t="s">
        <v>416</v>
      </c>
      <c r="B19" t="s">
        <v>588</v>
      </c>
      <c r="C19" t="s">
        <v>41</v>
      </c>
      <c r="D19" t="s">
        <v>582</v>
      </c>
      <c r="E19" t="s">
        <v>589</v>
      </c>
      <c r="F19" t="s">
        <v>19</v>
      </c>
      <c r="G19" t="s">
        <v>540</v>
      </c>
      <c r="H19">
        <v>0.89999999999999991</v>
      </c>
      <c r="I19" t="s">
        <v>527</v>
      </c>
      <c r="J19" t="s">
        <v>528</v>
      </c>
      <c r="K19" t="s">
        <v>590</v>
      </c>
    </row>
    <row r="20" spans="1:11" x14ac:dyDescent="0.25">
      <c r="A20" t="s">
        <v>416</v>
      </c>
      <c r="B20" t="s">
        <v>588</v>
      </c>
      <c r="C20" t="s">
        <v>41</v>
      </c>
      <c r="D20" t="s">
        <v>582</v>
      </c>
      <c r="E20" t="s">
        <v>589</v>
      </c>
      <c r="F20" t="s">
        <v>19</v>
      </c>
      <c r="G20" t="s">
        <v>542</v>
      </c>
      <c r="H20">
        <v>0.1</v>
      </c>
      <c r="I20" t="s">
        <v>527</v>
      </c>
      <c r="J20" t="s">
        <v>528</v>
      </c>
      <c r="K20" t="s">
        <v>590</v>
      </c>
    </row>
    <row r="21" spans="1:11" hidden="1" x14ac:dyDescent="0.25">
      <c r="A21" t="s">
        <v>416</v>
      </c>
      <c r="B21" t="s">
        <v>629</v>
      </c>
      <c r="C21" t="s">
        <v>41</v>
      </c>
      <c r="D21" t="s">
        <v>582</v>
      </c>
      <c r="E21" t="s">
        <v>630</v>
      </c>
      <c r="F21" t="s">
        <v>19</v>
      </c>
      <c r="G21" t="s">
        <v>540</v>
      </c>
      <c r="H21">
        <v>1493.1</v>
      </c>
      <c r="I21" t="s">
        <v>527</v>
      </c>
      <c r="J21" t="s">
        <v>524</v>
      </c>
      <c r="K21" t="s">
        <v>631</v>
      </c>
    </row>
    <row r="22" spans="1:11" x14ac:dyDescent="0.25">
      <c r="A22" t="s">
        <v>416</v>
      </c>
      <c r="B22" t="s">
        <v>629</v>
      </c>
      <c r="C22" t="s">
        <v>41</v>
      </c>
      <c r="D22" t="s">
        <v>582</v>
      </c>
      <c r="E22" t="s">
        <v>630</v>
      </c>
      <c r="F22" t="s">
        <v>19</v>
      </c>
      <c r="G22" t="s">
        <v>542</v>
      </c>
      <c r="H22">
        <v>160</v>
      </c>
      <c r="I22" t="s">
        <v>527</v>
      </c>
      <c r="J22" t="s">
        <v>524</v>
      </c>
      <c r="K22" t="s">
        <v>631</v>
      </c>
    </row>
    <row r="23" spans="1:11" x14ac:dyDescent="0.25">
      <c r="A23" t="s">
        <v>416</v>
      </c>
      <c r="B23" t="s">
        <v>50</v>
      </c>
      <c r="C23" t="s">
        <v>41</v>
      </c>
      <c r="D23" t="s">
        <v>51</v>
      </c>
      <c r="E23" t="s">
        <v>52</v>
      </c>
      <c r="F23" t="s">
        <v>19</v>
      </c>
      <c r="G23" t="s">
        <v>542</v>
      </c>
      <c r="I23" t="s">
        <v>527</v>
      </c>
      <c r="J23" t="s">
        <v>520</v>
      </c>
      <c r="K23" t="s">
        <v>446</v>
      </c>
    </row>
    <row r="24" spans="1:11" x14ac:dyDescent="0.25">
      <c r="A24" t="s">
        <v>416</v>
      </c>
      <c r="B24" t="s">
        <v>50</v>
      </c>
      <c r="C24" t="s">
        <v>41</v>
      </c>
      <c r="D24" t="s">
        <v>51</v>
      </c>
      <c r="E24" t="s">
        <v>52</v>
      </c>
      <c r="F24" t="s">
        <v>19</v>
      </c>
      <c r="G24" t="s">
        <v>14</v>
      </c>
      <c r="I24" t="s">
        <v>527</v>
      </c>
      <c r="J24" t="s">
        <v>520</v>
      </c>
      <c r="K24" t="s">
        <v>446</v>
      </c>
    </row>
    <row r="25" spans="1:11" x14ac:dyDescent="0.25">
      <c r="A25" t="s">
        <v>416</v>
      </c>
      <c r="B25" t="s">
        <v>53</v>
      </c>
      <c r="C25" t="s">
        <v>41</v>
      </c>
      <c r="D25" t="s">
        <v>51</v>
      </c>
      <c r="E25" t="s">
        <v>54</v>
      </c>
      <c r="F25" t="s">
        <v>19</v>
      </c>
      <c r="G25" t="s">
        <v>542</v>
      </c>
      <c r="I25" t="s">
        <v>527</v>
      </c>
      <c r="J25" t="s">
        <v>518</v>
      </c>
      <c r="K25" t="s">
        <v>448</v>
      </c>
    </row>
    <row r="26" spans="1:11" x14ac:dyDescent="0.25">
      <c r="A26" t="s">
        <v>416</v>
      </c>
      <c r="B26" t="s">
        <v>53</v>
      </c>
      <c r="C26" t="s">
        <v>41</v>
      </c>
      <c r="D26" t="s">
        <v>51</v>
      </c>
      <c r="E26" t="s">
        <v>54</v>
      </c>
      <c r="F26" t="s">
        <v>19</v>
      </c>
      <c r="G26" t="s">
        <v>14</v>
      </c>
      <c r="I26" t="s">
        <v>527</v>
      </c>
      <c r="J26" t="s">
        <v>518</v>
      </c>
      <c r="K26" t="s">
        <v>448</v>
      </c>
    </row>
    <row r="27" spans="1:11" hidden="1" x14ac:dyDescent="0.25">
      <c r="A27" t="s">
        <v>416</v>
      </c>
      <c r="B27" t="s">
        <v>682</v>
      </c>
      <c r="C27" t="s">
        <v>41</v>
      </c>
      <c r="D27" t="s">
        <v>51</v>
      </c>
      <c r="E27" t="s">
        <v>683</v>
      </c>
      <c r="F27" t="s">
        <v>19</v>
      </c>
      <c r="G27" t="s">
        <v>540</v>
      </c>
    </row>
    <row r="28" spans="1:11" hidden="1" x14ac:dyDescent="0.25">
      <c r="A28" t="s">
        <v>416</v>
      </c>
      <c r="B28" t="s">
        <v>688</v>
      </c>
      <c r="C28" t="s">
        <v>41</v>
      </c>
      <c r="D28" t="s">
        <v>51</v>
      </c>
      <c r="E28" t="s">
        <v>689</v>
      </c>
      <c r="F28" t="s">
        <v>19</v>
      </c>
      <c r="G28" t="s">
        <v>540</v>
      </c>
    </row>
    <row r="29" spans="1:11" hidden="1" x14ac:dyDescent="0.25">
      <c r="A29" t="s">
        <v>416</v>
      </c>
      <c r="B29" t="s">
        <v>690</v>
      </c>
      <c r="C29" t="s">
        <v>41</v>
      </c>
      <c r="D29" t="s">
        <v>51</v>
      </c>
      <c r="E29" t="s">
        <v>691</v>
      </c>
      <c r="F29" t="s">
        <v>19</v>
      </c>
      <c r="G29" t="s">
        <v>540</v>
      </c>
    </row>
    <row r="30" spans="1:11" hidden="1" x14ac:dyDescent="0.25">
      <c r="A30" t="s">
        <v>416</v>
      </c>
      <c r="B30" t="s">
        <v>692</v>
      </c>
      <c r="C30" t="s">
        <v>41</v>
      </c>
      <c r="D30" t="s">
        <v>51</v>
      </c>
      <c r="E30" t="s">
        <v>693</v>
      </c>
      <c r="F30" t="s">
        <v>19</v>
      </c>
      <c r="G30" t="s">
        <v>540</v>
      </c>
    </row>
    <row r="31" spans="1:11" x14ac:dyDescent="0.25">
      <c r="A31" t="s">
        <v>416</v>
      </c>
      <c r="B31" t="s">
        <v>339</v>
      </c>
      <c r="C31" t="s">
        <v>41</v>
      </c>
      <c r="D31" t="s">
        <v>51</v>
      </c>
      <c r="E31" t="s">
        <v>340</v>
      </c>
      <c r="F31" t="s">
        <v>19</v>
      </c>
      <c r="G31" t="s">
        <v>14</v>
      </c>
      <c r="H31">
        <v>80</v>
      </c>
    </row>
    <row r="32" spans="1:11" hidden="1" x14ac:dyDescent="0.25">
      <c r="A32" t="s">
        <v>416</v>
      </c>
      <c r="B32" t="s">
        <v>538</v>
      </c>
      <c r="C32" t="s">
        <v>11</v>
      </c>
      <c r="D32" t="s">
        <v>96</v>
      </c>
      <c r="E32" t="s">
        <v>539</v>
      </c>
      <c r="F32" t="s">
        <v>19</v>
      </c>
      <c r="G32" t="s">
        <v>540</v>
      </c>
      <c r="H32">
        <v>494.9</v>
      </c>
      <c r="I32" t="s">
        <v>527</v>
      </c>
      <c r="J32" t="s">
        <v>518</v>
      </c>
      <c r="K32" t="s">
        <v>541</v>
      </c>
    </row>
    <row r="33" spans="1:11" x14ac:dyDescent="0.25">
      <c r="A33" t="s">
        <v>416</v>
      </c>
      <c r="B33" t="s">
        <v>538</v>
      </c>
      <c r="C33" t="s">
        <v>11</v>
      </c>
      <c r="D33" t="s">
        <v>96</v>
      </c>
      <c r="E33" t="s">
        <v>539</v>
      </c>
      <c r="F33" t="s">
        <v>19</v>
      </c>
      <c r="G33" t="s">
        <v>542</v>
      </c>
      <c r="H33">
        <v>53</v>
      </c>
      <c r="I33" t="s">
        <v>527</v>
      </c>
      <c r="J33" t="s">
        <v>518</v>
      </c>
      <c r="K33" t="s">
        <v>541</v>
      </c>
    </row>
    <row r="34" spans="1:11" hidden="1" x14ac:dyDescent="0.25">
      <c r="A34" t="s">
        <v>416</v>
      </c>
      <c r="B34" t="s">
        <v>551</v>
      </c>
      <c r="C34" t="s">
        <v>11</v>
      </c>
      <c r="D34" t="s">
        <v>96</v>
      </c>
      <c r="E34" t="s">
        <v>552</v>
      </c>
      <c r="F34" t="s">
        <v>19</v>
      </c>
      <c r="G34" t="s">
        <v>540</v>
      </c>
      <c r="H34">
        <v>597.1</v>
      </c>
      <c r="I34" t="s">
        <v>527</v>
      </c>
      <c r="J34" t="s">
        <v>518</v>
      </c>
      <c r="K34" t="s">
        <v>553</v>
      </c>
    </row>
    <row r="35" spans="1:11" x14ac:dyDescent="0.25">
      <c r="A35" t="s">
        <v>416</v>
      </c>
      <c r="B35" t="s">
        <v>551</v>
      </c>
      <c r="C35" t="s">
        <v>11</v>
      </c>
      <c r="D35" t="s">
        <v>96</v>
      </c>
      <c r="E35" t="s">
        <v>552</v>
      </c>
      <c r="F35" t="s">
        <v>19</v>
      </c>
      <c r="G35" t="s">
        <v>542</v>
      </c>
      <c r="H35">
        <v>64</v>
      </c>
      <c r="I35" t="s">
        <v>527</v>
      </c>
      <c r="J35" t="s">
        <v>518</v>
      </c>
      <c r="K35" t="s">
        <v>553</v>
      </c>
    </row>
    <row r="36" spans="1:11" x14ac:dyDescent="0.25">
      <c r="A36" t="s">
        <v>416</v>
      </c>
      <c r="B36" t="s">
        <v>95</v>
      </c>
      <c r="C36" t="s">
        <v>11</v>
      </c>
      <c r="D36" t="s">
        <v>96</v>
      </c>
      <c r="E36" t="s">
        <v>97</v>
      </c>
      <c r="F36" t="s">
        <v>19</v>
      </c>
      <c r="G36" t="s">
        <v>14</v>
      </c>
      <c r="H36">
        <v>494.9</v>
      </c>
      <c r="I36" t="s">
        <v>519</v>
      </c>
      <c r="J36" t="s">
        <v>528</v>
      </c>
      <c r="K36" t="s">
        <v>491</v>
      </c>
    </row>
    <row r="37" spans="1:11" x14ac:dyDescent="0.25">
      <c r="A37" t="s">
        <v>416</v>
      </c>
      <c r="B37" t="s">
        <v>104</v>
      </c>
      <c r="C37" t="s">
        <v>11</v>
      </c>
      <c r="D37" t="s">
        <v>96</v>
      </c>
      <c r="E37" t="s">
        <v>105</v>
      </c>
      <c r="F37" t="s">
        <v>19</v>
      </c>
      <c r="G37" t="s">
        <v>14</v>
      </c>
      <c r="H37">
        <v>277.2</v>
      </c>
      <c r="I37" t="s">
        <v>519</v>
      </c>
      <c r="J37" t="s">
        <v>520</v>
      </c>
      <c r="K37" t="s">
        <v>497</v>
      </c>
    </row>
    <row r="38" spans="1:11" x14ac:dyDescent="0.25">
      <c r="A38" t="s">
        <v>416</v>
      </c>
      <c r="B38" t="s">
        <v>158</v>
      </c>
      <c r="C38" t="s">
        <v>7</v>
      </c>
      <c r="D38" t="s">
        <v>35</v>
      </c>
      <c r="E38" t="s">
        <v>159</v>
      </c>
      <c r="F38" t="s">
        <v>9</v>
      </c>
      <c r="G38" t="s">
        <v>14</v>
      </c>
      <c r="H38">
        <v>298.89999999999998</v>
      </c>
      <c r="I38" t="s">
        <v>519</v>
      </c>
      <c r="J38" t="s">
        <v>521</v>
      </c>
      <c r="K38" t="s">
        <v>487</v>
      </c>
    </row>
    <row r="39" spans="1:11" x14ac:dyDescent="0.25">
      <c r="A39" t="s">
        <v>416</v>
      </c>
      <c r="B39" t="s">
        <v>34</v>
      </c>
      <c r="C39" t="s">
        <v>7</v>
      </c>
      <c r="D39" t="s">
        <v>35</v>
      </c>
      <c r="E39" t="s">
        <v>36</v>
      </c>
      <c r="F39" t="s">
        <v>9</v>
      </c>
      <c r="G39" t="s">
        <v>14</v>
      </c>
      <c r="H39">
        <v>560</v>
      </c>
      <c r="I39" t="s">
        <v>519</v>
      </c>
      <c r="J39" t="s">
        <v>526</v>
      </c>
      <c r="K39" t="s">
        <v>653</v>
      </c>
    </row>
    <row r="40" spans="1:11" x14ac:dyDescent="0.25">
      <c r="A40" t="s">
        <v>416</v>
      </c>
      <c r="B40" t="s">
        <v>299</v>
      </c>
      <c r="C40" t="s">
        <v>41</v>
      </c>
      <c r="D40" t="s">
        <v>678</v>
      </c>
      <c r="E40" t="s">
        <v>678</v>
      </c>
      <c r="F40" t="s">
        <v>19</v>
      </c>
      <c r="G40" t="s">
        <v>542</v>
      </c>
      <c r="H40">
        <v>1800</v>
      </c>
    </row>
    <row r="41" spans="1:11" hidden="1" x14ac:dyDescent="0.25">
      <c r="A41" t="s">
        <v>416</v>
      </c>
      <c r="B41" t="s">
        <v>299</v>
      </c>
      <c r="C41" t="s">
        <v>41</v>
      </c>
      <c r="D41" t="s">
        <v>678</v>
      </c>
      <c r="E41" t="s">
        <v>678</v>
      </c>
      <c r="F41" t="s">
        <v>19</v>
      </c>
      <c r="G41" t="s">
        <v>540</v>
      </c>
      <c r="H41">
        <v>1800</v>
      </c>
    </row>
    <row r="42" spans="1:11" hidden="1" x14ac:dyDescent="0.25">
      <c r="A42" t="s">
        <v>416</v>
      </c>
      <c r="B42" t="s">
        <v>598</v>
      </c>
      <c r="C42" t="s">
        <v>11</v>
      </c>
      <c r="D42" t="s">
        <v>12</v>
      </c>
      <c r="E42" t="s">
        <v>599</v>
      </c>
      <c r="F42" t="s">
        <v>9</v>
      </c>
      <c r="G42" t="s">
        <v>540</v>
      </c>
      <c r="H42">
        <v>392</v>
      </c>
      <c r="I42" t="s">
        <v>527</v>
      </c>
      <c r="J42" t="s">
        <v>518</v>
      </c>
      <c r="K42" t="s">
        <v>600</v>
      </c>
    </row>
    <row r="43" spans="1:11" x14ac:dyDescent="0.25">
      <c r="A43" t="s">
        <v>416</v>
      </c>
      <c r="B43" t="s">
        <v>598</v>
      </c>
      <c r="C43" t="s">
        <v>11</v>
      </c>
      <c r="D43" t="s">
        <v>12</v>
      </c>
      <c r="E43" t="s">
        <v>599</v>
      </c>
      <c r="F43" t="s">
        <v>9</v>
      </c>
      <c r="G43" t="s">
        <v>542</v>
      </c>
      <c r="H43">
        <v>42</v>
      </c>
      <c r="I43" t="s">
        <v>527</v>
      </c>
      <c r="J43" t="s">
        <v>518</v>
      </c>
      <c r="K43" t="s">
        <v>600</v>
      </c>
    </row>
    <row r="44" spans="1:11" x14ac:dyDescent="0.25">
      <c r="A44" t="s">
        <v>416</v>
      </c>
      <c r="B44" t="s">
        <v>15</v>
      </c>
      <c r="C44" t="s">
        <v>11</v>
      </c>
      <c r="D44" t="s">
        <v>12</v>
      </c>
      <c r="E44" t="s">
        <v>16</v>
      </c>
      <c r="F44" t="s">
        <v>9</v>
      </c>
      <c r="G44" t="s">
        <v>542</v>
      </c>
      <c r="H44">
        <v>392</v>
      </c>
      <c r="I44" t="s">
        <v>527</v>
      </c>
      <c r="J44" t="s">
        <v>520</v>
      </c>
      <c r="K44" t="s">
        <v>505</v>
      </c>
    </row>
    <row r="45" spans="1:11" x14ac:dyDescent="0.25">
      <c r="A45" t="s">
        <v>416</v>
      </c>
      <c r="B45" t="s">
        <v>15</v>
      </c>
      <c r="C45" t="s">
        <v>11</v>
      </c>
      <c r="D45" t="s">
        <v>12</v>
      </c>
      <c r="E45" t="s">
        <v>16</v>
      </c>
      <c r="F45" t="s">
        <v>9</v>
      </c>
      <c r="G45" t="s">
        <v>14</v>
      </c>
      <c r="H45">
        <v>42</v>
      </c>
      <c r="I45" t="s">
        <v>527</v>
      </c>
      <c r="J45" t="s">
        <v>520</v>
      </c>
      <c r="K45" t="s">
        <v>505</v>
      </c>
    </row>
    <row r="46" spans="1:11" x14ac:dyDescent="0.25">
      <c r="A46" t="s">
        <v>416</v>
      </c>
      <c r="B46" t="s">
        <v>10</v>
      </c>
      <c r="C46" t="s">
        <v>11</v>
      </c>
      <c r="D46" t="s">
        <v>12</v>
      </c>
      <c r="E46" t="s">
        <v>13</v>
      </c>
      <c r="F46" t="s">
        <v>9</v>
      </c>
      <c r="G46" t="s">
        <v>542</v>
      </c>
      <c r="H46">
        <v>392</v>
      </c>
      <c r="I46" t="s">
        <v>527</v>
      </c>
      <c r="J46" t="s">
        <v>520</v>
      </c>
      <c r="K46" t="s">
        <v>506</v>
      </c>
    </row>
    <row r="47" spans="1:11" x14ac:dyDescent="0.25">
      <c r="A47" t="s">
        <v>416</v>
      </c>
      <c r="B47" t="s">
        <v>10</v>
      </c>
      <c r="C47" t="s">
        <v>11</v>
      </c>
      <c r="D47" t="s">
        <v>12</v>
      </c>
      <c r="E47" t="s">
        <v>13</v>
      </c>
      <c r="F47" t="s">
        <v>9</v>
      </c>
      <c r="G47" t="s">
        <v>14</v>
      </c>
      <c r="H47">
        <v>42</v>
      </c>
      <c r="I47" t="s">
        <v>527</v>
      </c>
      <c r="J47" t="s">
        <v>520</v>
      </c>
      <c r="K47" t="s">
        <v>506</v>
      </c>
    </row>
    <row r="48" spans="1:11" x14ac:dyDescent="0.25">
      <c r="A48" t="s">
        <v>416</v>
      </c>
      <c r="B48" t="s">
        <v>299</v>
      </c>
      <c r="C48" t="s">
        <v>41</v>
      </c>
      <c r="D48" t="s">
        <v>321</v>
      </c>
      <c r="E48" t="s">
        <v>673</v>
      </c>
      <c r="F48" t="s">
        <v>19</v>
      </c>
      <c r="G48" t="s">
        <v>542</v>
      </c>
      <c r="H48">
        <v>3200</v>
      </c>
    </row>
    <row r="49" spans="1:11" hidden="1" x14ac:dyDescent="0.25">
      <c r="A49" t="s">
        <v>416</v>
      </c>
      <c r="B49" t="s">
        <v>299</v>
      </c>
      <c r="C49" t="s">
        <v>41</v>
      </c>
      <c r="D49" t="s">
        <v>321</v>
      </c>
      <c r="E49" t="s">
        <v>674</v>
      </c>
      <c r="F49" t="s">
        <v>19</v>
      </c>
      <c r="G49" t="s">
        <v>540</v>
      </c>
      <c r="H49">
        <v>2133</v>
      </c>
    </row>
    <row r="50" spans="1:11" x14ac:dyDescent="0.25">
      <c r="A50" t="s">
        <v>416</v>
      </c>
      <c r="B50" t="s">
        <v>714</v>
      </c>
      <c r="C50" t="s">
        <v>41</v>
      </c>
      <c r="D50" t="s">
        <v>321</v>
      </c>
      <c r="E50" t="s">
        <v>715</v>
      </c>
      <c r="F50" t="s">
        <v>19</v>
      </c>
      <c r="G50" t="s">
        <v>542</v>
      </c>
      <c r="H50">
        <v>0</v>
      </c>
    </row>
    <row r="51" spans="1:11" x14ac:dyDescent="0.25">
      <c r="A51" t="s">
        <v>416</v>
      </c>
      <c r="B51" t="s">
        <v>381</v>
      </c>
      <c r="C51" t="s">
        <v>41</v>
      </c>
      <c r="D51" t="s">
        <v>321</v>
      </c>
      <c r="E51" t="s">
        <v>382</v>
      </c>
      <c r="F51" t="s">
        <v>19</v>
      </c>
      <c r="G51" t="s">
        <v>14</v>
      </c>
      <c r="H51">
        <v>300</v>
      </c>
    </row>
    <row r="52" spans="1:11" x14ac:dyDescent="0.25">
      <c r="A52" t="s">
        <v>416</v>
      </c>
      <c r="B52" t="s">
        <v>383</v>
      </c>
      <c r="C52" t="s">
        <v>41</v>
      </c>
      <c r="D52" t="s">
        <v>321</v>
      </c>
      <c r="E52" t="s">
        <v>384</v>
      </c>
      <c r="F52" t="s">
        <v>19</v>
      </c>
      <c r="G52" t="s">
        <v>14</v>
      </c>
      <c r="H52">
        <v>300</v>
      </c>
    </row>
    <row r="53" spans="1:11" x14ac:dyDescent="0.25">
      <c r="A53" t="s">
        <v>416</v>
      </c>
      <c r="B53" t="s">
        <v>385</v>
      </c>
      <c r="C53" t="s">
        <v>41</v>
      </c>
      <c r="D53" t="s">
        <v>321</v>
      </c>
      <c r="E53" t="s">
        <v>386</v>
      </c>
      <c r="F53" t="s">
        <v>19</v>
      </c>
      <c r="G53" t="s">
        <v>14</v>
      </c>
      <c r="H53">
        <v>300</v>
      </c>
    </row>
    <row r="54" spans="1:11" x14ac:dyDescent="0.25">
      <c r="A54" t="s">
        <v>416</v>
      </c>
      <c r="B54" t="s">
        <v>387</v>
      </c>
      <c r="C54" t="s">
        <v>41</v>
      </c>
      <c r="D54" t="s">
        <v>321</v>
      </c>
      <c r="E54" t="s">
        <v>388</v>
      </c>
      <c r="F54" t="s">
        <v>19</v>
      </c>
      <c r="G54" t="s">
        <v>14</v>
      </c>
      <c r="H54">
        <v>300</v>
      </c>
    </row>
    <row r="55" spans="1:11" x14ac:dyDescent="0.25">
      <c r="A55" t="s">
        <v>416</v>
      </c>
      <c r="B55" t="s">
        <v>389</v>
      </c>
      <c r="C55" t="s">
        <v>41</v>
      </c>
      <c r="D55" t="s">
        <v>321</v>
      </c>
      <c r="E55" t="s">
        <v>390</v>
      </c>
      <c r="F55" t="s">
        <v>19</v>
      </c>
      <c r="G55" t="s">
        <v>14</v>
      </c>
      <c r="H55">
        <v>300</v>
      </c>
    </row>
    <row r="56" spans="1:11" x14ac:dyDescent="0.25">
      <c r="A56" t="s">
        <v>416</v>
      </c>
      <c r="B56" t="s">
        <v>391</v>
      </c>
      <c r="C56" t="s">
        <v>41</v>
      </c>
      <c r="D56" t="s">
        <v>321</v>
      </c>
      <c r="E56" t="s">
        <v>392</v>
      </c>
      <c r="F56" t="s">
        <v>19</v>
      </c>
      <c r="G56" t="s">
        <v>14</v>
      </c>
      <c r="H56">
        <v>300</v>
      </c>
    </row>
    <row r="57" spans="1:11" x14ac:dyDescent="0.25">
      <c r="A57" t="s">
        <v>416</v>
      </c>
      <c r="B57" t="s">
        <v>393</v>
      </c>
      <c r="C57" t="s">
        <v>41</v>
      </c>
      <c r="D57" t="s">
        <v>321</v>
      </c>
      <c r="E57" t="s">
        <v>394</v>
      </c>
      <c r="F57" t="s">
        <v>19</v>
      </c>
      <c r="G57" t="s">
        <v>14</v>
      </c>
      <c r="H57">
        <v>300</v>
      </c>
    </row>
    <row r="58" spans="1:11" x14ac:dyDescent="0.25">
      <c r="A58" t="s">
        <v>416</v>
      </c>
      <c r="B58" t="s">
        <v>395</v>
      </c>
      <c r="C58" t="s">
        <v>41</v>
      </c>
      <c r="D58" t="s">
        <v>321</v>
      </c>
      <c r="E58" t="s">
        <v>396</v>
      </c>
      <c r="F58" t="s">
        <v>19</v>
      </c>
      <c r="G58" t="s">
        <v>14</v>
      </c>
      <c r="H58">
        <v>300</v>
      </c>
    </row>
    <row r="59" spans="1:11" x14ac:dyDescent="0.25">
      <c r="A59" t="s">
        <v>416</v>
      </c>
      <c r="B59" t="s">
        <v>397</v>
      </c>
      <c r="C59" t="s">
        <v>41</v>
      </c>
      <c r="D59" t="s">
        <v>321</v>
      </c>
      <c r="E59" t="s">
        <v>398</v>
      </c>
      <c r="F59" t="s">
        <v>19</v>
      </c>
      <c r="G59" t="s">
        <v>14</v>
      </c>
      <c r="H59">
        <v>300</v>
      </c>
    </row>
    <row r="60" spans="1:11" x14ac:dyDescent="0.25">
      <c r="A60" t="s">
        <v>416</v>
      </c>
      <c r="B60" t="s">
        <v>399</v>
      </c>
      <c r="C60" t="s">
        <v>41</v>
      </c>
      <c r="D60" t="s">
        <v>321</v>
      </c>
      <c r="E60" t="s">
        <v>400</v>
      </c>
      <c r="F60" t="s">
        <v>19</v>
      </c>
      <c r="G60" t="s">
        <v>14</v>
      </c>
      <c r="H60">
        <v>300</v>
      </c>
    </row>
    <row r="61" spans="1:11" hidden="1" x14ac:dyDescent="0.25">
      <c r="A61" t="s">
        <v>416</v>
      </c>
      <c r="B61" t="s">
        <v>657</v>
      </c>
      <c r="C61" t="s">
        <v>17</v>
      </c>
      <c r="D61" t="s">
        <v>658</v>
      </c>
      <c r="E61" t="s">
        <v>659</v>
      </c>
      <c r="F61" t="s">
        <v>19</v>
      </c>
      <c r="G61" t="s">
        <v>540</v>
      </c>
      <c r="H61">
        <v>130.9</v>
      </c>
      <c r="I61" t="s">
        <v>527</v>
      </c>
      <c r="J61" t="s">
        <v>524</v>
      </c>
      <c r="K61" t="s">
        <v>660</v>
      </c>
    </row>
    <row r="62" spans="1:11" x14ac:dyDescent="0.25">
      <c r="A62" t="s">
        <v>416</v>
      </c>
      <c r="B62" t="s">
        <v>657</v>
      </c>
      <c r="C62" t="s">
        <v>17</v>
      </c>
      <c r="D62" t="s">
        <v>658</v>
      </c>
      <c r="E62" t="s">
        <v>659</v>
      </c>
      <c r="F62" t="s">
        <v>19</v>
      </c>
      <c r="G62" t="s">
        <v>542</v>
      </c>
      <c r="H62">
        <v>14</v>
      </c>
      <c r="I62" t="s">
        <v>527</v>
      </c>
      <c r="J62" t="s">
        <v>524</v>
      </c>
      <c r="K62" t="s">
        <v>660</v>
      </c>
    </row>
    <row r="63" spans="1:11" x14ac:dyDescent="0.25">
      <c r="A63" t="s">
        <v>416</v>
      </c>
      <c r="B63" t="s">
        <v>47</v>
      </c>
      <c r="C63" t="s">
        <v>11</v>
      </c>
      <c r="D63" t="s">
        <v>48</v>
      </c>
      <c r="E63" t="s">
        <v>49</v>
      </c>
      <c r="F63" t="s">
        <v>9</v>
      </c>
      <c r="G63" t="s">
        <v>14</v>
      </c>
      <c r="H63">
        <v>709.1</v>
      </c>
      <c r="I63" t="s">
        <v>519</v>
      </c>
      <c r="J63" t="s">
        <v>526</v>
      </c>
      <c r="K63" t="s">
        <v>419</v>
      </c>
    </row>
    <row r="64" spans="1:11" x14ac:dyDescent="0.25">
      <c r="A64" t="s">
        <v>416</v>
      </c>
      <c r="B64" t="s">
        <v>297</v>
      </c>
      <c r="C64" t="s">
        <v>11</v>
      </c>
      <c r="D64" t="s">
        <v>48</v>
      </c>
      <c r="E64" t="s">
        <v>298</v>
      </c>
      <c r="F64" t="s">
        <v>9</v>
      </c>
      <c r="G64" t="s">
        <v>542</v>
      </c>
      <c r="H64">
        <v>358.4</v>
      </c>
      <c r="I64" t="s">
        <v>527</v>
      </c>
      <c r="J64" t="s">
        <v>520</v>
      </c>
      <c r="K64" t="s">
        <v>513</v>
      </c>
    </row>
    <row r="65" spans="1:11" x14ac:dyDescent="0.25">
      <c r="A65" t="s">
        <v>416</v>
      </c>
      <c r="B65" t="s">
        <v>297</v>
      </c>
      <c r="C65" t="s">
        <v>11</v>
      </c>
      <c r="D65" t="s">
        <v>48</v>
      </c>
      <c r="E65" t="s">
        <v>298</v>
      </c>
      <c r="F65" t="s">
        <v>9</v>
      </c>
      <c r="G65" t="s">
        <v>14</v>
      </c>
      <c r="H65">
        <v>38.4</v>
      </c>
      <c r="I65" t="s">
        <v>527</v>
      </c>
      <c r="J65" t="s">
        <v>520</v>
      </c>
      <c r="K65" t="s">
        <v>513</v>
      </c>
    </row>
    <row r="66" spans="1:11" x14ac:dyDescent="0.25">
      <c r="A66" t="s">
        <v>416</v>
      </c>
      <c r="B66" t="s">
        <v>295</v>
      </c>
      <c r="C66" t="s">
        <v>11</v>
      </c>
      <c r="D66" t="s">
        <v>48</v>
      </c>
      <c r="E66" t="s">
        <v>296</v>
      </c>
      <c r="F66" t="s">
        <v>9</v>
      </c>
      <c r="G66" t="s">
        <v>542</v>
      </c>
      <c r="H66">
        <v>392</v>
      </c>
      <c r="I66" t="s">
        <v>527</v>
      </c>
      <c r="J66" t="s">
        <v>520</v>
      </c>
      <c r="K66" t="s">
        <v>514</v>
      </c>
    </row>
    <row r="67" spans="1:11" x14ac:dyDescent="0.25">
      <c r="A67" t="s">
        <v>416</v>
      </c>
      <c r="B67" t="s">
        <v>295</v>
      </c>
      <c r="C67" t="s">
        <v>11</v>
      </c>
      <c r="D67" t="s">
        <v>48</v>
      </c>
      <c r="E67" t="s">
        <v>296</v>
      </c>
      <c r="F67" t="s">
        <v>9</v>
      </c>
      <c r="G67" t="s">
        <v>14</v>
      </c>
      <c r="H67">
        <v>42</v>
      </c>
      <c r="I67" t="s">
        <v>527</v>
      </c>
      <c r="J67" t="s">
        <v>520</v>
      </c>
      <c r="K67" t="s">
        <v>514</v>
      </c>
    </row>
    <row r="68" spans="1:11" x14ac:dyDescent="0.25">
      <c r="A68" t="s">
        <v>416</v>
      </c>
      <c r="B68" t="s">
        <v>293</v>
      </c>
      <c r="C68" t="s">
        <v>11</v>
      </c>
      <c r="D68" t="s">
        <v>48</v>
      </c>
      <c r="E68" t="s">
        <v>294</v>
      </c>
      <c r="F68" t="s">
        <v>9</v>
      </c>
      <c r="G68" t="s">
        <v>542</v>
      </c>
      <c r="H68">
        <v>130.9</v>
      </c>
      <c r="I68" t="s">
        <v>527</v>
      </c>
      <c r="J68" t="s">
        <v>520</v>
      </c>
      <c r="K68" t="s">
        <v>515</v>
      </c>
    </row>
    <row r="69" spans="1:11" x14ac:dyDescent="0.25">
      <c r="A69" t="s">
        <v>416</v>
      </c>
      <c r="B69" t="s">
        <v>293</v>
      </c>
      <c r="C69" t="s">
        <v>11</v>
      </c>
      <c r="D69" t="s">
        <v>48</v>
      </c>
      <c r="E69" t="s">
        <v>294</v>
      </c>
      <c r="F69" t="s">
        <v>9</v>
      </c>
      <c r="G69" t="s">
        <v>14</v>
      </c>
      <c r="H69">
        <v>14</v>
      </c>
      <c r="I69" t="s">
        <v>527</v>
      </c>
      <c r="J69" t="s">
        <v>520</v>
      </c>
      <c r="K69" t="s">
        <v>515</v>
      </c>
    </row>
    <row r="70" spans="1:11" x14ac:dyDescent="0.25">
      <c r="A70" t="s">
        <v>416</v>
      </c>
      <c r="B70" t="s">
        <v>291</v>
      </c>
      <c r="C70" t="s">
        <v>11</v>
      </c>
      <c r="D70" t="s">
        <v>48</v>
      </c>
      <c r="E70" t="s">
        <v>292</v>
      </c>
      <c r="F70" t="s">
        <v>9</v>
      </c>
      <c r="G70" t="s">
        <v>542</v>
      </c>
      <c r="H70">
        <v>739.2</v>
      </c>
      <c r="I70" t="s">
        <v>519</v>
      </c>
      <c r="J70" t="s">
        <v>520</v>
      </c>
      <c r="K70" t="s">
        <v>516</v>
      </c>
    </row>
    <row r="71" spans="1:11" x14ac:dyDescent="0.25">
      <c r="A71" t="s">
        <v>416</v>
      </c>
      <c r="B71" t="s">
        <v>291</v>
      </c>
      <c r="C71" t="s">
        <v>11</v>
      </c>
      <c r="D71" t="s">
        <v>48</v>
      </c>
      <c r="E71" t="s">
        <v>292</v>
      </c>
      <c r="F71" t="s">
        <v>9</v>
      </c>
      <c r="G71" t="s">
        <v>14</v>
      </c>
      <c r="H71">
        <v>79.2</v>
      </c>
      <c r="I71" t="s">
        <v>519</v>
      </c>
      <c r="J71" t="s">
        <v>520</v>
      </c>
      <c r="K71" t="s">
        <v>516</v>
      </c>
    </row>
    <row r="72" spans="1:11" hidden="1" x14ac:dyDescent="0.25">
      <c r="A72" t="s">
        <v>416</v>
      </c>
      <c r="B72" t="s">
        <v>654</v>
      </c>
      <c r="C72" t="s">
        <v>11</v>
      </c>
      <c r="D72" t="s">
        <v>48</v>
      </c>
      <c r="E72" t="s">
        <v>655</v>
      </c>
      <c r="F72" t="s">
        <v>9</v>
      </c>
      <c r="G72" t="s">
        <v>540</v>
      </c>
      <c r="H72">
        <v>392</v>
      </c>
      <c r="I72" t="s">
        <v>527</v>
      </c>
      <c r="J72" t="s">
        <v>520</v>
      </c>
      <c r="K72" t="s">
        <v>656</v>
      </c>
    </row>
    <row r="73" spans="1:11" x14ac:dyDescent="0.25">
      <c r="A73" t="s">
        <v>416</v>
      </c>
      <c r="B73" t="s">
        <v>654</v>
      </c>
      <c r="C73" t="s">
        <v>11</v>
      </c>
      <c r="D73" t="s">
        <v>48</v>
      </c>
      <c r="E73" t="s">
        <v>655</v>
      </c>
      <c r="F73" t="s">
        <v>9</v>
      </c>
      <c r="G73" t="s">
        <v>542</v>
      </c>
      <c r="H73">
        <v>42</v>
      </c>
      <c r="I73" t="s">
        <v>527</v>
      </c>
      <c r="J73" t="s">
        <v>520</v>
      </c>
      <c r="K73" t="s">
        <v>656</v>
      </c>
    </row>
    <row r="74" spans="1:11" x14ac:dyDescent="0.25">
      <c r="A74" t="s">
        <v>416</v>
      </c>
      <c r="B74" t="s">
        <v>84</v>
      </c>
      <c r="C74" t="s">
        <v>11</v>
      </c>
      <c r="D74" t="s">
        <v>85</v>
      </c>
      <c r="E74" t="s">
        <v>86</v>
      </c>
      <c r="F74" t="s">
        <v>9</v>
      </c>
      <c r="G74" t="s">
        <v>542</v>
      </c>
      <c r="H74">
        <v>746.9</v>
      </c>
      <c r="I74" t="s">
        <v>527</v>
      </c>
      <c r="J74" t="s">
        <v>518</v>
      </c>
      <c r="K74" t="s">
        <v>430</v>
      </c>
    </row>
    <row r="75" spans="1:11" x14ac:dyDescent="0.25">
      <c r="A75" t="s">
        <v>416</v>
      </c>
      <c r="B75" t="s">
        <v>84</v>
      </c>
      <c r="C75" t="s">
        <v>11</v>
      </c>
      <c r="D75" t="s">
        <v>85</v>
      </c>
      <c r="E75" t="s">
        <v>86</v>
      </c>
      <c r="F75" t="s">
        <v>9</v>
      </c>
      <c r="G75" t="s">
        <v>14</v>
      </c>
      <c r="H75">
        <v>80</v>
      </c>
      <c r="I75" t="s">
        <v>527</v>
      </c>
      <c r="J75" t="s">
        <v>518</v>
      </c>
      <c r="K75" t="s">
        <v>430</v>
      </c>
    </row>
    <row r="76" spans="1:11" x14ac:dyDescent="0.25">
      <c r="A76" t="s">
        <v>416</v>
      </c>
      <c r="B76" t="s">
        <v>299</v>
      </c>
      <c r="C76" t="s">
        <v>41</v>
      </c>
      <c r="D76" t="s">
        <v>317</v>
      </c>
      <c r="E76" t="s">
        <v>667</v>
      </c>
      <c r="F76" t="s">
        <v>19</v>
      </c>
      <c r="G76" t="s">
        <v>542</v>
      </c>
      <c r="H76">
        <v>560</v>
      </c>
    </row>
    <row r="77" spans="1:11" hidden="1" x14ac:dyDescent="0.25">
      <c r="A77" t="s">
        <v>416</v>
      </c>
      <c r="B77" t="s">
        <v>299</v>
      </c>
      <c r="C77" t="s">
        <v>41</v>
      </c>
      <c r="D77" t="s">
        <v>317</v>
      </c>
      <c r="E77" t="s">
        <v>668</v>
      </c>
      <c r="F77" t="s">
        <v>19</v>
      </c>
      <c r="G77" t="s">
        <v>540</v>
      </c>
      <c r="H77">
        <v>560</v>
      </c>
    </row>
    <row r="78" spans="1:11" x14ac:dyDescent="0.25">
      <c r="A78" t="s">
        <v>416</v>
      </c>
      <c r="B78" t="s">
        <v>349</v>
      </c>
      <c r="C78" t="s">
        <v>41</v>
      </c>
      <c r="D78" t="s">
        <v>317</v>
      </c>
      <c r="E78" t="s">
        <v>350</v>
      </c>
      <c r="F78" t="s">
        <v>19</v>
      </c>
      <c r="G78" t="s">
        <v>14</v>
      </c>
      <c r="H78">
        <v>560</v>
      </c>
    </row>
    <row r="79" spans="1:11" hidden="1" x14ac:dyDescent="0.25">
      <c r="A79" t="s">
        <v>416</v>
      </c>
      <c r="B79" t="s">
        <v>604</v>
      </c>
      <c r="C79" t="s">
        <v>41</v>
      </c>
      <c r="D79" t="s">
        <v>605</v>
      </c>
      <c r="E79" t="s">
        <v>606</v>
      </c>
      <c r="F79" t="s">
        <v>19</v>
      </c>
      <c r="G79" t="s">
        <v>540</v>
      </c>
      <c r="I79" t="s">
        <v>527</v>
      </c>
      <c r="J79" t="s">
        <v>518</v>
      </c>
      <c r="K79" t="s">
        <v>607</v>
      </c>
    </row>
    <row r="80" spans="1:11" x14ac:dyDescent="0.25">
      <c r="A80" t="s">
        <v>416</v>
      </c>
      <c r="B80" t="s">
        <v>604</v>
      </c>
      <c r="C80" t="s">
        <v>41</v>
      </c>
      <c r="D80" t="s">
        <v>605</v>
      </c>
      <c r="E80" t="s">
        <v>606</v>
      </c>
      <c r="F80" t="s">
        <v>19</v>
      </c>
      <c r="G80" t="s">
        <v>542</v>
      </c>
      <c r="I80" t="s">
        <v>527</v>
      </c>
      <c r="J80" t="s">
        <v>518</v>
      </c>
      <c r="K80" t="s">
        <v>607</v>
      </c>
    </row>
    <row r="81" spans="1:11" hidden="1" x14ac:dyDescent="0.25">
      <c r="A81" t="s">
        <v>416</v>
      </c>
      <c r="B81" t="s">
        <v>608</v>
      </c>
      <c r="C81" t="s">
        <v>41</v>
      </c>
      <c r="D81" t="s">
        <v>605</v>
      </c>
      <c r="E81" t="s">
        <v>609</v>
      </c>
      <c r="F81" t="s">
        <v>19</v>
      </c>
      <c r="G81" t="s">
        <v>540</v>
      </c>
      <c r="I81" t="s">
        <v>527</v>
      </c>
      <c r="J81" t="s">
        <v>518</v>
      </c>
      <c r="K81" t="s">
        <v>610</v>
      </c>
    </row>
    <row r="82" spans="1:11" x14ac:dyDescent="0.25">
      <c r="A82" t="s">
        <v>416</v>
      </c>
      <c r="B82" t="s">
        <v>608</v>
      </c>
      <c r="C82" t="s">
        <v>41</v>
      </c>
      <c r="D82" t="s">
        <v>605</v>
      </c>
      <c r="E82" t="s">
        <v>609</v>
      </c>
      <c r="F82" t="s">
        <v>19</v>
      </c>
      <c r="G82" t="s">
        <v>542</v>
      </c>
      <c r="I82" t="s">
        <v>527</v>
      </c>
      <c r="J82" t="s">
        <v>518</v>
      </c>
      <c r="K82" t="s">
        <v>610</v>
      </c>
    </row>
    <row r="83" spans="1:11" hidden="1" x14ac:dyDescent="0.25">
      <c r="A83" t="s">
        <v>416</v>
      </c>
      <c r="B83" t="s">
        <v>611</v>
      </c>
      <c r="C83" t="s">
        <v>41</v>
      </c>
      <c r="D83" t="s">
        <v>605</v>
      </c>
      <c r="E83" t="s">
        <v>612</v>
      </c>
      <c r="F83" t="s">
        <v>19</v>
      </c>
      <c r="G83" t="s">
        <v>540</v>
      </c>
      <c r="I83" t="s">
        <v>527</v>
      </c>
      <c r="J83" t="s">
        <v>518</v>
      </c>
      <c r="K83" t="s">
        <v>613</v>
      </c>
    </row>
    <row r="84" spans="1:11" x14ac:dyDescent="0.25">
      <c r="A84" t="s">
        <v>416</v>
      </c>
      <c r="B84" t="s">
        <v>611</v>
      </c>
      <c r="C84" t="s">
        <v>41</v>
      </c>
      <c r="D84" t="s">
        <v>605</v>
      </c>
      <c r="E84" t="s">
        <v>612</v>
      </c>
      <c r="F84" t="s">
        <v>19</v>
      </c>
      <c r="G84" t="s">
        <v>542</v>
      </c>
      <c r="I84" t="s">
        <v>527</v>
      </c>
      <c r="J84" t="s">
        <v>518</v>
      </c>
      <c r="K84" t="s">
        <v>613</v>
      </c>
    </row>
    <row r="85" spans="1:11" hidden="1" x14ac:dyDescent="0.25">
      <c r="A85" t="s">
        <v>416</v>
      </c>
      <c r="B85" t="s">
        <v>614</v>
      </c>
      <c r="C85" t="s">
        <v>41</v>
      </c>
      <c r="D85" t="s">
        <v>605</v>
      </c>
      <c r="E85" t="s">
        <v>615</v>
      </c>
      <c r="F85" t="s">
        <v>19</v>
      </c>
      <c r="G85" t="s">
        <v>540</v>
      </c>
      <c r="I85" t="s">
        <v>527</v>
      </c>
      <c r="J85" t="s">
        <v>518</v>
      </c>
      <c r="K85" t="s">
        <v>616</v>
      </c>
    </row>
    <row r="86" spans="1:11" x14ac:dyDescent="0.25">
      <c r="A86" t="s">
        <v>416</v>
      </c>
      <c r="B86" t="s">
        <v>614</v>
      </c>
      <c r="C86" t="s">
        <v>41</v>
      </c>
      <c r="D86" t="s">
        <v>605</v>
      </c>
      <c r="E86" t="s">
        <v>615</v>
      </c>
      <c r="F86" t="s">
        <v>19</v>
      </c>
      <c r="G86" t="s">
        <v>542</v>
      </c>
      <c r="I86" t="s">
        <v>527</v>
      </c>
      <c r="J86" t="s">
        <v>518</v>
      </c>
      <c r="K86" t="s">
        <v>616</v>
      </c>
    </row>
    <row r="87" spans="1:11" hidden="1" x14ac:dyDescent="0.25">
      <c r="A87" t="s">
        <v>416</v>
      </c>
      <c r="B87" t="s">
        <v>617</v>
      </c>
      <c r="C87" t="s">
        <v>41</v>
      </c>
      <c r="D87" t="s">
        <v>605</v>
      </c>
      <c r="E87" t="s">
        <v>618</v>
      </c>
      <c r="F87" t="s">
        <v>19</v>
      </c>
      <c r="G87" t="s">
        <v>540</v>
      </c>
      <c r="I87" t="s">
        <v>527</v>
      </c>
      <c r="J87" t="s">
        <v>518</v>
      </c>
      <c r="K87" t="s">
        <v>618</v>
      </c>
    </row>
    <row r="88" spans="1:11" x14ac:dyDescent="0.25">
      <c r="A88" t="s">
        <v>416</v>
      </c>
      <c r="B88" t="s">
        <v>617</v>
      </c>
      <c r="C88" t="s">
        <v>41</v>
      </c>
      <c r="D88" t="s">
        <v>605</v>
      </c>
      <c r="E88" t="s">
        <v>618</v>
      </c>
      <c r="F88" t="s">
        <v>19</v>
      </c>
      <c r="G88" t="s">
        <v>542</v>
      </c>
      <c r="I88" t="s">
        <v>527</v>
      </c>
      <c r="J88" t="s">
        <v>518</v>
      </c>
      <c r="K88" t="s">
        <v>618</v>
      </c>
    </row>
    <row r="89" spans="1:11" hidden="1" x14ac:dyDescent="0.25">
      <c r="A89" t="s">
        <v>416</v>
      </c>
      <c r="B89" t="s">
        <v>712</v>
      </c>
      <c r="C89" t="s">
        <v>41</v>
      </c>
      <c r="D89" t="s">
        <v>605</v>
      </c>
      <c r="E89" t="s">
        <v>713</v>
      </c>
      <c r="F89" t="s">
        <v>19</v>
      </c>
      <c r="G89" t="s">
        <v>540</v>
      </c>
    </row>
    <row r="90" spans="1:11" hidden="1" x14ac:dyDescent="0.25">
      <c r="A90" t="s">
        <v>416</v>
      </c>
      <c r="B90" t="s">
        <v>554</v>
      </c>
      <c r="C90" t="s">
        <v>11</v>
      </c>
      <c r="D90" t="s">
        <v>55</v>
      </c>
      <c r="E90" t="s">
        <v>555</v>
      </c>
      <c r="F90" t="s">
        <v>19</v>
      </c>
      <c r="G90" t="s">
        <v>540</v>
      </c>
      <c r="H90">
        <v>104.30000000000001</v>
      </c>
      <c r="I90" t="s">
        <v>519</v>
      </c>
      <c r="J90" t="s">
        <v>556</v>
      </c>
      <c r="K90" t="s">
        <v>557</v>
      </c>
    </row>
    <row r="91" spans="1:11" x14ac:dyDescent="0.25">
      <c r="A91" t="s">
        <v>416</v>
      </c>
      <c r="B91" t="s">
        <v>554</v>
      </c>
      <c r="C91" t="s">
        <v>11</v>
      </c>
      <c r="D91" t="s">
        <v>55</v>
      </c>
      <c r="E91" t="s">
        <v>555</v>
      </c>
      <c r="F91" t="s">
        <v>19</v>
      </c>
      <c r="G91" t="s">
        <v>542</v>
      </c>
      <c r="H91">
        <v>11.2</v>
      </c>
      <c r="I91" t="s">
        <v>519</v>
      </c>
      <c r="J91" t="s">
        <v>556</v>
      </c>
      <c r="K91" t="s">
        <v>557</v>
      </c>
    </row>
    <row r="92" spans="1:11" x14ac:dyDescent="0.25">
      <c r="A92" t="s">
        <v>416</v>
      </c>
      <c r="B92" t="s">
        <v>146</v>
      </c>
      <c r="C92" t="s">
        <v>11</v>
      </c>
      <c r="D92" t="s">
        <v>55</v>
      </c>
      <c r="E92" t="s">
        <v>147</v>
      </c>
      <c r="F92" t="s">
        <v>9</v>
      </c>
      <c r="G92" t="s">
        <v>14</v>
      </c>
      <c r="H92">
        <v>1344</v>
      </c>
      <c r="I92" t="s">
        <v>519</v>
      </c>
      <c r="J92" t="s">
        <v>521</v>
      </c>
      <c r="K92" t="s">
        <v>636</v>
      </c>
    </row>
    <row r="93" spans="1:11" x14ac:dyDescent="0.25">
      <c r="A93" t="s">
        <v>416</v>
      </c>
      <c r="B93" t="s">
        <v>125</v>
      </c>
      <c r="C93" t="s">
        <v>11</v>
      </c>
      <c r="D93" t="s">
        <v>55</v>
      </c>
      <c r="E93" t="s">
        <v>126</v>
      </c>
      <c r="F93" t="s">
        <v>9</v>
      </c>
      <c r="G93" t="s">
        <v>14</v>
      </c>
      <c r="H93">
        <v>746.9</v>
      </c>
      <c r="I93" t="s">
        <v>519</v>
      </c>
      <c r="J93" t="s">
        <v>521</v>
      </c>
      <c r="K93" t="s">
        <v>445</v>
      </c>
    </row>
    <row r="94" spans="1:11" hidden="1" x14ac:dyDescent="0.25">
      <c r="A94" t="s">
        <v>416</v>
      </c>
      <c r="B94" t="s">
        <v>565</v>
      </c>
      <c r="C94" t="s">
        <v>41</v>
      </c>
      <c r="D94" t="s">
        <v>566</v>
      </c>
      <c r="E94" t="s">
        <v>567</v>
      </c>
      <c r="F94" t="s">
        <v>19</v>
      </c>
      <c r="G94" t="s">
        <v>540</v>
      </c>
      <c r="I94" t="s">
        <v>527</v>
      </c>
      <c r="J94" t="s">
        <v>521</v>
      </c>
      <c r="K94" t="s">
        <v>568</v>
      </c>
    </row>
    <row r="95" spans="1:11" x14ac:dyDescent="0.25">
      <c r="A95" t="s">
        <v>416</v>
      </c>
      <c r="B95" t="s">
        <v>565</v>
      </c>
      <c r="C95" t="s">
        <v>41</v>
      </c>
      <c r="D95" t="s">
        <v>566</v>
      </c>
      <c r="E95" t="s">
        <v>567</v>
      </c>
      <c r="F95" t="s">
        <v>19</v>
      </c>
      <c r="G95" t="s">
        <v>542</v>
      </c>
      <c r="I95" t="s">
        <v>527</v>
      </c>
      <c r="J95" t="s">
        <v>521</v>
      </c>
      <c r="K95" t="s">
        <v>568</v>
      </c>
    </row>
    <row r="96" spans="1:11" hidden="1" x14ac:dyDescent="0.25">
      <c r="A96" t="s">
        <v>416</v>
      </c>
      <c r="B96" t="s">
        <v>684</v>
      </c>
      <c r="C96" t="s">
        <v>41</v>
      </c>
      <c r="D96" t="s">
        <v>566</v>
      </c>
      <c r="E96" t="s">
        <v>685</v>
      </c>
      <c r="F96" t="s">
        <v>19</v>
      </c>
      <c r="G96" t="s">
        <v>540</v>
      </c>
    </row>
    <row r="97" spans="1:11" hidden="1" x14ac:dyDescent="0.25">
      <c r="A97" t="s">
        <v>416</v>
      </c>
      <c r="B97" t="s">
        <v>686</v>
      </c>
      <c r="C97" t="s">
        <v>41</v>
      </c>
      <c r="D97" t="s">
        <v>566</v>
      </c>
      <c r="E97" t="s">
        <v>687</v>
      </c>
      <c r="F97" t="s">
        <v>19</v>
      </c>
      <c r="G97" t="s">
        <v>540</v>
      </c>
    </row>
    <row r="98" spans="1:11" hidden="1" x14ac:dyDescent="0.25">
      <c r="A98" t="s">
        <v>416</v>
      </c>
      <c r="B98" t="s">
        <v>708</v>
      </c>
      <c r="C98" t="s">
        <v>41</v>
      </c>
      <c r="D98" t="s">
        <v>566</v>
      </c>
      <c r="E98" t="s">
        <v>709</v>
      </c>
      <c r="F98" t="s">
        <v>19</v>
      </c>
      <c r="G98" t="s">
        <v>540</v>
      </c>
    </row>
    <row r="99" spans="1:11" hidden="1" x14ac:dyDescent="0.25">
      <c r="A99" t="s">
        <v>416</v>
      </c>
      <c r="B99" t="s">
        <v>718</v>
      </c>
      <c r="C99" t="s">
        <v>41</v>
      </c>
      <c r="D99" t="s">
        <v>566</v>
      </c>
      <c r="E99" t="s">
        <v>719</v>
      </c>
      <c r="F99" t="s">
        <v>19</v>
      </c>
      <c r="G99" t="s">
        <v>540</v>
      </c>
    </row>
    <row r="100" spans="1:11" hidden="1" x14ac:dyDescent="0.25">
      <c r="A100" t="s">
        <v>416</v>
      </c>
      <c r="B100" t="s">
        <v>720</v>
      </c>
      <c r="C100" t="s">
        <v>41</v>
      </c>
      <c r="D100" t="s">
        <v>566</v>
      </c>
      <c r="E100" t="s">
        <v>721</v>
      </c>
      <c r="F100" t="s">
        <v>19</v>
      </c>
      <c r="G100" t="s">
        <v>540</v>
      </c>
    </row>
    <row r="101" spans="1:11" hidden="1" x14ac:dyDescent="0.25">
      <c r="A101" t="s">
        <v>416</v>
      </c>
      <c r="B101" t="s">
        <v>722</v>
      </c>
      <c r="C101" t="s">
        <v>41</v>
      </c>
      <c r="D101" t="s">
        <v>566</v>
      </c>
      <c r="E101" t="s">
        <v>723</v>
      </c>
      <c r="F101" t="s">
        <v>19</v>
      </c>
      <c r="G101" t="s">
        <v>540</v>
      </c>
    </row>
    <row r="102" spans="1:11" hidden="1" x14ac:dyDescent="0.25">
      <c r="A102" t="s">
        <v>416</v>
      </c>
      <c r="B102" t="s">
        <v>728</v>
      </c>
      <c r="C102" t="s">
        <v>41</v>
      </c>
      <c r="D102" t="s">
        <v>566</v>
      </c>
      <c r="E102" t="s">
        <v>729</v>
      </c>
      <c r="F102" t="s">
        <v>19</v>
      </c>
      <c r="G102" t="s">
        <v>540</v>
      </c>
    </row>
    <row r="103" spans="1:11" hidden="1" x14ac:dyDescent="0.25">
      <c r="A103" t="s">
        <v>416</v>
      </c>
      <c r="B103" t="s">
        <v>625</v>
      </c>
      <c r="C103" t="s">
        <v>7</v>
      </c>
      <c r="D103" t="s">
        <v>626</v>
      </c>
      <c r="E103" t="s">
        <v>627</v>
      </c>
      <c r="F103" t="s">
        <v>9</v>
      </c>
      <c r="G103" t="s">
        <v>540</v>
      </c>
      <c r="H103">
        <v>1213.0999999999999</v>
      </c>
      <c r="I103" t="s">
        <v>527</v>
      </c>
      <c r="J103" t="s">
        <v>518</v>
      </c>
      <c r="K103" t="s">
        <v>628</v>
      </c>
    </row>
    <row r="104" spans="1:11" x14ac:dyDescent="0.25">
      <c r="A104" t="s">
        <v>416</v>
      </c>
      <c r="B104" t="s">
        <v>625</v>
      </c>
      <c r="C104" t="s">
        <v>7</v>
      </c>
      <c r="D104" t="s">
        <v>626</v>
      </c>
      <c r="E104" t="s">
        <v>627</v>
      </c>
      <c r="F104" t="s">
        <v>9</v>
      </c>
      <c r="G104" t="s">
        <v>542</v>
      </c>
      <c r="H104">
        <v>130</v>
      </c>
      <c r="I104" t="s">
        <v>527</v>
      </c>
      <c r="J104" t="s">
        <v>518</v>
      </c>
      <c r="K104" t="s">
        <v>628</v>
      </c>
    </row>
    <row r="105" spans="1:11" x14ac:dyDescent="0.25">
      <c r="A105" t="s">
        <v>416</v>
      </c>
      <c r="B105" t="s">
        <v>251</v>
      </c>
      <c r="C105" t="s">
        <v>24</v>
      </c>
      <c r="D105" t="s">
        <v>92</v>
      </c>
      <c r="E105" t="s">
        <v>252</v>
      </c>
      <c r="F105" t="s">
        <v>19</v>
      </c>
      <c r="G105" t="s">
        <v>14</v>
      </c>
      <c r="I105" t="s">
        <v>519</v>
      </c>
      <c r="J105" t="s">
        <v>518</v>
      </c>
      <c r="K105" t="s">
        <v>418</v>
      </c>
    </row>
    <row r="106" spans="1:11" x14ac:dyDescent="0.25">
      <c r="A106" t="s">
        <v>416</v>
      </c>
      <c r="B106" t="s">
        <v>287</v>
      </c>
      <c r="C106" t="s">
        <v>24</v>
      </c>
      <c r="D106" t="s">
        <v>106</v>
      </c>
      <c r="E106" t="s">
        <v>288</v>
      </c>
      <c r="F106" t="s">
        <v>19</v>
      </c>
      <c r="G106" t="s">
        <v>542</v>
      </c>
      <c r="I106" t="s">
        <v>527</v>
      </c>
      <c r="J106" t="s">
        <v>520</v>
      </c>
      <c r="K106" t="s">
        <v>508</v>
      </c>
    </row>
    <row r="107" spans="1:11" x14ac:dyDescent="0.25">
      <c r="A107" t="s">
        <v>416</v>
      </c>
      <c r="B107" t="s">
        <v>223</v>
      </c>
      <c r="C107" t="s">
        <v>24</v>
      </c>
      <c r="D107" t="s">
        <v>92</v>
      </c>
      <c r="E107" t="s">
        <v>224</v>
      </c>
      <c r="F107" t="s">
        <v>19</v>
      </c>
      <c r="G107" t="s">
        <v>14</v>
      </c>
      <c r="I107" t="s">
        <v>519</v>
      </c>
      <c r="J107" t="s">
        <v>518</v>
      </c>
      <c r="K107" t="s">
        <v>418</v>
      </c>
    </row>
    <row r="108" spans="1:11" x14ac:dyDescent="0.25">
      <c r="A108" t="s">
        <v>416</v>
      </c>
      <c r="B108" t="s">
        <v>189</v>
      </c>
      <c r="C108" t="s">
        <v>11</v>
      </c>
      <c r="D108" t="s">
        <v>83</v>
      </c>
      <c r="E108" t="s">
        <v>190</v>
      </c>
      <c r="F108" t="s">
        <v>9</v>
      </c>
      <c r="G108" t="s">
        <v>14</v>
      </c>
      <c r="H108">
        <v>373.1</v>
      </c>
      <c r="I108" t="s">
        <v>519</v>
      </c>
      <c r="J108" t="s">
        <v>521</v>
      </c>
      <c r="K108" t="s">
        <v>470</v>
      </c>
    </row>
    <row r="109" spans="1:11" x14ac:dyDescent="0.25">
      <c r="A109" t="s">
        <v>416</v>
      </c>
      <c r="B109" t="s">
        <v>93</v>
      </c>
      <c r="C109" t="s">
        <v>24</v>
      </c>
      <c r="D109" t="s">
        <v>46</v>
      </c>
      <c r="E109" t="s">
        <v>94</v>
      </c>
      <c r="F109" t="s">
        <v>9</v>
      </c>
      <c r="G109" t="s">
        <v>14</v>
      </c>
      <c r="H109">
        <v>1280</v>
      </c>
      <c r="I109" t="s">
        <v>527</v>
      </c>
      <c r="J109" t="s">
        <v>518</v>
      </c>
      <c r="K109" t="s">
        <v>433</v>
      </c>
    </row>
    <row r="110" spans="1:11" hidden="1" x14ac:dyDescent="0.25">
      <c r="A110" t="s">
        <v>416</v>
      </c>
      <c r="B110" t="s">
        <v>548</v>
      </c>
      <c r="C110" t="s">
        <v>24</v>
      </c>
      <c r="D110" t="s">
        <v>46</v>
      </c>
      <c r="E110" t="s">
        <v>549</v>
      </c>
      <c r="F110" t="s">
        <v>19</v>
      </c>
      <c r="G110" t="s">
        <v>540</v>
      </c>
      <c r="H110">
        <v>746.9</v>
      </c>
      <c r="I110" t="s">
        <v>527</v>
      </c>
      <c r="J110" t="s">
        <v>518</v>
      </c>
      <c r="K110" t="s">
        <v>550</v>
      </c>
    </row>
    <row r="111" spans="1:11" x14ac:dyDescent="0.25">
      <c r="A111" t="s">
        <v>416</v>
      </c>
      <c r="B111" t="s">
        <v>548</v>
      </c>
      <c r="C111" t="s">
        <v>24</v>
      </c>
      <c r="D111" t="s">
        <v>46</v>
      </c>
      <c r="E111" t="s">
        <v>549</v>
      </c>
      <c r="F111" t="s">
        <v>19</v>
      </c>
      <c r="G111" t="s">
        <v>542</v>
      </c>
      <c r="H111">
        <v>80</v>
      </c>
      <c r="I111" t="s">
        <v>527</v>
      </c>
      <c r="J111" t="s">
        <v>518</v>
      </c>
      <c r="K111" t="s">
        <v>550</v>
      </c>
    </row>
    <row r="112" spans="1:11" x14ac:dyDescent="0.25">
      <c r="A112" t="s">
        <v>416</v>
      </c>
      <c r="B112" t="s">
        <v>169</v>
      </c>
      <c r="C112" t="s">
        <v>24</v>
      </c>
      <c r="D112" t="s">
        <v>46</v>
      </c>
      <c r="E112" t="s">
        <v>170</v>
      </c>
      <c r="F112" t="s">
        <v>9</v>
      </c>
      <c r="G112" t="s">
        <v>14</v>
      </c>
      <c r="H112">
        <v>448</v>
      </c>
      <c r="I112" t="s">
        <v>519</v>
      </c>
      <c r="J112" t="s">
        <v>522</v>
      </c>
      <c r="K112" t="s">
        <v>467</v>
      </c>
    </row>
    <row r="113" spans="1:11" x14ac:dyDescent="0.25">
      <c r="A113" t="s">
        <v>416</v>
      </c>
      <c r="B113" t="s">
        <v>115</v>
      </c>
      <c r="C113" t="s">
        <v>24</v>
      </c>
      <c r="D113" t="s">
        <v>25</v>
      </c>
      <c r="E113" t="s">
        <v>116</v>
      </c>
      <c r="F113" t="s">
        <v>9</v>
      </c>
      <c r="G113" t="s">
        <v>14</v>
      </c>
      <c r="H113">
        <v>739.2</v>
      </c>
      <c r="I113" t="s">
        <v>523</v>
      </c>
      <c r="J113" t="s">
        <v>520</v>
      </c>
      <c r="K113" t="s">
        <v>443</v>
      </c>
    </row>
    <row r="114" spans="1:11" x14ac:dyDescent="0.25">
      <c r="A114" t="s">
        <v>416</v>
      </c>
      <c r="B114" t="s">
        <v>187</v>
      </c>
      <c r="C114" t="s">
        <v>24</v>
      </c>
      <c r="D114" t="s">
        <v>25</v>
      </c>
      <c r="E114" t="s">
        <v>188</v>
      </c>
      <c r="F114" t="s">
        <v>9</v>
      </c>
      <c r="G114" t="s">
        <v>14</v>
      </c>
      <c r="H114">
        <v>358.4</v>
      </c>
      <c r="I114" t="s">
        <v>523</v>
      </c>
      <c r="J114" t="s">
        <v>520</v>
      </c>
      <c r="K114" t="s">
        <v>471</v>
      </c>
    </row>
    <row r="115" spans="1:11" x14ac:dyDescent="0.25">
      <c r="A115" t="s">
        <v>416</v>
      </c>
      <c r="B115" t="s">
        <v>185</v>
      </c>
      <c r="C115" t="s">
        <v>24</v>
      </c>
      <c r="D115" t="s">
        <v>25</v>
      </c>
      <c r="E115" t="s">
        <v>186</v>
      </c>
      <c r="F115" t="s">
        <v>9</v>
      </c>
      <c r="G115" t="s">
        <v>14</v>
      </c>
      <c r="H115">
        <v>358.4</v>
      </c>
      <c r="I115" t="s">
        <v>523</v>
      </c>
      <c r="J115" t="s">
        <v>520</v>
      </c>
      <c r="K115" t="s">
        <v>472</v>
      </c>
    </row>
    <row r="116" spans="1:11" x14ac:dyDescent="0.25">
      <c r="A116" t="s">
        <v>416</v>
      </c>
      <c r="B116" t="s">
        <v>164</v>
      </c>
      <c r="C116" t="s">
        <v>24</v>
      </c>
      <c r="D116" t="s">
        <v>165</v>
      </c>
      <c r="E116" t="s">
        <v>166</v>
      </c>
      <c r="F116" t="s">
        <v>19</v>
      </c>
      <c r="G116" t="s">
        <v>14</v>
      </c>
      <c r="I116" t="s">
        <v>527</v>
      </c>
      <c r="J116" t="s">
        <v>518</v>
      </c>
      <c r="K116" t="s">
        <v>484</v>
      </c>
    </row>
    <row r="117" spans="1:11" x14ac:dyDescent="0.25">
      <c r="A117" t="s">
        <v>416</v>
      </c>
      <c r="B117" t="s">
        <v>111</v>
      </c>
      <c r="C117" t="s">
        <v>24</v>
      </c>
      <c r="D117" t="s">
        <v>112</v>
      </c>
      <c r="E117" t="s">
        <v>113</v>
      </c>
      <c r="F117" t="s">
        <v>9</v>
      </c>
      <c r="G117" t="s">
        <v>14</v>
      </c>
      <c r="H117">
        <v>59.5</v>
      </c>
      <c r="I117" t="s">
        <v>519</v>
      </c>
      <c r="J117" t="s">
        <v>522</v>
      </c>
      <c r="K117" t="s">
        <v>435</v>
      </c>
    </row>
    <row r="118" spans="1:11" x14ac:dyDescent="0.25">
      <c r="A118" t="s">
        <v>416</v>
      </c>
      <c r="B118" t="s">
        <v>117</v>
      </c>
      <c r="C118" t="s">
        <v>24</v>
      </c>
      <c r="D118" t="s">
        <v>27</v>
      </c>
      <c r="E118" t="s">
        <v>118</v>
      </c>
      <c r="F118" t="s">
        <v>19</v>
      </c>
      <c r="G118" t="s">
        <v>14</v>
      </c>
      <c r="H118">
        <v>1493.1</v>
      </c>
      <c r="I118" t="s">
        <v>519</v>
      </c>
      <c r="J118" t="s">
        <v>526</v>
      </c>
      <c r="K118" t="s">
        <v>498</v>
      </c>
    </row>
    <row r="119" spans="1:11" hidden="1" x14ac:dyDescent="0.25">
      <c r="A119" t="s">
        <v>416</v>
      </c>
      <c r="B119" t="s">
        <v>569</v>
      </c>
      <c r="C119" t="s">
        <v>24</v>
      </c>
      <c r="D119" t="s">
        <v>46</v>
      </c>
      <c r="E119" t="s">
        <v>570</v>
      </c>
      <c r="F119" t="s">
        <v>19</v>
      </c>
      <c r="G119" t="s">
        <v>540</v>
      </c>
      <c r="H119">
        <v>1213.0999999999999</v>
      </c>
      <c r="I119" t="s">
        <v>527</v>
      </c>
      <c r="J119" t="s">
        <v>524</v>
      </c>
      <c r="K119" t="s">
        <v>571</v>
      </c>
    </row>
    <row r="120" spans="1:11" x14ac:dyDescent="0.25">
      <c r="A120" t="s">
        <v>416</v>
      </c>
      <c r="B120" t="s">
        <v>569</v>
      </c>
      <c r="C120" t="s">
        <v>24</v>
      </c>
      <c r="D120" t="s">
        <v>46</v>
      </c>
      <c r="E120" t="s">
        <v>570</v>
      </c>
      <c r="F120" t="s">
        <v>19</v>
      </c>
      <c r="G120" t="s">
        <v>542</v>
      </c>
      <c r="H120">
        <v>130</v>
      </c>
      <c r="I120" t="s">
        <v>527</v>
      </c>
      <c r="J120" t="s">
        <v>524</v>
      </c>
      <c r="K120" t="s">
        <v>571</v>
      </c>
    </row>
    <row r="121" spans="1:11" x14ac:dyDescent="0.25">
      <c r="A121" t="s">
        <v>416</v>
      </c>
      <c r="B121" t="s">
        <v>217</v>
      </c>
      <c r="C121" t="s">
        <v>24</v>
      </c>
      <c r="D121" t="s">
        <v>38</v>
      </c>
      <c r="E121" t="s">
        <v>218</v>
      </c>
      <c r="F121" t="s">
        <v>19</v>
      </c>
      <c r="G121" t="s">
        <v>14</v>
      </c>
      <c r="H121">
        <v>395.5</v>
      </c>
      <c r="I121" t="s">
        <v>523</v>
      </c>
      <c r="J121" t="s">
        <v>520</v>
      </c>
      <c r="K121" t="s">
        <v>450</v>
      </c>
    </row>
    <row r="122" spans="1:11" x14ac:dyDescent="0.25">
      <c r="A122" t="s">
        <v>416</v>
      </c>
      <c r="B122" t="s">
        <v>154</v>
      </c>
      <c r="C122" t="s">
        <v>24</v>
      </c>
      <c r="D122" t="s">
        <v>46</v>
      </c>
      <c r="E122" t="s">
        <v>155</v>
      </c>
      <c r="F122" t="s">
        <v>19</v>
      </c>
      <c r="G122" t="s">
        <v>542</v>
      </c>
      <c r="H122">
        <v>193.89999999999998</v>
      </c>
      <c r="I122" t="s">
        <v>527</v>
      </c>
      <c r="J122" t="s">
        <v>518</v>
      </c>
      <c r="K122" t="s">
        <v>488</v>
      </c>
    </row>
    <row r="123" spans="1:11" x14ac:dyDescent="0.25">
      <c r="A123" t="s">
        <v>416</v>
      </c>
      <c r="B123" t="s">
        <v>211</v>
      </c>
      <c r="C123" t="s">
        <v>24</v>
      </c>
      <c r="D123" t="s">
        <v>38</v>
      </c>
      <c r="E123" t="s">
        <v>212</v>
      </c>
      <c r="F123" t="s">
        <v>19</v>
      </c>
      <c r="G123" t="s">
        <v>14</v>
      </c>
      <c r="H123">
        <v>42.4</v>
      </c>
      <c r="I123" t="s">
        <v>527</v>
      </c>
      <c r="J123" t="s">
        <v>518</v>
      </c>
      <c r="K123" t="s">
        <v>453</v>
      </c>
    </row>
    <row r="124" spans="1:11" hidden="1" x14ac:dyDescent="0.25">
      <c r="A124" t="s">
        <v>416</v>
      </c>
      <c r="B124" t="s">
        <v>592</v>
      </c>
      <c r="C124" t="s">
        <v>24</v>
      </c>
      <c r="D124" t="s">
        <v>46</v>
      </c>
      <c r="E124" t="s">
        <v>593</v>
      </c>
      <c r="F124" t="s">
        <v>19</v>
      </c>
      <c r="G124" t="s">
        <v>540</v>
      </c>
      <c r="H124">
        <v>392</v>
      </c>
      <c r="I124" t="s">
        <v>527</v>
      </c>
      <c r="J124" t="s">
        <v>518</v>
      </c>
      <c r="K124" t="s">
        <v>594</v>
      </c>
    </row>
    <row r="125" spans="1:11" x14ac:dyDescent="0.25">
      <c r="A125" t="s">
        <v>416</v>
      </c>
      <c r="B125" t="s">
        <v>592</v>
      </c>
      <c r="C125" t="s">
        <v>24</v>
      </c>
      <c r="D125" t="s">
        <v>46</v>
      </c>
      <c r="E125" t="s">
        <v>593</v>
      </c>
      <c r="F125" t="s">
        <v>19</v>
      </c>
      <c r="G125" t="s">
        <v>542</v>
      </c>
      <c r="H125">
        <v>42</v>
      </c>
      <c r="I125" t="s">
        <v>527</v>
      </c>
      <c r="J125" t="s">
        <v>518</v>
      </c>
      <c r="K125" t="s">
        <v>594</v>
      </c>
    </row>
    <row r="126" spans="1:11" hidden="1" x14ac:dyDescent="0.25">
      <c r="A126" t="s">
        <v>416</v>
      </c>
      <c r="B126" t="s">
        <v>622</v>
      </c>
      <c r="C126" t="s">
        <v>24</v>
      </c>
      <c r="D126" t="s">
        <v>46</v>
      </c>
      <c r="E126" t="s">
        <v>623</v>
      </c>
      <c r="F126" t="s">
        <v>19</v>
      </c>
      <c r="G126" t="s">
        <v>540</v>
      </c>
      <c r="H126">
        <v>392</v>
      </c>
      <c r="I126" t="s">
        <v>527</v>
      </c>
      <c r="J126" t="s">
        <v>518</v>
      </c>
      <c r="K126" t="s">
        <v>624</v>
      </c>
    </row>
    <row r="127" spans="1:11" x14ac:dyDescent="0.25">
      <c r="A127" t="s">
        <v>416</v>
      </c>
      <c r="B127" t="s">
        <v>622</v>
      </c>
      <c r="C127" t="s">
        <v>24</v>
      </c>
      <c r="D127" t="s">
        <v>46</v>
      </c>
      <c r="E127" t="s">
        <v>623</v>
      </c>
      <c r="F127" t="s">
        <v>19</v>
      </c>
      <c r="G127" t="s">
        <v>542</v>
      </c>
      <c r="H127">
        <v>42</v>
      </c>
      <c r="I127" t="s">
        <v>527</v>
      </c>
      <c r="J127" t="s">
        <v>518</v>
      </c>
      <c r="K127" t="s">
        <v>624</v>
      </c>
    </row>
    <row r="128" spans="1:11" x14ac:dyDescent="0.25">
      <c r="A128" t="s">
        <v>416</v>
      </c>
      <c r="B128" t="s">
        <v>37</v>
      </c>
      <c r="C128" t="s">
        <v>24</v>
      </c>
      <c r="D128" t="s">
        <v>38</v>
      </c>
      <c r="E128" t="s">
        <v>39</v>
      </c>
      <c r="F128" t="s">
        <v>19</v>
      </c>
      <c r="G128" t="s">
        <v>14</v>
      </c>
      <c r="H128">
        <v>1217.3</v>
      </c>
      <c r="I128" t="s">
        <v>523</v>
      </c>
      <c r="J128" t="s">
        <v>520</v>
      </c>
      <c r="K128" t="s">
        <v>437</v>
      </c>
    </row>
    <row r="129" spans="1:11" x14ac:dyDescent="0.25">
      <c r="A129" t="s">
        <v>416</v>
      </c>
      <c r="B129" t="s">
        <v>119</v>
      </c>
      <c r="C129" t="s">
        <v>24</v>
      </c>
      <c r="D129" t="s">
        <v>46</v>
      </c>
      <c r="E129" t="s">
        <v>120</v>
      </c>
      <c r="F129" t="s">
        <v>19</v>
      </c>
      <c r="G129" t="s">
        <v>542</v>
      </c>
      <c r="H129">
        <v>448</v>
      </c>
      <c r="I129" t="s">
        <v>527</v>
      </c>
      <c r="J129" t="s">
        <v>518</v>
      </c>
      <c r="K129" t="s">
        <v>496</v>
      </c>
    </row>
    <row r="130" spans="1:11" x14ac:dyDescent="0.25">
      <c r="A130" t="s">
        <v>416</v>
      </c>
      <c r="B130" t="s">
        <v>219</v>
      </c>
      <c r="C130" t="s">
        <v>24</v>
      </c>
      <c r="D130" t="s">
        <v>38</v>
      </c>
      <c r="E130" t="s">
        <v>220</v>
      </c>
      <c r="F130" t="s">
        <v>19</v>
      </c>
      <c r="G130" t="s">
        <v>14</v>
      </c>
      <c r="H130">
        <v>395.5</v>
      </c>
      <c r="I130" t="s">
        <v>523</v>
      </c>
      <c r="J130" t="s">
        <v>524</v>
      </c>
      <c r="K130" t="s">
        <v>449</v>
      </c>
    </row>
    <row r="131" spans="1:11" x14ac:dyDescent="0.25">
      <c r="A131" t="s">
        <v>416</v>
      </c>
      <c r="B131" t="s">
        <v>73</v>
      </c>
      <c r="C131" t="s">
        <v>24</v>
      </c>
      <c r="D131" t="s">
        <v>38</v>
      </c>
      <c r="E131" t="s">
        <v>74</v>
      </c>
      <c r="F131" t="s">
        <v>9</v>
      </c>
      <c r="G131" t="s">
        <v>14</v>
      </c>
      <c r="H131">
        <v>132</v>
      </c>
      <c r="I131" t="s">
        <v>519</v>
      </c>
      <c r="J131" t="s">
        <v>518</v>
      </c>
      <c r="K131" t="s">
        <v>427</v>
      </c>
    </row>
    <row r="132" spans="1:11" x14ac:dyDescent="0.25">
      <c r="A132" t="s">
        <v>416</v>
      </c>
      <c r="B132" t="s">
        <v>93</v>
      </c>
      <c r="C132" t="s">
        <v>24</v>
      </c>
      <c r="D132" t="s">
        <v>46</v>
      </c>
      <c r="E132" t="s">
        <v>94</v>
      </c>
      <c r="F132" t="s">
        <v>9</v>
      </c>
      <c r="G132" t="s">
        <v>542</v>
      </c>
      <c r="H132">
        <v>11946.9</v>
      </c>
      <c r="I132" t="s">
        <v>527</v>
      </c>
      <c r="J132" t="s">
        <v>518</v>
      </c>
      <c r="K132" t="s">
        <v>433</v>
      </c>
    </row>
    <row r="133" spans="1:11" x14ac:dyDescent="0.25">
      <c r="A133" t="s">
        <v>416</v>
      </c>
      <c r="B133" t="s">
        <v>287</v>
      </c>
      <c r="C133" t="s">
        <v>24</v>
      </c>
      <c r="D133" t="s">
        <v>106</v>
      </c>
      <c r="E133" t="s">
        <v>288</v>
      </c>
      <c r="F133" t="s">
        <v>19</v>
      </c>
      <c r="G133" t="s">
        <v>14</v>
      </c>
      <c r="I133" t="s">
        <v>527</v>
      </c>
      <c r="J133" t="s">
        <v>520</v>
      </c>
      <c r="K133" t="s">
        <v>508</v>
      </c>
    </row>
    <row r="134" spans="1:11" x14ac:dyDescent="0.25">
      <c r="A134" t="s">
        <v>416</v>
      </c>
      <c r="B134" t="s">
        <v>63</v>
      </c>
      <c r="C134" t="s">
        <v>24</v>
      </c>
      <c r="D134" t="s">
        <v>58</v>
      </c>
      <c r="E134" t="s">
        <v>64</v>
      </c>
      <c r="F134" t="s">
        <v>9</v>
      </c>
      <c r="G134" t="s">
        <v>14</v>
      </c>
      <c r="H134">
        <v>3.1</v>
      </c>
      <c r="I134" t="s">
        <v>523</v>
      </c>
      <c r="J134" t="s">
        <v>526</v>
      </c>
      <c r="K134" t="s">
        <v>423</v>
      </c>
    </row>
    <row r="135" spans="1:11" hidden="1" x14ac:dyDescent="0.25">
      <c r="A135" t="s">
        <v>416</v>
      </c>
      <c r="B135" t="s">
        <v>633</v>
      </c>
      <c r="C135" t="s">
        <v>24</v>
      </c>
      <c r="D135" t="s">
        <v>46</v>
      </c>
      <c r="E135" t="s">
        <v>634</v>
      </c>
      <c r="F135" t="s">
        <v>19</v>
      </c>
      <c r="G135" t="s">
        <v>540</v>
      </c>
      <c r="H135">
        <v>746.9</v>
      </c>
      <c r="I135" t="s">
        <v>527</v>
      </c>
      <c r="J135" t="s">
        <v>518</v>
      </c>
      <c r="K135" t="s">
        <v>635</v>
      </c>
    </row>
    <row r="136" spans="1:11" x14ac:dyDescent="0.25">
      <c r="A136" t="s">
        <v>416</v>
      </c>
      <c r="B136" t="s">
        <v>633</v>
      </c>
      <c r="C136" t="s">
        <v>24</v>
      </c>
      <c r="D136" t="s">
        <v>46</v>
      </c>
      <c r="E136" t="s">
        <v>634</v>
      </c>
      <c r="F136" t="s">
        <v>19</v>
      </c>
      <c r="G136" t="s">
        <v>542</v>
      </c>
      <c r="H136">
        <v>80</v>
      </c>
      <c r="I136" t="s">
        <v>527</v>
      </c>
      <c r="J136" t="s">
        <v>518</v>
      </c>
      <c r="K136" t="s">
        <v>635</v>
      </c>
    </row>
    <row r="137" spans="1:11" x14ac:dyDescent="0.25">
      <c r="A137" t="s">
        <v>416</v>
      </c>
      <c r="B137" t="s">
        <v>121</v>
      </c>
      <c r="C137" t="s">
        <v>24</v>
      </c>
      <c r="D137" t="s">
        <v>46</v>
      </c>
      <c r="E137" t="s">
        <v>122</v>
      </c>
      <c r="F137" t="s">
        <v>19</v>
      </c>
      <c r="G137" t="s">
        <v>542</v>
      </c>
      <c r="H137">
        <v>193.89999999999998</v>
      </c>
      <c r="I137" t="s">
        <v>523</v>
      </c>
      <c r="J137" t="s">
        <v>520</v>
      </c>
      <c r="K137" t="s">
        <v>494</v>
      </c>
    </row>
    <row r="138" spans="1:11" x14ac:dyDescent="0.25">
      <c r="A138" t="s">
        <v>416</v>
      </c>
      <c r="B138" t="s">
        <v>273</v>
      </c>
      <c r="C138" t="s">
        <v>24</v>
      </c>
      <c r="D138" t="s">
        <v>106</v>
      </c>
      <c r="E138" t="s">
        <v>274</v>
      </c>
      <c r="F138" t="s">
        <v>9</v>
      </c>
      <c r="G138" t="s">
        <v>14</v>
      </c>
      <c r="H138">
        <v>156.80000000000001</v>
      </c>
      <c r="I138" t="s">
        <v>519</v>
      </c>
      <c r="J138" t="s">
        <v>525</v>
      </c>
      <c r="K138" t="s">
        <v>422</v>
      </c>
    </row>
    <row r="139" spans="1:11" hidden="1" x14ac:dyDescent="0.25">
      <c r="A139" t="s">
        <v>416</v>
      </c>
      <c r="B139" t="s">
        <v>640</v>
      </c>
      <c r="C139" t="s">
        <v>24</v>
      </c>
      <c r="D139" t="s">
        <v>46</v>
      </c>
      <c r="E139" t="s">
        <v>641</v>
      </c>
      <c r="F139" t="s">
        <v>19</v>
      </c>
      <c r="G139" t="s">
        <v>540</v>
      </c>
      <c r="H139">
        <v>130.9</v>
      </c>
      <c r="I139" t="s">
        <v>527</v>
      </c>
      <c r="J139" t="s">
        <v>518</v>
      </c>
      <c r="K139" t="s">
        <v>642</v>
      </c>
    </row>
    <row r="140" spans="1:11" x14ac:dyDescent="0.25">
      <c r="A140" t="s">
        <v>416</v>
      </c>
      <c r="B140" t="s">
        <v>640</v>
      </c>
      <c r="C140" t="s">
        <v>24</v>
      </c>
      <c r="D140" t="s">
        <v>46</v>
      </c>
      <c r="E140" t="s">
        <v>641</v>
      </c>
      <c r="F140" t="s">
        <v>19</v>
      </c>
      <c r="G140" t="s">
        <v>542</v>
      </c>
      <c r="H140">
        <v>14</v>
      </c>
      <c r="I140" t="s">
        <v>527</v>
      </c>
      <c r="J140" t="s">
        <v>518</v>
      </c>
      <c r="K140" t="s">
        <v>642</v>
      </c>
    </row>
    <row r="141" spans="1:11" x14ac:dyDescent="0.25">
      <c r="A141" t="s">
        <v>416</v>
      </c>
      <c r="B141" t="s">
        <v>299</v>
      </c>
      <c r="C141" t="s">
        <v>41</v>
      </c>
      <c r="D141" t="s">
        <v>300</v>
      </c>
      <c r="E141" t="s">
        <v>661</v>
      </c>
      <c r="F141" t="s">
        <v>19</v>
      </c>
      <c r="G141" t="s">
        <v>14</v>
      </c>
      <c r="H141">
        <v>432</v>
      </c>
    </row>
    <row r="142" spans="1:11" x14ac:dyDescent="0.25">
      <c r="A142" t="s">
        <v>416</v>
      </c>
      <c r="B142" t="s">
        <v>299</v>
      </c>
      <c r="C142" t="s">
        <v>41</v>
      </c>
      <c r="D142" t="s">
        <v>300</v>
      </c>
      <c r="E142" t="s">
        <v>661</v>
      </c>
      <c r="F142" t="s">
        <v>19</v>
      </c>
      <c r="G142" t="s">
        <v>542</v>
      </c>
      <c r="H142">
        <v>432</v>
      </c>
    </row>
    <row r="143" spans="1:11" hidden="1" x14ac:dyDescent="0.25">
      <c r="A143" t="s">
        <v>416</v>
      </c>
      <c r="B143" t="s">
        <v>299</v>
      </c>
      <c r="C143" t="s">
        <v>41</v>
      </c>
      <c r="D143" t="s">
        <v>300</v>
      </c>
      <c r="E143" t="s">
        <v>661</v>
      </c>
      <c r="F143" t="s">
        <v>19</v>
      </c>
      <c r="G143" t="s">
        <v>540</v>
      </c>
      <c r="H143">
        <v>288</v>
      </c>
    </row>
    <row r="144" spans="1:11" x14ac:dyDescent="0.25">
      <c r="A144" t="s">
        <v>416</v>
      </c>
      <c r="B144" t="s">
        <v>299</v>
      </c>
      <c r="C144" t="s">
        <v>41</v>
      </c>
      <c r="D144" t="s">
        <v>300</v>
      </c>
      <c r="E144" t="s">
        <v>301</v>
      </c>
      <c r="F144" t="s">
        <v>19</v>
      </c>
      <c r="G144" t="s">
        <v>14</v>
      </c>
      <c r="H144">
        <v>1296</v>
      </c>
    </row>
    <row r="145" spans="1:8" x14ac:dyDescent="0.25">
      <c r="A145" t="s">
        <v>416</v>
      </c>
      <c r="B145" t="s">
        <v>299</v>
      </c>
      <c r="C145" t="s">
        <v>41</v>
      </c>
      <c r="D145" t="s">
        <v>300</v>
      </c>
      <c r="E145" t="s">
        <v>301</v>
      </c>
      <c r="F145" t="s">
        <v>19</v>
      </c>
      <c r="G145" t="s">
        <v>542</v>
      </c>
      <c r="H145">
        <v>1296</v>
      </c>
    </row>
    <row r="146" spans="1:8" hidden="1" x14ac:dyDescent="0.25">
      <c r="A146" t="s">
        <v>416</v>
      </c>
      <c r="B146" t="s">
        <v>299</v>
      </c>
      <c r="C146" t="s">
        <v>41</v>
      </c>
      <c r="D146" t="s">
        <v>300</v>
      </c>
      <c r="E146" t="s">
        <v>301</v>
      </c>
      <c r="F146" t="s">
        <v>19</v>
      </c>
      <c r="G146" t="s">
        <v>540</v>
      </c>
      <c r="H146">
        <v>864</v>
      </c>
    </row>
    <row r="147" spans="1:8" x14ac:dyDescent="0.25">
      <c r="A147" t="s">
        <v>416</v>
      </c>
      <c r="B147" t="s">
        <v>299</v>
      </c>
      <c r="C147" t="s">
        <v>41</v>
      </c>
      <c r="D147" t="s">
        <v>300</v>
      </c>
      <c r="E147" t="s">
        <v>302</v>
      </c>
      <c r="F147" t="s">
        <v>19</v>
      </c>
      <c r="G147" t="s">
        <v>14</v>
      </c>
      <c r="H147">
        <v>1944</v>
      </c>
    </row>
    <row r="148" spans="1:8" x14ac:dyDescent="0.25">
      <c r="A148" t="s">
        <v>416</v>
      </c>
      <c r="B148" t="s">
        <v>299</v>
      </c>
      <c r="C148" t="s">
        <v>41</v>
      </c>
      <c r="D148" t="s">
        <v>300</v>
      </c>
      <c r="E148" t="s">
        <v>302</v>
      </c>
      <c r="F148" t="s">
        <v>19</v>
      </c>
      <c r="G148" t="s">
        <v>542</v>
      </c>
      <c r="H148">
        <v>1944</v>
      </c>
    </row>
    <row r="149" spans="1:8" hidden="1" x14ac:dyDescent="0.25">
      <c r="A149" t="s">
        <v>416</v>
      </c>
      <c r="B149" t="s">
        <v>299</v>
      </c>
      <c r="C149" t="s">
        <v>41</v>
      </c>
      <c r="D149" t="s">
        <v>300</v>
      </c>
      <c r="E149" t="s">
        <v>302</v>
      </c>
      <c r="F149" t="s">
        <v>19</v>
      </c>
      <c r="G149" t="s">
        <v>540</v>
      </c>
      <c r="H149">
        <v>1296</v>
      </c>
    </row>
    <row r="150" spans="1:8" x14ac:dyDescent="0.25">
      <c r="A150" t="s">
        <v>416</v>
      </c>
      <c r="B150" t="s">
        <v>299</v>
      </c>
      <c r="C150" t="s">
        <v>41</v>
      </c>
      <c r="D150" t="s">
        <v>300</v>
      </c>
      <c r="E150" t="s">
        <v>303</v>
      </c>
      <c r="F150" t="s">
        <v>19</v>
      </c>
      <c r="G150" t="s">
        <v>14</v>
      </c>
      <c r="H150">
        <v>864</v>
      </c>
    </row>
    <row r="151" spans="1:8" x14ac:dyDescent="0.25">
      <c r="A151" t="s">
        <v>416</v>
      </c>
      <c r="B151" t="s">
        <v>299</v>
      </c>
      <c r="C151" t="s">
        <v>41</v>
      </c>
      <c r="D151" t="s">
        <v>300</v>
      </c>
      <c r="E151" t="s">
        <v>303</v>
      </c>
      <c r="F151" t="s">
        <v>19</v>
      </c>
      <c r="G151" t="s">
        <v>542</v>
      </c>
      <c r="H151">
        <v>864</v>
      </c>
    </row>
    <row r="152" spans="1:8" hidden="1" x14ac:dyDescent="0.25">
      <c r="A152" t="s">
        <v>416</v>
      </c>
      <c r="B152" t="s">
        <v>299</v>
      </c>
      <c r="C152" t="s">
        <v>41</v>
      </c>
      <c r="D152" t="s">
        <v>300</v>
      </c>
      <c r="E152" t="s">
        <v>303</v>
      </c>
      <c r="F152" t="s">
        <v>19</v>
      </c>
      <c r="G152" t="s">
        <v>540</v>
      </c>
      <c r="H152">
        <v>576</v>
      </c>
    </row>
    <row r="153" spans="1:8" x14ac:dyDescent="0.25">
      <c r="A153" t="s">
        <v>416</v>
      </c>
      <c r="B153" t="s">
        <v>299</v>
      </c>
      <c r="C153" t="s">
        <v>41</v>
      </c>
      <c r="D153" t="s">
        <v>300</v>
      </c>
      <c r="E153" t="s">
        <v>304</v>
      </c>
      <c r="F153" t="s">
        <v>19</v>
      </c>
      <c r="G153" t="s">
        <v>14</v>
      </c>
      <c r="H153">
        <v>432</v>
      </c>
    </row>
    <row r="154" spans="1:8" x14ac:dyDescent="0.25">
      <c r="A154" t="s">
        <v>416</v>
      </c>
      <c r="B154" t="s">
        <v>299</v>
      </c>
      <c r="C154" t="s">
        <v>41</v>
      </c>
      <c r="D154" t="s">
        <v>300</v>
      </c>
      <c r="E154" t="s">
        <v>304</v>
      </c>
      <c r="F154" t="s">
        <v>19</v>
      </c>
      <c r="G154" t="s">
        <v>542</v>
      </c>
      <c r="H154">
        <v>432</v>
      </c>
    </row>
    <row r="155" spans="1:8" hidden="1" x14ac:dyDescent="0.25">
      <c r="A155" t="s">
        <v>416</v>
      </c>
      <c r="B155" t="s">
        <v>299</v>
      </c>
      <c r="C155" t="s">
        <v>41</v>
      </c>
      <c r="D155" t="s">
        <v>300</v>
      </c>
      <c r="E155" t="s">
        <v>304</v>
      </c>
      <c r="F155" t="s">
        <v>19</v>
      </c>
      <c r="G155" t="s">
        <v>540</v>
      </c>
      <c r="H155">
        <v>288</v>
      </c>
    </row>
    <row r="156" spans="1:8" x14ac:dyDescent="0.25">
      <c r="A156" t="s">
        <v>416</v>
      </c>
      <c r="B156" t="s">
        <v>299</v>
      </c>
      <c r="C156" t="s">
        <v>41</v>
      </c>
      <c r="D156" t="s">
        <v>300</v>
      </c>
      <c r="E156" t="s">
        <v>305</v>
      </c>
      <c r="F156" t="s">
        <v>19</v>
      </c>
      <c r="G156" t="s">
        <v>14</v>
      </c>
      <c r="H156">
        <v>1728</v>
      </c>
    </row>
    <row r="157" spans="1:8" x14ac:dyDescent="0.25">
      <c r="A157" t="s">
        <v>416</v>
      </c>
      <c r="B157" t="s">
        <v>299</v>
      </c>
      <c r="C157" t="s">
        <v>41</v>
      </c>
      <c r="D157" t="s">
        <v>300</v>
      </c>
      <c r="E157" t="s">
        <v>305</v>
      </c>
      <c r="F157" t="s">
        <v>19</v>
      </c>
      <c r="G157" t="s">
        <v>542</v>
      </c>
      <c r="H157">
        <v>1728</v>
      </c>
    </row>
    <row r="158" spans="1:8" hidden="1" x14ac:dyDescent="0.25">
      <c r="A158" t="s">
        <v>416</v>
      </c>
      <c r="B158" t="s">
        <v>299</v>
      </c>
      <c r="C158" t="s">
        <v>41</v>
      </c>
      <c r="D158" t="s">
        <v>300</v>
      </c>
      <c r="E158" t="s">
        <v>305</v>
      </c>
      <c r="F158" t="s">
        <v>19</v>
      </c>
      <c r="G158" t="s">
        <v>540</v>
      </c>
      <c r="H158">
        <v>1152</v>
      </c>
    </row>
    <row r="159" spans="1:8" x14ac:dyDescent="0.25">
      <c r="A159" t="s">
        <v>416</v>
      </c>
      <c r="B159" t="s">
        <v>299</v>
      </c>
      <c r="C159" t="s">
        <v>41</v>
      </c>
      <c r="D159" t="s">
        <v>300</v>
      </c>
      <c r="E159" t="s">
        <v>306</v>
      </c>
      <c r="F159" t="s">
        <v>19</v>
      </c>
      <c r="G159" t="s">
        <v>14</v>
      </c>
      <c r="H159">
        <v>388.8</v>
      </c>
    </row>
    <row r="160" spans="1:8" x14ac:dyDescent="0.25">
      <c r="A160" t="s">
        <v>416</v>
      </c>
      <c r="B160" t="s">
        <v>299</v>
      </c>
      <c r="C160" t="s">
        <v>41</v>
      </c>
      <c r="D160" t="s">
        <v>300</v>
      </c>
      <c r="E160" t="s">
        <v>306</v>
      </c>
      <c r="F160" t="s">
        <v>19</v>
      </c>
      <c r="G160" t="s">
        <v>542</v>
      </c>
      <c r="H160">
        <v>388.8</v>
      </c>
    </row>
    <row r="161" spans="1:8" hidden="1" x14ac:dyDescent="0.25">
      <c r="A161" t="s">
        <v>416</v>
      </c>
      <c r="B161" t="s">
        <v>299</v>
      </c>
      <c r="C161" t="s">
        <v>41</v>
      </c>
      <c r="D161" t="s">
        <v>300</v>
      </c>
      <c r="E161" t="s">
        <v>306</v>
      </c>
      <c r="F161" t="s">
        <v>19</v>
      </c>
      <c r="G161" t="s">
        <v>540</v>
      </c>
      <c r="H161">
        <v>259.2</v>
      </c>
    </row>
    <row r="162" spans="1:8" x14ac:dyDescent="0.25">
      <c r="A162" t="s">
        <v>416</v>
      </c>
      <c r="B162" t="s">
        <v>299</v>
      </c>
      <c r="C162" t="s">
        <v>41</v>
      </c>
      <c r="D162" t="s">
        <v>300</v>
      </c>
      <c r="E162" t="s">
        <v>307</v>
      </c>
      <c r="F162" t="s">
        <v>19</v>
      </c>
      <c r="G162" t="s">
        <v>14</v>
      </c>
      <c r="H162">
        <v>388.8</v>
      </c>
    </row>
    <row r="163" spans="1:8" x14ac:dyDescent="0.25">
      <c r="A163" t="s">
        <v>416</v>
      </c>
      <c r="B163" t="s">
        <v>299</v>
      </c>
      <c r="C163" t="s">
        <v>41</v>
      </c>
      <c r="D163" t="s">
        <v>300</v>
      </c>
      <c r="E163" t="s">
        <v>307</v>
      </c>
      <c r="F163" t="s">
        <v>19</v>
      </c>
      <c r="G163" t="s">
        <v>542</v>
      </c>
      <c r="H163">
        <v>388.8</v>
      </c>
    </row>
    <row r="164" spans="1:8" hidden="1" x14ac:dyDescent="0.25">
      <c r="A164" t="s">
        <v>416</v>
      </c>
      <c r="B164" t="s">
        <v>299</v>
      </c>
      <c r="C164" t="s">
        <v>41</v>
      </c>
      <c r="D164" t="s">
        <v>300</v>
      </c>
      <c r="E164" t="s">
        <v>307</v>
      </c>
      <c r="F164" t="s">
        <v>19</v>
      </c>
      <c r="G164" t="s">
        <v>540</v>
      </c>
      <c r="H164">
        <v>259.2</v>
      </c>
    </row>
    <row r="165" spans="1:8" x14ac:dyDescent="0.25">
      <c r="A165" t="s">
        <v>416</v>
      </c>
      <c r="B165" t="s">
        <v>299</v>
      </c>
      <c r="C165" t="s">
        <v>41</v>
      </c>
      <c r="D165" t="s">
        <v>300</v>
      </c>
      <c r="E165" t="s">
        <v>308</v>
      </c>
      <c r="F165" t="s">
        <v>19</v>
      </c>
      <c r="G165" t="s">
        <v>14</v>
      </c>
      <c r="H165">
        <v>259.2</v>
      </c>
    </row>
    <row r="166" spans="1:8" x14ac:dyDescent="0.25">
      <c r="A166" t="s">
        <v>416</v>
      </c>
      <c r="B166" t="s">
        <v>299</v>
      </c>
      <c r="C166" t="s">
        <v>41</v>
      </c>
      <c r="D166" t="s">
        <v>300</v>
      </c>
      <c r="E166" t="s">
        <v>308</v>
      </c>
      <c r="F166" t="s">
        <v>19</v>
      </c>
      <c r="G166" t="s">
        <v>542</v>
      </c>
      <c r="H166">
        <v>259.2</v>
      </c>
    </row>
    <row r="167" spans="1:8" hidden="1" x14ac:dyDescent="0.25">
      <c r="A167" t="s">
        <v>416</v>
      </c>
      <c r="B167" t="s">
        <v>299</v>
      </c>
      <c r="C167" t="s">
        <v>41</v>
      </c>
      <c r="D167" t="s">
        <v>300</v>
      </c>
      <c r="E167" t="s">
        <v>308</v>
      </c>
      <c r="F167" t="s">
        <v>19</v>
      </c>
      <c r="G167" t="s">
        <v>540</v>
      </c>
      <c r="H167">
        <v>172.8</v>
      </c>
    </row>
    <row r="168" spans="1:8" x14ac:dyDescent="0.25">
      <c r="A168" t="s">
        <v>416</v>
      </c>
      <c r="B168" t="s">
        <v>299</v>
      </c>
      <c r="C168" t="s">
        <v>41</v>
      </c>
      <c r="D168" t="s">
        <v>300</v>
      </c>
      <c r="E168" t="s">
        <v>309</v>
      </c>
      <c r="F168" t="s">
        <v>19</v>
      </c>
      <c r="G168" t="s">
        <v>14</v>
      </c>
      <c r="H168">
        <v>1036.8</v>
      </c>
    </row>
    <row r="169" spans="1:8" x14ac:dyDescent="0.25">
      <c r="A169" t="s">
        <v>416</v>
      </c>
      <c r="B169" t="s">
        <v>299</v>
      </c>
      <c r="C169" t="s">
        <v>41</v>
      </c>
      <c r="D169" t="s">
        <v>300</v>
      </c>
      <c r="E169" t="s">
        <v>309</v>
      </c>
      <c r="F169" t="s">
        <v>19</v>
      </c>
      <c r="G169" t="s">
        <v>542</v>
      </c>
      <c r="H169">
        <v>1036.8</v>
      </c>
    </row>
    <row r="170" spans="1:8" hidden="1" x14ac:dyDescent="0.25">
      <c r="A170" t="s">
        <v>416</v>
      </c>
      <c r="B170" t="s">
        <v>299</v>
      </c>
      <c r="C170" t="s">
        <v>41</v>
      </c>
      <c r="D170" t="s">
        <v>300</v>
      </c>
      <c r="E170" t="s">
        <v>309</v>
      </c>
      <c r="F170" t="s">
        <v>19</v>
      </c>
      <c r="G170" t="s">
        <v>540</v>
      </c>
      <c r="H170">
        <v>691.2</v>
      </c>
    </row>
    <row r="171" spans="1:8" x14ac:dyDescent="0.25">
      <c r="A171" t="s">
        <v>416</v>
      </c>
      <c r="B171" t="s">
        <v>299</v>
      </c>
      <c r="C171" t="s">
        <v>41</v>
      </c>
      <c r="D171" t="s">
        <v>300</v>
      </c>
      <c r="E171" t="s">
        <v>310</v>
      </c>
      <c r="F171" t="s">
        <v>19</v>
      </c>
      <c r="G171" t="s">
        <v>14</v>
      </c>
      <c r="H171">
        <v>432</v>
      </c>
    </row>
    <row r="172" spans="1:8" x14ac:dyDescent="0.25">
      <c r="A172" t="s">
        <v>416</v>
      </c>
      <c r="B172" t="s">
        <v>299</v>
      </c>
      <c r="C172" t="s">
        <v>41</v>
      </c>
      <c r="D172" t="s">
        <v>300</v>
      </c>
      <c r="E172" t="s">
        <v>310</v>
      </c>
      <c r="F172" t="s">
        <v>19</v>
      </c>
      <c r="G172" t="s">
        <v>542</v>
      </c>
      <c r="H172">
        <v>432</v>
      </c>
    </row>
    <row r="173" spans="1:8" hidden="1" x14ac:dyDescent="0.25">
      <c r="A173" t="s">
        <v>416</v>
      </c>
      <c r="B173" t="s">
        <v>299</v>
      </c>
      <c r="C173" t="s">
        <v>41</v>
      </c>
      <c r="D173" t="s">
        <v>300</v>
      </c>
      <c r="E173" t="s">
        <v>310</v>
      </c>
      <c r="F173" t="s">
        <v>19</v>
      </c>
      <c r="G173" t="s">
        <v>540</v>
      </c>
      <c r="H173">
        <v>288</v>
      </c>
    </row>
    <row r="174" spans="1:8" x14ac:dyDescent="0.25">
      <c r="A174" t="s">
        <v>416</v>
      </c>
      <c r="B174" t="s">
        <v>299</v>
      </c>
      <c r="C174" t="s">
        <v>41</v>
      </c>
      <c r="D174" t="s">
        <v>300</v>
      </c>
      <c r="E174" t="s">
        <v>311</v>
      </c>
      <c r="F174" t="s">
        <v>19</v>
      </c>
      <c r="G174" t="s">
        <v>14</v>
      </c>
      <c r="H174">
        <v>129.6</v>
      </c>
    </row>
    <row r="175" spans="1:8" x14ac:dyDescent="0.25">
      <c r="A175" t="s">
        <v>416</v>
      </c>
      <c r="B175" t="s">
        <v>299</v>
      </c>
      <c r="C175" t="s">
        <v>41</v>
      </c>
      <c r="D175" t="s">
        <v>300</v>
      </c>
      <c r="E175" t="s">
        <v>311</v>
      </c>
      <c r="F175" t="s">
        <v>19</v>
      </c>
      <c r="G175" t="s">
        <v>542</v>
      </c>
      <c r="H175">
        <v>129.6</v>
      </c>
    </row>
    <row r="176" spans="1:8" hidden="1" x14ac:dyDescent="0.25">
      <c r="A176" t="s">
        <v>416</v>
      </c>
      <c r="B176" t="s">
        <v>299</v>
      </c>
      <c r="C176" t="s">
        <v>41</v>
      </c>
      <c r="D176" t="s">
        <v>300</v>
      </c>
      <c r="E176" t="s">
        <v>311</v>
      </c>
      <c r="F176" t="s">
        <v>19</v>
      </c>
      <c r="G176" t="s">
        <v>540</v>
      </c>
      <c r="H176">
        <v>86.4</v>
      </c>
    </row>
    <row r="177" spans="1:11" x14ac:dyDescent="0.25">
      <c r="A177" t="s">
        <v>416</v>
      </c>
      <c r="B177" t="s">
        <v>299</v>
      </c>
      <c r="C177" t="s">
        <v>41</v>
      </c>
      <c r="D177" t="s">
        <v>300</v>
      </c>
      <c r="E177" t="s">
        <v>312</v>
      </c>
      <c r="F177" t="s">
        <v>19</v>
      </c>
      <c r="G177" t="s">
        <v>14</v>
      </c>
      <c r="H177">
        <v>216</v>
      </c>
    </row>
    <row r="178" spans="1:11" x14ac:dyDescent="0.25">
      <c r="A178" t="s">
        <v>416</v>
      </c>
      <c r="B178" t="s">
        <v>299</v>
      </c>
      <c r="C178" t="s">
        <v>41</v>
      </c>
      <c r="D178" t="s">
        <v>300</v>
      </c>
      <c r="E178" t="s">
        <v>312</v>
      </c>
      <c r="F178" t="s">
        <v>19</v>
      </c>
      <c r="G178" t="s">
        <v>542</v>
      </c>
      <c r="H178">
        <v>216</v>
      </c>
    </row>
    <row r="179" spans="1:11" hidden="1" x14ac:dyDescent="0.25">
      <c r="A179" t="s">
        <v>416</v>
      </c>
      <c r="B179" t="s">
        <v>299</v>
      </c>
      <c r="C179" t="s">
        <v>41</v>
      </c>
      <c r="D179" t="s">
        <v>300</v>
      </c>
      <c r="E179" t="s">
        <v>312</v>
      </c>
      <c r="F179" t="s">
        <v>19</v>
      </c>
      <c r="G179" t="s">
        <v>540</v>
      </c>
      <c r="H179">
        <v>144</v>
      </c>
    </row>
    <row r="180" spans="1:11" hidden="1" x14ac:dyDescent="0.25">
      <c r="A180" t="s">
        <v>416</v>
      </c>
      <c r="B180" t="s">
        <v>679</v>
      </c>
      <c r="C180" t="s">
        <v>41</v>
      </c>
      <c r="D180" t="s">
        <v>680</v>
      </c>
      <c r="E180" t="s">
        <v>681</v>
      </c>
      <c r="F180" t="s">
        <v>19</v>
      </c>
      <c r="G180" t="s">
        <v>540</v>
      </c>
    </row>
    <row r="181" spans="1:11" hidden="1" x14ac:dyDescent="0.25">
      <c r="A181" t="s">
        <v>416</v>
      </c>
      <c r="B181" t="s">
        <v>694</v>
      </c>
      <c r="C181" t="s">
        <v>41</v>
      </c>
      <c r="D181" t="s">
        <v>680</v>
      </c>
      <c r="E181" t="s">
        <v>695</v>
      </c>
      <c r="F181" t="s">
        <v>19</v>
      </c>
      <c r="G181" t="s">
        <v>540</v>
      </c>
    </row>
    <row r="182" spans="1:11" hidden="1" x14ac:dyDescent="0.25">
      <c r="A182" t="s">
        <v>416</v>
      </c>
      <c r="B182" t="s">
        <v>706</v>
      </c>
      <c r="C182" t="s">
        <v>41</v>
      </c>
      <c r="D182" t="s">
        <v>680</v>
      </c>
      <c r="E182" t="s">
        <v>707</v>
      </c>
      <c r="F182" t="s">
        <v>19</v>
      </c>
      <c r="G182" t="s">
        <v>540</v>
      </c>
    </row>
    <row r="183" spans="1:11" hidden="1" x14ac:dyDescent="0.25">
      <c r="A183" t="s">
        <v>416</v>
      </c>
      <c r="B183" t="s">
        <v>710</v>
      </c>
      <c r="C183" t="s">
        <v>41</v>
      </c>
      <c r="D183" t="s">
        <v>680</v>
      </c>
      <c r="E183" t="s">
        <v>711</v>
      </c>
      <c r="F183" t="s">
        <v>19</v>
      </c>
      <c r="G183" t="s">
        <v>540</v>
      </c>
    </row>
    <row r="184" spans="1:11" hidden="1" x14ac:dyDescent="0.25">
      <c r="A184" t="s">
        <v>416</v>
      </c>
      <c r="B184" t="s">
        <v>716</v>
      </c>
      <c r="C184" t="s">
        <v>41</v>
      </c>
      <c r="D184" t="s">
        <v>680</v>
      </c>
      <c r="E184" t="s">
        <v>717</v>
      </c>
      <c r="F184" t="s">
        <v>19</v>
      </c>
      <c r="G184" t="s">
        <v>540</v>
      </c>
    </row>
    <row r="185" spans="1:11" x14ac:dyDescent="0.25">
      <c r="A185" t="s">
        <v>416</v>
      </c>
      <c r="B185" t="s">
        <v>121</v>
      </c>
      <c r="C185" t="s">
        <v>24</v>
      </c>
      <c r="D185" t="s">
        <v>46</v>
      </c>
      <c r="E185" t="s">
        <v>122</v>
      </c>
      <c r="F185" t="s">
        <v>19</v>
      </c>
      <c r="G185" t="s">
        <v>14</v>
      </c>
      <c r="H185">
        <v>20.8</v>
      </c>
      <c r="I185" t="s">
        <v>523</v>
      </c>
      <c r="J185" t="s">
        <v>520</v>
      </c>
      <c r="K185" t="s">
        <v>494</v>
      </c>
    </row>
    <row r="186" spans="1:11" x14ac:dyDescent="0.25">
      <c r="A186" t="s">
        <v>416</v>
      </c>
      <c r="B186" t="s">
        <v>726</v>
      </c>
      <c r="C186" t="s">
        <v>24</v>
      </c>
      <c r="D186" t="s">
        <v>112</v>
      </c>
      <c r="E186" t="s">
        <v>727</v>
      </c>
      <c r="F186" t="s">
        <v>19</v>
      </c>
      <c r="G186" t="s">
        <v>542</v>
      </c>
    </row>
    <row r="187" spans="1:11" hidden="1" x14ac:dyDescent="0.25">
      <c r="A187" t="s">
        <v>416</v>
      </c>
      <c r="B187" t="s">
        <v>409</v>
      </c>
      <c r="C187" t="s">
        <v>24</v>
      </c>
      <c r="D187" t="s">
        <v>112</v>
      </c>
      <c r="E187" t="s">
        <v>732</v>
      </c>
      <c r="F187" t="s">
        <v>19</v>
      </c>
      <c r="G187" t="s">
        <v>540</v>
      </c>
    </row>
    <row r="188" spans="1:11" x14ac:dyDescent="0.25">
      <c r="A188" t="s">
        <v>416</v>
      </c>
      <c r="B188" t="s">
        <v>70</v>
      </c>
      <c r="C188" t="s">
        <v>11</v>
      </c>
      <c r="D188" t="s">
        <v>71</v>
      </c>
      <c r="E188" t="s">
        <v>72</v>
      </c>
      <c r="F188" t="s">
        <v>9</v>
      </c>
      <c r="G188" t="s">
        <v>542</v>
      </c>
      <c r="H188">
        <v>672</v>
      </c>
      <c r="I188" t="s">
        <v>527</v>
      </c>
      <c r="J188" t="s">
        <v>524</v>
      </c>
      <c r="K188" t="s">
        <v>426</v>
      </c>
    </row>
    <row r="189" spans="1:11" x14ac:dyDescent="0.25">
      <c r="A189" t="s">
        <v>416</v>
      </c>
      <c r="B189" t="s">
        <v>70</v>
      </c>
      <c r="C189" t="s">
        <v>11</v>
      </c>
      <c r="D189" t="s">
        <v>71</v>
      </c>
      <c r="E189" t="s">
        <v>72</v>
      </c>
      <c r="F189" t="s">
        <v>9</v>
      </c>
      <c r="G189" t="s">
        <v>14</v>
      </c>
      <c r="H189">
        <v>72</v>
      </c>
      <c r="I189" t="s">
        <v>527</v>
      </c>
      <c r="J189" t="s">
        <v>524</v>
      </c>
      <c r="K189" t="s">
        <v>426</v>
      </c>
    </row>
    <row r="190" spans="1:11" hidden="1" x14ac:dyDescent="0.25">
      <c r="A190" t="s">
        <v>416</v>
      </c>
      <c r="B190" t="s">
        <v>573</v>
      </c>
      <c r="C190" t="s">
        <v>17</v>
      </c>
      <c r="D190" t="s">
        <v>574</v>
      </c>
      <c r="E190" t="s">
        <v>575</v>
      </c>
      <c r="F190" t="s">
        <v>9</v>
      </c>
      <c r="G190" t="s">
        <v>540</v>
      </c>
      <c r="H190">
        <v>392</v>
      </c>
      <c r="I190" t="s">
        <v>527</v>
      </c>
      <c r="J190" t="s">
        <v>518</v>
      </c>
      <c r="K190" t="s">
        <v>576</v>
      </c>
    </row>
    <row r="191" spans="1:11" x14ac:dyDescent="0.25">
      <c r="A191" t="s">
        <v>416</v>
      </c>
      <c r="B191" t="s">
        <v>573</v>
      </c>
      <c r="C191" t="s">
        <v>17</v>
      </c>
      <c r="D191" t="s">
        <v>574</v>
      </c>
      <c r="E191" t="s">
        <v>575</v>
      </c>
      <c r="F191" t="s">
        <v>9</v>
      </c>
      <c r="G191" t="s">
        <v>542</v>
      </c>
      <c r="H191">
        <v>42</v>
      </c>
      <c r="I191" t="s">
        <v>527</v>
      </c>
      <c r="J191" t="s">
        <v>518</v>
      </c>
      <c r="K191" t="s">
        <v>576</v>
      </c>
    </row>
    <row r="192" spans="1:11" x14ac:dyDescent="0.25">
      <c r="A192" t="s">
        <v>416</v>
      </c>
      <c r="B192" t="s">
        <v>59</v>
      </c>
      <c r="C192" t="s">
        <v>7</v>
      </c>
      <c r="D192" t="s">
        <v>60</v>
      </c>
      <c r="E192" t="s">
        <v>61</v>
      </c>
      <c r="F192" t="s">
        <v>62</v>
      </c>
      <c r="G192" t="s">
        <v>14</v>
      </c>
      <c r="H192">
        <v>2986.9</v>
      </c>
      <c r="I192" t="s">
        <v>523</v>
      </c>
      <c r="J192" t="s">
        <v>520</v>
      </c>
      <c r="K192" t="s">
        <v>460</v>
      </c>
    </row>
    <row r="193" spans="1:11" x14ac:dyDescent="0.25">
      <c r="A193" t="s">
        <v>416</v>
      </c>
      <c r="B193" t="s">
        <v>176</v>
      </c>
      <c r="C193" t="s">
        <v>24</v>
      </c>
      <c r="D193" t="s">
        <v>81</v>
      </c>
      <c r="E193" t="s">
        <v>177</v>
      </c>
      <c r="F193" t="s">
        <v>19</v>
      </c>
      <c r="G193" t="s">
        <v>14</v>
      </c>
      <c r="H193">
        <v>20.8</v>
      </c>
      <c r="I193" t="s">
        <v>527</v>
      </c>
      <c r="J193" t="s">
        <v>518</v>
      </c>
      <c r="K193" t="s">
        <v>477</v>
      </c>
    </row>
    <row r="194" spans="1:11" x14ac:dyDescent="0.25">
      <c r="A194" t="s">
        <v>416</v>
      </c>
      <c r="B194" t="s">
        <v>174</v>
      </c>
      <c r="C194" t="s">
        <v>24</v>
      </c>
      <c r="D194" t="s">
        <v>81</v>
      </c>
      <c r="E194" t="s">
        <v>175</v>
      </c>
      <c r="F194" t="s">
        <v>19</v>
      </c>
      <c r="G194" t="s">
        <v>14</v>
      </c>
      <c r="H194">
        <v>224</v>
      </c>
      <c r="I194" t="s">
        <v>523</v>
      </c>
      <c r="J194" t="s">
        <v>518</v>
      </c>
      <c r="K194" t="s">
        <v>479</v>
      </c>
    </row>
    <row r="195" spans="1:11" x14ac:dyDescent="0.25">
      <c r="A195" t="s">
        <v>416</v>
      </c>
      <c r="B195" t="s">
        <v>80</v>
      </c>
      <c r="C195" t="s">
        <v>24</v>
      </c>
      <c r="D195" t="s">
        <v>81</v>
      </c>
      <c r="E195" t="s">
        <v>82</v>
      </c>
      <c r="F195" t="s">
        <v>19</v>
      </c>
      <c r="G195" t="s">
        <v>542</v>
      </c>
      <c r="H195">
        <v>358.4</v>
      </c>
      <c r="I195" t="s">
        <v>519</v>
      </c>
      <c r="J195" t="s">
        <v>520</v>
      </c>
      <c r="K195" t="s">
        <v>489</v>
      </c>
    </row>
    <row r="196" spans="1:11" x14ac:dyDescent="0.25">
      <c r="A196" t="s">
        <v>416</v>
      </c>
      <c r="B196" t="s">
        <v>178</v>
      </c>
      <c r="C196" t="s">
        <v>24</v>
      </c>
      <c r="D196" t="s">
        <v>46</v>
      </c>
      <c r="E196" t="s">
        <v>179</v>
      </c>
      <c r="F196" t="s">
        <v>19</v>
      </c>
      <c r="G196" t="s">
        <v>14</v>
      </c>
      <c r="H196">
        <v>149.1</v>
      </c>
      <c r="I196" t="s">
        <v>523</v>
      </c>
      <c r="J196" t="s">
        <v>518</v>
      </c>
      <c r="K196" t="s">
        <v>476</v>
      </c>
    </row>
    <row r="197" spans="1:11" x14ac:dyDescent="0.25">
      <c r="A197" t="s">
        <v>416</v>
      </c>
      <c r="B197" t="s">
        <v>176</v>
      </c>
      <c r="C197" t="s">
        <v>24</v>
      </c>
      <c r="D197" t="s">
        <v>81</v>
      </c>
      <c r="E197" t="s">
        <v>177</v>
      </c>
      <c r="F197" t="s">
        <v>19</v>
      </c>
      <c r="G197" t="s">
        <v>542</v>
      </c>
      <c r="H197">
        <v>193.89999999999998</v>
      </c>
      <c r="I197" t="s">
        <v>527</v>
      </c>
      <c r="J197" t="s">
        <v>518</v>
      </c>
      <c r="K197" t="s">
        <v>477</v>
      </c>
    </row>
    <row r="198" spans="1:11" x14ac:dyDescent="0.25">
      <c r="A198" t="s">
        <v>416</v>
      </c>
      <c r="B198" t="s">
        <v>90</v>
      </c>
      <c r="C198" t="s">
        <v>24</v>
      </c>
      <c r="D198" t="s">
        <v>58</v>
      </c>
      <c r="E198" t="s">
        <v>91</v>
      </c>
      <c r="F198" t="s">
        <v>9</v>
      </c>
      <c r="G198" t="s">
        <v>14</v>
      </c>
      <c r="H198">
        <v>80</v>
      </c>
      <c r="I198" t="s">
        <v>527</v>
      </c>
      <c r="J198" t="s">
        <v>518</v>
      </c>
      <c r="K198" t="s">
        <v>432</v>
      </c>
    </row>
    <row r="199" spans="1:11" x14ac:dyDescent="0.25">
      <c r="A199" t="s">
        <v>416</v>
      </c>
      <c r="B199" t="s">
        <v>277</v>
      </c>
      <c r="C199" t="s">
        <v>24</v>
      </c>
      <c r="D199" t="s">
        <v>46</v>
      </c>
      <c r="E199" t="s">
        <v>278</v>
      </c>
      <c r="F199" t="s">
        <v>19</v>
      </c>
      <c r="G199" t="s">
        <v>14</v>
      </c>
      <c r="I199" t="s">
        <v>519</v>
      </c>
      <c r="J199" t="s">
        <v>518</v>
      </c>
      <c r="K199" t="s">
        <v>420</v>
      </c>
    </row>
    <row r="200" spans="1:11" hidden="1" x14ac:dyDescent="0.25">
      <c r="A200" t="s">
        <v>416</v>
      </c>
      <c r="B200" t="s">
        <v>595</v>
      </c>
      <c r="C200" t="s">
        <v>17</v>
      </c>
      <c r="D200" t="s">
        <v>18</v>
      </c>
      <c r="E200" t="s">
        <v>596</v>
      </c>
      <c r="F200" t="s">
        <v>19</v>
      </c>
      <c r="G200" t="s">
        <v>540</v>
      </c>
      <c r="H200">
        <v>130.9</v>
      </c>
      <c r="I200" t="s">
        <v>527</v>
      </c>
      <c r="J200" t="s">
        <v>524</v>
      </c>
      <c r="K200" t="s">
        <v>597</v>
      </c>
    </row>
    <row r="201" spans="1:11" x14ac:dyDescent="0.25">
      <c r="A201" t="s">
        <v>416</v>
      </c>
      <c r="B201" t="s">
        <v>595</v>
      </c>
      <c r="C201" t="s">
        <v>17</v>
      </c>
      <c r="D201" t="s">
        <v>18</v>
      </c>
      <c r="E201" t="s">
        <v>596</v>
      </c>
      <c r="F201" t="s">
        <v>19</v>
      </c>
      <c r="G201" t="s">
        <v>542</v>
      </c>
      <c r="H201">
        <v>14</v>
      </c>
      <c r="I201" t="s">
        <v>527</v>
      </c>
      <c r="J201" t="s">
        <v>524</v>
      </c>
      <c r="K201" t="s">
        <v>597</v>
      </c>
    </row>
    <row r="202" spans="1:11" hidden="1" x14ac:dyDescent="0.25">
      <c r="A202" t="s">
        <v>416</v>
      </c>
      <c r="B202" t="s">
        <v>601</v>
      </c>
      <c r="C202" t="s">
        <v>17</v>
      </c>
      <c r="D202" t="s">
        <v>18</v>
      </c>
      <c r="E202" t="s">
        <v>602</v>
      </c>
      <c r="F202" t="s">
        <v>19</v>
      </c>
      <c r="G202" t="s">
        <v>540</v>
      </c>
      <c r="H202">
        <v>130.9</v>
      </c>
      <c r="I202" t="s">
        <v>527</v>
      </c>
      <c r="J202" t="s">
        <v>524</v>
      </c>
      <c r="K202" t="s">
        <v>603</v>
      </c>
    </row>
    <row r="203" spans="1:11" x14ac:dyDescent="0.25">
      <c r="A203" t="s">
        <v>416</v>
      </c>
      <c r="B203" t="s">
        <v>601</v>
      </c>
      <c r="C203" t="s">
        <v>17</v>
      </c>
      <c r="D203" t="s">
        <v>18</v>
      </c>
      <c r="E203" t="s">
        <v>602</v>
      </c>
      <c r="F203" t="s">
        <v>19</v>
      </c>
      <c r="G203" t="s">
        <v>542</v>
      </c>
      <c r="H203">
        <v>14</v>
      </c>
      <c r="I203" t="s">
        <v>527</v>
      </c>
      <c r="J203" t="s">
        <v>524</v>
      </c>
      <c r="K203" t="s">
        <v>603</v>
      </c>
    </row>
    <row r="204" spans="1:11" x14ac:dyDescent="0.25">
      <c r="A204" t="s">
        <v>416</v>
      </c>
      <c r="B204" t="s">
        <v>33</v>
      </c>
      <c r="C204" t="s">
        <v>17</v>
      </c>
      <c r="D204" t="s">
        <v>18</v>
      </c>
      <c r="E204" t="s">
        <v>410</v>
      </c>
      <c r="F204" t="s">
        <v>9</v>
      </c>
      <c r="G204" t="s">
        <v>542</v>
      </c>
      <c r="H204">
        <v>7.6999999999999993</v>
      </c>
      <c r="I204" t="s">
        <v>519</v>
      </c>
      <c r="J204" t="s">
        <v>522</v>
      </c>
      <c r="K204" t="s">
        <v>500</v>
      </c>
    </row>
    <row r="205" spans="1:11" x14ac:dyDescent="0.25">
      <c r="A205" t="s">
        <v>416</v>
      </c>
      <c r="B205" t="s">
        <v>33</v>
      </c>
      <c r="C205" t="s">
        <v>17</v>
      </c>
      <c r="D205" t="s">
        <v>18</v>
      </c>
      <c r="E205" t="s">
        <v>410</v>
      </c>
      <c r="F205" t="s">
        <v>9</v>
      </c>
      <c r="G205" t="s">
        <v>14</v>
      </c>
      <c r="H205">
        <v>0.8</v>
      </c>
      <c r="I205" t="s">
        <v>519</v>
      </c>
      <c r="J205" t="s">
        <v>522</v>
      </c>
      <c r="K205" t="s">
        <v>500</v>
      </c>
    </row>
    <row r="206" spans="1:11" x14ac:dyDescent="0.25">
      <c r="A206" t="s">
        <v>416</v>
      </c>
      <c r="B206" t="s">
        <v>299</v>
      </c>
      <c r="C206" t="s">
        <v>41</v>
      </c>
      <c r="D206" t="s">
        <v>675</v>
      </c>
      <c r="E206" t="s">
        <v>676</v>
      </c>
      <c r="F206" t="s">
        <v>19</v>
      </c>
      <c r="G206" t="s">
        <v>542</v>
      </c>
      <c r="H206">
        <v>864</v>
      </c>
    </row>
    <row r="207" spans="1:11" hidden="1" x14ac:dyDescent="0.25">
      <c r="A207" t="s">
        <v>416</v>
      </c>
      <c r="B207" t="s">
        <v>299</v>
      </c>
      <c r="C207" t="s">
        <v>41</v>
      </c>
      <c r="D207" t="s">
        <v>675</v>
      </c>
      <c r="E207" t="s">
        <v>676</v>
      </c>
      <c r="F207" t="s">
        <v>19</v>
      </c>
      <c r="G207" t="s">
        <v>540</v>
      </c>
      <c r="H207">
        <v>576</v>
      </c>
    </row>
    <row r="208" spans="1:11" x14ac:dyDescent="0.25">
      <c r="A208" t="s">
        <v>416</v>
      </c>
      <c r="B208" t="s">
        <v>299</v>
      </c>
      <c r="C208" t="s">
        <v>41</v>
      </c>
      <c r="D208" t="s">
        <v>675</v>
      </c>
      <c r="E208" t="s">
        <v>677</v>
      </c>
      <c r="F208" t="s">
        <v>19</v>
      </c>
      <c r="G208" t="s">
        <v>542</v>
      </c>
      <c r="H208">
        <v>1296</v>
      </c>
    </row>
    <row r="209" spans="1:8" hidden="1" x14ac:dyDescent="0.25">
      <c r="A209" t="s">
        <v>416</v>
      </c>
      <c r="B209" t="s">
        <v>299</v>
      </c>
      <c r="C209" t="s">
        <v>41</v>
      </c>
      <c r="D209" t="s">
        <v>675</v>
      </c>
      <c r="E209" t="s">
        <v>677</v>
      </c>
      <c r="F209" t="s">
        <v>19</v>
      </c>
      <c r="G209" t="s">
        <v>540</v>
      </c>
      <c r="H209">
        <v>864</v>
      </c>
    </row>
    <row r="210" spans="1:8" x14ac:dyDescent="0.25">
      <c r="A210" t="s">
        <v>416</v>
      </c>
      <c r="B210" t="s">
        <v>299</v>
      </c>
      <c r="C210" t="s">
        <v>41</v>
      </c>
      <c r="D210" t="s">
        <v>319</v>
      </c>
      <c r="E210" t="s">
        <v>664</v>
      </c>
      <c r="F210" t="s">
        <v>19</v>
      </c>
      <c r="G210" t="s">
        <v>542</v>
      </c>
      <c r="H210">
        <v>2400</v>
      </c>
    </row>
    <row r="211" spans="1:8" hidden="1" x14ac:dyDescent="0.25">
      <c r="A211" t="s">
        <v>416</v>
      </c>
      <c r="B211" t="s">
        <v>299</v>
      </c>
      <c r="C211" t="s">
        <v>41</v>
      </c>
      <c r="D211" t="s">
        <v>319</v>
      </c>
      <c r="E211" t="s">
        <v>664</v>
      </c>
      <c r="F211" t="s">
        <v>19</v>
      </c>
      <c r="G211" t="s">
        <v>540</v>
      </c>
      <c r="H211">
        <v>1600</v>
      </c>
    </row>
    <row r="212" spans="1:8" x14ac:dyDescent="0.25">
      <c r="A212" t="s">
        <v>416</v>
      </c>
      <c r="B212" t="s">
        <v>323</v>
      </c>
      <c r="C212" t="s">
        <v>41</v>
      </c>
      <c r="D212" t="s">
        <v>319</v>
      </c>
      <c r="E212" t="s">
        <v>324</v>
      </c>
      <c r="F212" t="s">
        <v>19</v>
      </c>
      <c r="G212" t="s">
        <v>14</v>
      </c>
      <c r="H212">
        <v>320</v>
      </c>
    </row>
    <row r="213" spans="1:8" x14ac:dyDescent="0.25">
      <c r="A213" t="s">
        <v>416</v>
      </c>
      <c r="B213" t="s">
        <v>325</v>
      </c>
      <c r="C213" t="s">
        <v>41</v>
      </c>
      <c r="D213" t="s">
        <v>319</v>
      </c>
      <c r="E213" t="s">
        <v>326</v>
      </c>
      <c r="F213" t="s">
        <v>19</v>
      </c>
      <c r="G213" t="s">
        <v>14</v>
      </c>
      <c r="H213">
        <v>320</v>
      </c>
    </row>
    <row r="214" spans="1:8" x14ac:dyDescent="0.25">
      <c r="A214" t="s">
        <v>416</v>
      </c>
      <c r="B214" t="s">
        <v>329</v>
      </c>
      <c r="C214" t="s">
        <v>41</v>
      </c>
      <c r="D214" t="s">
        <v>319</v>
      </c>
      <c r="E214" t="s">
        <v>330</v>
      </c>
      <c r="F214" t="s">
        <v>19</v>
      </c>
      <c r="G214" t="s">
        <v>14</v>
      </c>
      <c r="H214">
        <v>80</v>
      </c>
    </row>
    <row r="215" spans="1:8" x14ac:dyDescent="0.25">
      <c r="A215" t="s">
        <v>416</v>
      </c>
      <c r="B215" t="s">
        <v>333</v>
      </c>
      <c r="C215" t="s">
        <v>41</v>
      </c>
      <c r="D215" t="s">
        <v>319</v>
      </c>
      <c r="E215" t="s">
        <v>334</v>
      </c>
      <c r="F215" t="s">
        <v>19</v>
      </c>
      <c r="G215" t="s">
        <v>14</v>
      </c>
      <c r="H215">
        <v>320</v>
      </c>
    </row>
    <row r="216" spans="1:8" x14ac:dyDescent="0.25">
      <c r="A216" t="s">
        <v>416</v>
      </c>
      <c r="B216" t="s">
        <v>335</v>
      </c>
      <c r="C216" t="s">
        <v>41</v>
      </c>
      <c r="D216" t="s">
        <v>319</v>
      </c>
      <c r="E216" t="s">
        <v>336</v>
      </c>
      <c r="F216" t="s">
        <v>19</v>
      </c>
      <c r="G216" t="s">
        <v>14</v>
      </c>
      <c r="H216">
        <v>320</v>
      </c>
    </row>
    <row r="217" spans="1:8" x14ac:dyDescent="0.25">
      <c r="A217" t="s">
        <v>416</v>
      </c>
      <c r="B217" t="s">
        <v>337</v>
      </c>
      <c r="C217" t="s">
        <v>41</v>
      </c>
      <c r="D217" t="s">
        <v>319</v>
      </c>
      <c r="E217" t="s">
        <v>338</v>
      </c>
      <c r="F217" t="s">
        <v>19</v>
      </c>
      <c r="G217" t="s">
        <v>14</v>
      </c>
      <c r="H217">
        <v>320</v>
      </c>
    </row>
    <row r="218" spans="1:8" x14ac:dyDescent="0.25">
      <c r="A218" t="s">
        <v>416</v>
      </c>
      <c r="B218" t="s">
        <v>341</v>
      </c>
      <c r="C218" t="s">
        <v>41</v>
      </c>
      <c r="D218" t="s">
        <v>319</v>
      </c>
      <c r="E218" t="s">
        <v>342</v>
      </c>
      <c r="F218" t="s">
        <v>19</v>
      </c>
      <c r="G218" t="s">
        <v>14</v>
      </c>
      <c r="H218">
        <v>320</v>
      </c>
    </row>
    <row r="219" spans="1:8" x14ac:dyDescent="0.25">
      <c r="A219" t="s">
        <v>416</v>
      </c>
      <c r="B219" t="s">
        <v>347</v>
      </c>
      <c r="C219" t="s">
        <v>41</v>
      </c>
      <c r="D219" t="s">
        <v>319</v>
      </c>
      <c r="E219" t="s">
        <v>348</v>
      </c>
      <c r="F219" t="s">
        <v>19</v>
      </c>
      <c r="G219" t="s">
        <v>14</v>
      </c>
      <c r="H219">
        <v>320</v>
      </c>
    </row>
    <row r="220" spans="1:8" x14ac:dyDescent="0.25">
      <c r="A220" t="s">
        <v>416</v>
      </c>
      <c r="B220" t="s">
        <v>405</v>
      </c>
      <c r="C220" t="s">
        <v>41</v>
      </c>
      <c r="D220" t="s">
        <v>319</v>
      </c>
      <c r="E220" t="s">
        <v>406</v>
      </c>
      <c r="F220" t="s">
        <v>19</v>
      </c>
      <c r="G220" t="s">
        <v>14</v>
      </c>
      <c r="H220">
        <v>320</v>
      </c>
    </row>
    <row r="221" spans="1:8" x14ac:dyDescent="0.25">
      <c r="A221" t="s">
        <v>416</v>
      </c>
      <c r="B221" t="s">
        <v>407</v>
      </c>
      <c r="C221" t="s">
        <v>41</v>
      </c>
      <c r="D221" t="s">
        <v>319</v>
      </c>
      <c r="E221" t="s">
        <v>408</v>
      </c>
      <c r="F221" t="s">
        <v>19</v>
      </c>
      <c r="G221" t="s">
        <v>14</v>
      </c>
      <c r="H221">
        <v>320</v>
      </c>
    </row>
    <row r="222" spans="1:8" x14ac:dyDescent="0.25">
      <c r="A222" t="s">
        <v>416</v>
      </c>
      <c r="B222" t="s">
        <v>314</v>
      </c>
      <c r="C222" t="s">
        <v>41</v>
      </c>
      <c r="D222" t="s">
        <v>315</v>
      </c>
      <c r="E222" t="s">
        <v>316</v>
      </c>
      <c r="F222" t="s">
        <v>19</v>
      </c>
      <c r="G222" t="s">
        <v>14</v>
      </c>
      <c r="H222">
        <v>551</v>
      </c>
    </row>
    <row r="223" spans="1:8" x14ac:dyDescent="0.25">
      <c r="A223" t="s">
        <v>416</v>
      </c>
      <c r="B223" t="s">
        <v>299</v>
      </c>
      <c r="C223" t="s">
        <v>41</v>
      </c>
      <c r="D223" t="s">
        <v>318</v>
      </c>
      <c r="E223" t="s">
        <v>665</v>
      </c>
      <c r="F223" t="s">
        <v>19</v>
      </c>
      <c r="G223" t="s">
        <v>542</v>
      </c>
      <c r="H223">
        <v>560</v>
      </c>
    </row>
    <row r="224" spans="1:8" hidden="1" x14ac:dyDescent="0.25">
      <c r="A224" t="s">
        <v>416</v>
      </c>
      <c r="B224" t="s">
        <v>299</v>
      </c>
      <c r="C224" t="s">
        <v>41</v>
      </c>
      <c r="D224" t="s">
        <v>318</v>
      </c>
      <c r="E224" t="s">
        <v>666</v>
      </c>
      <c r="F224" t="s">
        <v>19</v>
      </c>
      <c r="G224" t="s">
        <v>540</v>
      </c>
      <c r="H224">
        <v>373</v>
      </c>
    </row>
    <row r="225" spans="1:11" x14ac:dyDescent="0.25">
      <c r="A225" t="s">
        <v>416</v>
      </c>
      <c r="B225" t="s">
        <v>698</v>
      </c>
      <c r="C225" t="s">
        <v>41</v>
      </c>
      <c r="D225" t="s">
        <v>318</v>
      </c>
      <c r="E225" t="s">
        <v>699</v>
      </c>
      <c r="F225" t="s">
        <v>19</v>
      </c>
      <c r="G225" t="s">
        <v>542</v>
      </c>
      <c r="H225">
        <v>160</v>
      </c>
    </row>
    <row r="226" spans="1:11" x14ac:dyDescent="0.25">
      <c r="A226" t="s">
        <v>416</v>
      </c>
      <c r="B226" t="s">
        <v>700</v>
      </c>
      <c r="C226" t="s">
        <v>41</v>
      </c>
      <c r="D226" t="s">
        <v>318</v>
      </c>
      <c r="E226" t="s">
        <v>701</v>
      </c>
      <c r="F226" t="s">
        <v>19</v>
      </c>
      <c r="G226" t="s">
        <v>542</v>
      </c>
      <c r="H226">
        <v>16</v>
      </c>
    </row>
    <row r="227" spans="1:11" x14ac:dyDescent="0.25">
      <c r="A227" t="s">
        <v>416</v>
      </c>
      <c r="B227" t="s">
        <v>704</v>
      </c>
      <c r="C227" t="s">
        <v>41</v>
      </c>
      <c r="D227" t="s">
        <v>318</v>
      </c>
      <c r="E227" t="s">
        <v>705</v>
      </c>
      <c r="F227" t="s">
        <v>19</v>
      </c>
      <c r="G227" t="s">
        <v>542</v>
      </c>
      <c r="H227">
        <v>160</v>
      </c>
    </row>
    <row r="228" spans="1:11" x14ac:dyDescent="0.25">
      <c r="A228" t="s">
        <v>416</v>
      </c>
      <c r="B228" t="s">
        <v>331</v>
      </c>
      <c r="C228" t="s">
        <v>41</v>
      </c>
      <c r="D228" t="s">
        <v>318</v>
      </c>
      <c r="E228" t="s">
        <v>332</v>
      </c>
      <c r="F228" t="s">
        <v>19</v>
      </c>
      <c r="G228" t="s">
        <v>14</v>
      </c>
      <c r="H228">
        <v>80</v>
      </c>
    </row>
    <row r="229" spans="1:11" x14ac:dyDescent="0.25">
      <c r="A229" t="s">
        <v>416</v>
      </c>
      <c r="B229" t="s">
        <v>353</v>
      </c>
      <c r="C229" t="s">
        <v>41</v>
      </c>
      <c r="D229" t="s">
        <v>318</v>
      </c>
      <c r="E229" t="s">
        <v>354</v>
      </c>
      <c r="F229" t="s">
        <v>19</v>
      </c>
      <c r="G229" t="s">
        <v>14</v>
      </c>
      <c r="H229">
        <v>160</v>
      </c>
    </row>
    <row r="230" spans="1:11" x14ac:dyDescent="0.25">
      <c r="A230" t="s">
        <v>416</v>
      </c>
      <c r="B230" t="s">
        <v>355</v>
      </c>
      <c r="C230" t="s">
        <v>41</v>
      </c>
      <c r="D230" t="s">
        <v>318</v>
      </c>
      <c r="E230" t="s">
        <v>356</v>
      </c>
      <c r="F230" t="s">
        <v>19</v>
      </c>
      <c r="G230" t="s">
        <v>14</v>
      </c>
      <c r="H230">
        <v>320</v>
      </c>
    </row>
    <row r="231" spans="1:11" x14ac:dyDescent="0.25">
      <c r="A231" t="s">
        <v>416</v>
      </c>
      <c r="B231" t="s">
        <v>180</v>
      </c>
      <c r="C231" t="s">
        <v>11</v>
      </c>
      <c r="D231" t="s">
        <v>29</v>
      </c>
      <c r="E231" t="s">
        <v>181</v>
      </c>
      <c r="F231" t="s">
        <v>9</v>
      </c>
      <c r="G231" t="s">
        <v>14</v>
      </c>
      <c r="H231">
        <v>522.9</v>
      </c>
      <c r="I231" t="s">
        <v>519</v>
      </c>
      <c r="J231" t="s">
        <v>521</v>
      </c>
      <c r="K231" t="s">
        <v>474</v>
      </c>
    </row>
    <row r="232" spans="1:11" x14ac:dyDescent="0.25">
      <c r="A232" t="s">
        <v>416</v>
      </c>
      <c r="B232" t="s">
        <v>28</v>
      </c>
      <c r="C232" t="s">
        <v>11</v>
      </c>
      <c r="D232" t="s">
        <v>29</v>
      </c>
      <c r="E232" t="s">
        <v>30</v>
      </c>
      <c r="F232" t="s">
        <v>9</v>
      </c>
      <c r="G232" t="s">
        <v>542</v>
      </c>
      <c r="H232">
        <v>392</v>
      </c>
      <c r="I232" t="s">
        <v>527</v>
      </c>
      <c r="J232" t="s">
        <v>520</v>
      </c>
      <c r="K232" t="s">
        <v>502</v>
      </c>
    </row>
    <row r="233" spans="1:11" x14ac:dyDescent="0.25">
      <c r="A233" t="s">
        <v>416</v>
      </c>
      <c r="B233" t="s">
        <v>28</v>
      </c>
      <c r="C233" t="s">
        <v>11</v>
      </c>
      <c r="D233" t="s">
        <v>29</v>
      </c>
      <c r="E233" t="s">
        <v>30</v>
      </c>
      <c r="F233" t="s">
        <v>9</v>
      </c>
      <c r="G233" t="s">
        <v>14</v>
      </c>
      <c r="H233">
        <v>42</v>
      </c>
      <c r="I233" t="s">
        <v>527</v>
      </c>
      <c r="J233" t="s">
        <v>520</v>
      </c>
      <c r="K233" t="s">
        <v>502</v>
      </c>
    </row>
    <row r="234" spans="1:11" x14ac:dyDescent="0.25">
      <c r="A234" t="s">
        <v>416</v>
      </c>
      <c r="B234" t="s">
        <v>31</v>
      </c>
      <c r="C234" t="s">
        <v>11</v>
      </c>
      <c r="D234" t="s">
        <v>29</v>
      </c>
      <c r="E234" t="s">
        <v>32</v>
      </c>
      <c r="F234" t="s">
        <v>9</v>
      </c>
      <c r="G234" t="s">
        <v>542</v>
      </c>
      <c r="H234">
        <v>392</v>
      </c>
      <c r="I234" t="s">
        <v>527</v>
      </c>
      <c r="J234" t="s">
        <v>520</v>
      </c>
      <c r="K234" t="s">
        <v>501</v>
      </c>
    </row>
    <row r="235" spans="1:11" x14ac:dyDescent="0.25">
      <c r="A235" t="s">
        <v>416</v>
      </c>
      <c r="B235" t="s">
        <v>31</v>
      </c>
      <c r="C235" t="s">
        <v>11</v>
      </c>
      <c r="D235" t="s">
        <v>29</v>
      </c>
      <c r="E235" t="s">
        <v>32</v>
      </c>
      <c r="F235" t="s">
        <v>9</v>
      </c>
      <c r="G235" t="s">
        <v>14</v>
      </c>
      <c r="H235">
        <v>42</v>
      </c>
      <c r="I235" t="s">
        <v>527</v>
      </c>
      <c r="J235" t="s">
        <v>520</v>
      </c>
      <c r="K235" t="s">
        <v>501</v>
      </c>
    </row>
    <row r="236" spans="1:11" hidden="1" x14ac:dyDescent="0.25">
      <c r="A236" t="s">
        <v>416</v>
      </c>
      <c r="B236" t="s">
        <v>643</v>
      </c>
      <c r="C236" t="s">
        <v>11</v>
      </c>
      <c r="D236" t="s">
        <v>29</v>
      </c>
      <c r="E236" t="s">
        <v>644</v>
      </c>
      <c r="F236" t="s">
        <v>19</v>
      </c>
      <c r="G236" t="s">
        <v>540</v>
      </c>
      <c r="H236">
        <v>746.9</v>
      </c>
      <c r="I236" t="s">
        <v>527</v>
      </c>
      <c r="J236" t="s">
        <v>524</v>
      </c>
      <c r="K236" t="s">
        <v>645</v>
      </c>
    </row>
    <row r="237" spans="1:11" x14ac:dyDescent="0.25">
      <c r="A237" t="s">
        <v>416</v>
      </c>
      <c r="B237" t="s">
        <v>643</v>
      </c>
      <c r="C237" t="s">
        <v>11</v>
      </c>
      <c r="D237" t="s">
        <v>29</v>
      </c>
      <c r="E237" t="s">
        <v>644</v>
      </c>
      <c r="F237" t="s">
        <v>19</v>
      </c>
      <c r="G237" t="s">
        <v>542</v>
      </c>
      <c r="H237">
        <v>80</v>
      </c>
      <c r="I237" t="s">
        <v>527</v>
      </c>
      <c r="J237" t="s">
        <v>524</v>
      </c>
      <c r="K237" t="s">
        <v>645</v>
      </c>
    </row>
    <row r="238" spans="1:11" x14ac:dyDescent="0.25">
      <c r="A238" t="s">
        <v>416</v>
      </c>
      <c r="B238" t="s">
        <v>150</v>
      </c>
      <c r="C238" t="s">
        <v>7</v>
      </c>
      <c r="D238" t="s">
        <v>8</v>
      </c>
      <c r="E238" t="s">
        <v>151</v>
      </c>
      <c r="F238" t="s">
        <v>9</v>
      </c>
      <c r="G238" t="s">
        <v>14</v>
      </c>
      <c r="H238">
        <v>746.9</v>
      </c>
      <c r="I238" t="s">
        <v>519</v>
      </c>
      <c r="J238" t="s">
        <v>521</v>
      </c>
      <c r="K238" t="s">
        <v>483</v>
      </c>
    </row>
    <row r="239" spans="1:11" x14ac:dyDescent="0.25">
      <c r="A239" t="s">
        <v>416</v>
      </c>
      <c r="B239" t="s">
        <v>156</v>
      </c>
      <c r="C239" t="s">
        <v>7</v>
      </c>
      <c r="D239" t="s">
        <v>8</v>
      </c>
      <c r="E239" t="s">
        <v>157</v>
      </c>
      <c r="F239" t="s">
        <v>9</v>
      </c>
      <c r="G239" t="s">
        <v>14</v>
      </c>
      <c r="H239">
        <v>896</v>
      </c>
      <c r="I239" t="s">
        <v>519</v>
      </c>
      <c r="J239" t="s">
        <v>526</v>
      </c>
      <c r="K239" t="s">
        <v>485</v>
      </c>
    </row>
    <row r="240" spans="1:11" x14ac:dyDescent="0.25">
      <c r="A240" t="s">
        <v>416</v>
      </c>
      <c r="B240" t="s">
        <v>162</v>
      </c>
      <c r="C240" t="s">
        <v>7</v>
      </c>
      <c r="D240" t="s">
        <v>8</v>
      </c>
      <c r="E240" t="s">
        <v>163</v>
      </c>
      <c r="F240" t="s">
        <v>9</v>
      </c>
      <c r="G240" t="s">
        <v>14</v>
      </c>
      <c r="H240">
        <v>746.9</v>
      </c>
      <c r="I240" t="s">
        <v>519</v>
      </c>
      <c r="J240" t="s">
        <v>520</v>
      </c>
      <c r="K240" t="s">
        <v>632</v>
      </c>
    </row>
    <row r="241" spans="1:11" x14ac:dyDescent="0.25">
      <c r="A241" t="s">
        <v>416</v>
      </c>
      <c r="B241" t="s">
        <v>299</v>
      </c>
      <c r="C241" t="s">
        <v>41</v>
      </c>
      <c r="D241" t="s">
        <v>313</v>
      </c>
      <c r="E241" t="s">
        <v>662</v>
      </c>
      <c r="F241" t="s">
        <v>19</v>
      </c>
      <c r="G241" t="s">
        <v>542</v>
      </c>
      <c r="H241">
        <v>432</v>
      </c>
    </row>
    <row r="242" spans="1:11" hidden="1" x14ac:dyDescent="0.25">
      <c r="A242" t="s">
        <v>416</v>
      </c>
      <c r="B242" t="s">
        <v>299</v>
      </c>
      <c r="C242" t="s">
        <v>41</v>
      </c>
      <c r="D242" t="s">
        <v>313</v>
      </c>
      <c r="E242" t="s">
        <v>663</v>
      </c>
      <c r="F242" t="s">
        <v>19</v>
      </c>
      <c r="G242" t="s">
        <v>540</v>
      </c>
      <c r="H242">
        <v>432</v>
      </c>
    </row>
    <row r="243" spans="1:11" x14ac:dyDescent="0.25">
      <c r="A243" t="s">
        <v>416</v>
      </c>
      <c r="B243" t="s">
        <v>299</v>
      </c>
      <c r="C243" t="s">
        <v>41</v>
      </c>
      <c r="D243" t="s">
        <v>313</v>
      </c>
      <c r="E243" t="s">
        <v>671</v>
      </c>
      <c r="F243" t="s">
        <v>19</v>
      </c>
      <c r="G243" t="s">
        <v>542</v>
      </c>
      <c r="H243">
        <v>400</v>
      </c>
    </row>
    <row r="244" spans="1:11" hidden="1" x14ac:dyDescent="0.25">
      <c r="A244" t="s">
        <v>416</v>
      </c>
      <c r="B244" t="s">
        <v>299</v>
      </c>
      <c r="C244" t="s">
        <v>41</v>
      </c>
      <c r="D244" t="s">
        <v>313</v>
      </c>
      <c r="E244" t="s">
        <v>672</v>
      </c>
      <c r="F244" t="s">
        <v>19</v>
      </c>
      <c r="G244" t="s">
        <v>540</v>
      </c>
      <c r="H244">
        <v>320</v>
      </c>
    </row>
    <row r="245" spans="1:11" x14ac:dyDescent="0.25">
      <c r="A245" t="s">
        <v>416</v>
      </c>
      <c r="B245" t="s">
        <v>696</v>
      </c>
      <c r="C245" t="s">
        <v>41</v>
      </c>
      <c r="D245" t="s">
        <v>313</v>
      </c>
      <c r="E245" t="s">
        <v>697</v>
      </c>
      <c r="F245" t="s">
        <v>19</v>
      </c>
      <c r="G245" t="s">
        <v>542</v>
      </c>
    </row>
    <row r="246" spans="1:11" x14ac:dyDescent="0.25">
      <c r="A246" t="s">
        <v>416</v>
      </c>
      <c r="B246" t="s">
        <v>702</v>
      </c>
      <c r="C246" t="s">
        <v>41</v>
      </c>
      <c r="D246" t="s">
        <v>313</v>
      </c>
      <c r="E246" t="s">
        <v>703</v>
      </c>
      <c r="F246" t="s">
        <v>19</v>
      </c>
      <c r="G246" t="s">
        <v>542</v>
      </c>
    </row>
    <row r="247" spans="1:11" x14ac:dyDescent="0.25">
      <c r="A247" t="s">
        <v>416</v>
      </c>
      <c r="B247" t="s">
        <v>343</v>
      </c>
      <c r="C247" t="s">
        <v>41</v>
      </c>
      <c r="D247" t="s">
        <v>313</v>
      </c>
      <c r="E247" t="s">
        <v>344</v>
      </c>
      <c r="F247" t="s">
        <v>19</v>
      </c>
      <c r="G247" t="s">
        <v>14</v>
      </c>
      <c r="H247">
        <v>80</v>
      </c>
    </row>
    <row r="248" spans="1:11" x14ac:dyDescent="0.25">
      <c r="A248" t="s">
        <v>416</v>
      </c>
      <c r="B248" t="s">
        <v>345</v>
      </c>
      <c r="C248" t="s">
        <v>41</v>
      </c>
      <c r="D248" t="s">
        <v>313</v>
      </c>
      <c r="E248" t="s">
        <v>346</v>
      </c>
      <c r="F248" t="s">
        <v>19</v>
      </c>
      <c r="G248" t="s">
        <v>14</v>
      </c>
      <c r="H248">
        <v>320</v>
      </c>
    </row>
    <row r="249" spans="1:11" x14ac:dyDescent="0.25">
      <c r="A249" t="s">
        <v>416</v>
      </c>
      <c r="B249" t="s">
        <v>357</v>
      </c>
      <c r="C249" t="s">
        <v>41</v>
      </c>
      <c r="D249" t="s">
        <v>313</v>
      </c>
      <c r="E249" t="s">
        <v>358</v>
      </c>
      <c r="F249" t="s">
        <v>19</v>
      </c>
      <c r="G249" t="s">
        <v>14</v>
      </c>
      <c r="H249">
        <v>720</v>
      </c>
    </row>
    <row r="250" spans="1:11" hidden="1" x14ac:dyDescent="0.25">
      <c r="A250" t="s">
        <v>416</v>
      </c>
      <c r="B250" t="s">
        <v>730</v>
      </c>
      <c r="C250" t="s">
        <v>41</v>
      </c>
      <c r="D250" t="s">
        <v>313</v>
      </c>
      <c r="E250" t="s">
        <v>731</v>
      </c>
      <c r="F250" t="s">
        <v>19</v>
      </c>
      <c r="G250" t="s">
        <v>540</v>
      </c>
    </row>
    <row r="251" spans="1:11" x14ac:dyDescent="0.25">
      <c r="A251" t="s">
        <v>416</v>
      </c>
      <c r="B251" t="s">
        <v>263</v>
      </c>
      <c r="C251" t="s">
        <v>24</v>
      </c>
      <c r="D251" t="s">
        <v>46</v>
      </c>
      <c r="E251" t="s">
        <v>264</v>
      </c>
      <c r="F251" t="s">
        <v>19</v>
      </c>
      <c r="G251" t="s">
        <v>14</v>
      </c>
      <c r="I251" t="s">
        <v>519</v>
      </c>
      <c r="J251" t="s">
        <v>518</v>
      </c>
      <c r="K251" t="s">
        <v>420</v>
      </c>
    </row>
    <row r="252" spans="1:11" x14ac:dyDescent="0.25">
      <c r="A252" t="s">
        <v>416</v>
      </c>
      <c r="B252" t="s">
        <v>283</v>
      </c>
      <c r="C252" t="s">
        <v>24</v>
      </c>
      <c r="D252" t="s">
        <v>46</v>
      </c>
      <c r="E252" t="s">
        <v>284</v>
      </c>
      <c r="F252" t="s">
        <v>19</v>
      </c>
      <c r="G252" t="s">
        <v>14</v>
      </c>
      <c r="I252" t="s">
        <v>519</v>
      </c>
      <c r="J252" t="s">
        <v>518</v>
      </c>
      <c r="K252" t="s">
        <v>420</v>
      </c>
    </row>
    <row r="253" spans="1:11" hidden="1" x14ac:dyDescent="0.25">
      <c r="A253" t="s">
        <v>416</v>
      </c>
      <c r="B253" t="s">
        <v>650</v>
      </c>
      <c r="C253" t="s">
        <v>24</v>
      </c>
      <c r="D253" t="s">
        <v>27</v>
      </c>
      <c r="E253" t="s">
        <v>651</v>
      </c>
      <c r="F253" t="s">
        <v>9</v>
      </c>
      <c r="G253" t="s">
        <v>540</v>
      </c>
      <c r="H253">
        <v>130.9</v>
      </c>
      <c r="I253" t="s">
        <v>527</v>
      </c>
      <c r="J253" t="s">
        <v>518</v>
      </c>
      <c r="K253" t="s">
        <v>652</v>
      </c>
    </row>
    <row r="254" spans="1:11" x14ac:dyDescent="0.25">
      <c r="A254" t="s">
        <v>416</v>
      </c>
      <c r="B254" t="s">
        <v>650</v>
      </c>
      <c r="C254" t="s">
        <v>24</v>
      </c>
      <c r="D254" t="s">
        <v>27</v>
      </c>
      <c r="E254" t="s">
        <v>651</v>
      </c>
      <c r="F254" t="s">
        <v>9</v>
      </c>
      <c r="G254" t="s">
        <v>542</v>
      </c>
      <c r="H254">
        <v>14</v>
      </c>
      <c r="I254" t="s">
        <v>527</v>
      </c>
      <c r="J254" t="s">
        <v>518</v>
      </c>
      <c r="K254" t="s">
        <v>652</v>
      </c>
    </row>
    <row r="255" spans="1:11" x14ac:dyDescent="0.25">
      <c r="A255" t="s">
        <v>416</v>
      </c>
      <c r="B255" t="s">
        <v>279</v>
      </c>
      <c r="C255" t="s">
        <v>24</v>
      </c>
      <c r="D255" t="s">
        <v>46</v>
      </c>
      <c r="E255" t="s">
        <v>280</v>
      </c>
      <c r="F255" t="s">
        <v>19</v>
      </c>
      <c r="G255" t="s">
        <v>14</v>
      </c>
      <c r="I255" t="s">
        <v>519</v>
      </c>
      <c r="J255" t="s">
        <v>518</v>
      </c>
      <c r="K255" t="s">
        <v>420</v>
      </c>
    </row>
    <row r="256" spans="1:11" x14ac:dyDescent="0.25">
      <c r="A256" t="s">
        <v>416</v>
      </c>
      <c r="B256" t="s">
        <v>227</v>
      </c>
      <c r="C256" t="s">
        <v>24</v>
      </c>
      <c r="D256" t="s">
        <v>46</v>
      </c>
      <c r="E256" t="s">
        <v>228</v>
      </c>
      <c r="F256" t="s">
        <v>19</v>
      </c>
      <c r="G256" t="s">
        <v>14</v>
      </c>
      <c r="I256" t="s">
        <v>519</v>
      </c>
      <c r="J256" t="s">
        <v>518</v>
      </c>
      <c r="K256" t="s">
        <v>420</v>
      </c>
    </row>
    <row r="257" spans="1:11" x14ac:dyDescent="0.25">
      <c r="A257" t="s">
        <v>416</v>
      </c>
      <c r="B257" t="s">
        <v>261</v>
      </c>
      <c r="C257" t="s">
        <v>24</v>
      </c>
      <c r="D257" t="s">
        <v>46</v>
      </c>
      <c r="E257" t="s">
        <v>262</v>
      </c>
      <c r="F257" t="s">
        <v>19</v>
      </c>
      <c r="G257" t="s">
        <v>14</v>
      </c>
      <c r="I257" t="s">
        <v>519</v>
      </c>
      <c r="J257" t="s">
        <v>518</v>
      </c>
      <c r="K257" t="s">
        <v>420</v>
      </c>
    </row>
    <row r="258" spans="1:11" x14ac:dyDescent="0.25">
      <c r="A258" t="s">
        <v>416</v>
      </c>
      <c r="B258" t="s">
        <v>73</v>
      </c>
      <c r="C258" t="s">
        <v>24</v>
      </c>
      <c r="D258" t="s">
        <v>38</v>
      </c>
      <c r="E258" t="s">
        <v>74</v>
      </c>
      <c r="F258" t="s">
        <v>9</v>
      </c>
      <c r="G258" t="s">
        <v>542</v>
      </c>
      <c r="H258">
        <v>1232</v>
      </c>
      <c r="I258" t="s">
        <v>519</v>
      </c>
      <c r="J258" t="s">
        <v>518</v>
      </c>
      <c r="K258" t="s">
        <v>427</v>
      </c>
    </row>
    <row r="259" spans="1:11" x14ac:dyDescent="0.25">
      <c r="A259" t="s">
        <v>416</v>
      </c>
      <c r="B259" t="s">
        <v>257</v>
      </c>
      <c r="C259" t="s">
        <v>24</v>
      </c>
      <c r="D259" t="s">
        <v>46</v>
      </c>
      <c r="E259" t="s">
        <v>258</v>
      </c>
      <c r="F259" t="s">
        <v>19</v>
      </c>
      <c r="G259" t="s">
        <v>14</v>
      </c>
      <c r="I259" t="s">
        <v>519</v>
      </c>
      <c r="J259" t="s">
        <v>518</v>
      </c>
      <c r="K259" t="s">
        <v>420</v>
      </c>
    </row>
    <row r="260" spans="1:11" x14ac:dyDescent="0.25">
      <c r="A260" t="s">
        <v>416</v>
      </c>
      <c r="B260" t="s">
        <v>78</v>
      </c>
      <c r="C260" t="s">
        <v>24</v>
      </c>
      <c r="D260" t="s">
        <v>38</v>
      </c>
      <c r="E260" t="s">
        <v>79</v>
      </c>
      <c r="F260" t="s">
        <v>9</v>
      </c>
      <c r="G260" t="s">
        <v>542</v>
      </c>
      <c r="H260">
        <v>392</v>
      </c>
      <c r="I260" t="s">
        <v>523</v>
      </c>
      <c r="J260" t="s">
        <v>518</v>
      </c>
      <c r="K260" t="s">
        <v>429</v>
      </c>
    </row>
    <row r="261" spans="1:11" x14ac:dyDescent="0.25">
      <c r="A261" t="s">
        <v>416</v>
      </c>
      <c r="B261" t="s">
        <v>259</v>
      </c>
      <c r="C261" t="s">
        <v>24</v>
      </c>
      <c r="D261" t="s">
        <v>46</v>
      </c>
      <c r="E261" t="s">
        <v>260</v>
      </c>
      <c r="F261" t="s">
        <v>19</v>
      </c>
      <c r="G261" t="s">
        <v>14</v>
      </c>
      <c r="I261" t="s">
        <v>519</v>
      </c>
      <c r="J261" t="s">
        <v>518</v>
      </c>
      <c r="K261" t="s">
        <v>420</v>
      </c>
    </row>
    <row r="262" spans="1:11" x14ac:dyDescent="0.25">
      <c r="A262" t="s">
        <v>416</v>
      </c>
      <c r="B262" t="s">
        <v>211</v>
      </c>
      <c r="C262" t="s">
        <v>24</v>
      </c>
      <c r="D262" t="s">
        <v>38</v>
      </c>
      <c r="E262" t="s">
        <v>212</v>
      </c>
      <c r="F262" t="s">
        <v>19</v>
      </c>
      <c r="G262" t="s">
        <v>542</v>
      </c>
      <c r="H262">
        <v>395.5</v>
      </c>
      <c r="I262" t="s">
        <v>527</v>
      </c>
      <c r="J262" t="s">
        <v>518</v>
      </c>
      <c r="K262" t="s">
        <v>453</v>
      </c>
    </row>
    <row r="263" spans="1:11" x14ac:dyDescent="0.25">
      <c r="A263" t="s">
        <v>416</v>
      </c>
      <c r="B263" t="s">
        <v>119</v>
      </c>
      <c r="C263" t="s">
        <v>24</v>
      </c>
      <c r="D263" t="s">
        <v>46</v>
      </c>
      <c r="E263" t="s">
        <v>120</v>
      </c>
      <c r="F263" t="s">
        <v>19</v>
      </c>
      <c r="G263" t="s">
        <v>14</v>
      </c>
      <c r="H263">
        <v>48</v>
      </c>
      <c r="I263" t="s">
        <v>527</v>
      </c>
      <c r="J263" t="s">
        <v>518</v>
      </c>
      <c r="K263" t="s">
        <v>496</v>
      </c>
    </row>
    <row r="264" spans="1:11" x14ac:dyDescent="0.25">
      <c r="A264" t="s">
        <v>416</v>
      </c>
      <c r="B264" t="s">
        <v>40</v>
      </c>
      <c r="C264" t="s">
        <v>41</v>
      </c>
      <c r="D264" t="s">
        <v>38</v>
      </c>
      <c r="E264" t="s">
        <v>42</v>
      </c>
      <c r="F264" t="s">
        <v>19</v>
      </c>
      <c r="G264" t="s">
        <v>542</v>
      </c>
      <c r="H264">
        <v>746.9</v>
      </c>
      <c r="I264" t="s">
        <v>519</v>
      </c>
      <c r="J264" t="s">
        <v>522</v>
      </c>
      <c r="K264" t="s">
        <v>440</v>
      </c>
    </row>
    <row r="265" spans="1:11" x14ac:dyDescent="0.25">
      <c r="A265" t="s">
        <v>416</v>
      </c>
      <c r="B265" t="s">
        <v>40</v>
      </c>
      <c r="C265" t="s">
        <v>41</v>
      </c>
      <c r="D265" t="s">
        <v>38</v>
      </c>
      <c r="E265" t="s">
        <v>42</v>
      </c>
      <c r="F265" t="s">
        <v>19</v>
      </c>
      <c r="G265" t="s">
        <v>14</v>
      </c>
      <c r="H265">
        <v>80</v>
      </c>
      <c r="I265" t="s">
        <v>519</v>
      </c>
      <c r="J265" t="s">
        <v>522</v>
      </c>
      <c r="K265" t="s">
        <v>440</v>
      </c>
    </row>
    <row r="266" spans="1:11" x14ac:dyDescent="0.25">
      <c r="A266" t="s">
        <v>416</v>
      </c>
      <c r="B266" t="s">
        <v>100</v>
      </c>
      <c r="C266" t="s">
        <v>24</v>
      </c>
      <c r="D266" t="s">
        <v>46</v>
      </c>
      <c r="E266" t="s">
        <v>101</v>
      </c>
      <c r="F266" t="s">
        <v>19</v>
      </c>
      <c r="G266" t="s">
        <v>14</v>
      </c>
      <c r="H266">
        <v>373.1</v>
      </c>
      <c r="I266" t="s">
        <v>519</v>
      </c>
      <c r="J266" t="s">
        <v>521</v>
      </c>
      <c r="K266" t="s">
        <v>495</v>
      </c>
    </row>
    <row r="267" spans="1:11" x14ac:dyDescent="0.25">
      <c r="A267" t="s">
        <v>416</v>
      </c>
      <c r="B267" t="s">
        <v>299</v>
      </c>
      <c r="C267" t="s">
        <v>41</v>
      </c>
      <c r="D267" t="s">
        <v>38</v>
      </c>
      <c r="E267" t="s">
        <v>669</v>
      </c>
      <c r="F267" t="s">
        <v>19</v>
      </c>
      <c r="G267" t="s">
        <v>542</v>
      </c>
      <c r="H267">
        <v>480</v>
      </c>
    </row>
    <row r="268" spans="1:11" hidden="1" x14ac:dyDescent="0.25">
      <c r="A268" t="s">
        <v>416</v>
      </c>
      <c r="B268" t="s">
        <v>299</v>
      </c>
      <c r="C268" t="s">
        <v>41</v>
      </c>
      <c r="D268" t="s">
        <v>38</v>
      </c>
      <c r="E268" t="s">
        <v>670</v>
      </c>
      <c r="F268" t="s">
        <v>19</v>
      </c>
      <c r="G268" t="s">
        <v>540</v>
      </c>
      <c r="H268">
        <v>480</v>
      </c>
    </row>
    <row r="269" spans="1:11" x14ac:dyDescent="0.25">
      <c r="A269" t="s">
        <v>416</v>
      </c>
      <c r="B269" t="s">
        <v>359</v>
      </c>
      <c r="C269" t="s">
        <v>41</v>
      </c>
      <c r="D269" t="s">
        <v>38</v>
      </c>
      <c r="E269" t="s">
        <v>360</v>
      </c>
      <c r="F269" t="s">
        <v>9</v>
      </c>
      <c r="G269" t="s">
        <v>14</v>
      </c>
      <c r="H269">
        <v>480</v>
      </c>
    </row>
    <row r="270" spans="1:11" x14ac:dyDescent="0.25">
      <c r="A270" t="s">
        <v>416</v>
      </c>
      <c r="B270" t="s">
        <v>20</v>
      </c>
      <c r="C270" t="s">
        <v>17</v>
      </c>
      <c r="D270" t="s">
        <v>21</v>
      </c>
      <c r="E270" t="s">
        <v>22</v>
      </c>
      <c r="F270" t="s">
        <v>19</v>
      </c>
      <c r="G270" t="s">
        <v>542</v>
      </c>
      <c r="H270">
        <v>74.900000000000006</v>
      </c>
      <c r="I270" t="s">
        <v>527</v>
      </c>
      <c r="J270" t="s">
        <v>520</v>
      </c>
      <c r="K270" t="s">
        <v>504</v>
      </c>
    </row>
    <row r="271" spans="1:11" x14ac:dyDescent="0.25">
      <c r="A271" t="s">
        <v>416</v>
      </c>
      <c r="B271" t="s">
        <v>20</v>
      </c>
      <c r="C271" t="s">
        <v>17</v>
      </c>
      <c r="D271" t="s">
        <v>21</v>
      </c>
      <c r="E271" t="s">
        <v>22</v>
      </c>
      <c r="F271" t="s">
        <v>19</v>
      </c>
      <c r="G271" t="s">
        <v>14</v>
      </c>
      <c r="H271">
        <v>8</v>
      </c>
      <c r="I271" t="s">
        <v>527</v>
      </c>
      <c r="J271" t="s">
        <v>520</v>
      </c>
      <c r="K271" t="s">
        <v>504</v>
      </c>
    </row>
    <row r="272" spans="1:11" x14ac:dyDescent="0.25">
      <c r="A272" t="s">
        <v>416</v>
      </c>
      <c r="B272" t="s">
        <v>289</v>
      </c>
      <c r="C272" t="s">
        <v>17</v>
      </c>
      <c r="D272" t="s">
        <v>44</v>
      </c>
      <c r="E272" t="s">
        <v>290</v>
      </c>
      <c r="F272" t="s">
        <v>19</v>
      </c>
      <c r="G272" t="s">
        <v>542</v>
      </c>
      <c r="H272">
        <v>392</v>
      </c>
      <c r="I272" t="s">
        <v>527</v>
      </c>
      <c r="J272" t="s">
        <v>518</v>
      </c>
      <c r="K272" t="s">
        <v>507</v>
      </c>
    </row>
    <row r="273" spans="1:11" x14ac:dyDescent="0.25">
      <c r="A273" t="s">
        <v>416</v>
      </c>
      <c r="B273" t="s">
        <v>289</v>
      </c>
      <c r="C273" t="s">
        <v>17</v>
      </c>
      <c r="D273" t="s">
        <v>44</v>
      </c>
      <c r="E273" t="s">
        <v>290</v>
      </c>
      <c r="F273" t="s">
        <v>19</v>
      </c>
      <c r="G273" t="s">
        <v>14</v>
      </c>
      <c r="H273">
        <v>42</v>
      </c>
      <c r="I273" t="s">
        <v>527</v>
      </c>
      <c r="J273" t="s">
        <v>518</v>
      </c>
      <c r="K273" t="s">
        <v>507</v>
      </c>
    </row>
    <row r="274" spans="1:11" x14ac:dyDescent="0.25">
      <c r="A274" t="s">
        <v>416</v>
      </c>
      <c r="B274" t="s">
        <v>43</v>
      </c>
      <c r="C274" t="s">
        <v>17</v>
      </c>
      <c r="D274" t="s">
        <v>44</v>
      </c>
      <c r="E274" t="s">
        <v>45</v>
      </c>
      <c r="F274" t="s">
        <v>9</v>
      </c>
      <c r="G274" t="s">
        <v>542</v>
      </c>
      <c r="H274">
        <v>1045.0999999999999</v>
      </c>
      <c r="I274" t="s">
        <v>519</v>
      </c>
      <c r="J274" t="s">
        <v>524</v>
      </c>
      <c r="K274" t="s">
        <v>417</v>
      </c>
    </row>
    <row r="275" spans="1:11" x14ac:dyDescent="0.25">
      <c r="A275" t="s">
        <v>416</v>
      </c>
      <c r="B275" t="s">
        <v>43</v>
      </c>
      <c r="C275" t="s">
        <v>17</v>
      </c>
      <c r="D275" t="s">
        <v>44</v>
      </c>
      <c r="E275" t="s">
        <v>45</v>
      </c>
      <c r="F275" t="s">
        <v>9</v>
      </c>
      <c r="G275" t="s">
        <v>14</v>
      </c>
      <c r="H275">
        <v>112</v>
      </c>
      <c r="I275" t="s">
        <v>519</v>
      </c>
      <c r="J275" t="s">
        <v>524</v>
      </c>
      <c r="K275" t="s">
        <v>417</v>
      </c>
    </row>
    <row r="276" spans="1:11" x14ac:dyDescent="0.25">
      <c r="A276" t="s">
        <v>416</v>
      </c>
      <c r="B276" t="s">
        <v>133</v>
      </c>
      <c r="C276" t="s">
        <v>17</v>
      </c>
      <c r="D276" t="s">
        <v>44</v>
      </c>
      <c r="E276" t="s">
        <v>134</v>
      </c>
      <c r="F276" t="s">
        <v>19</v>
      </c>
      <c r="G276" t="s">
        <v>542</v>
      </c>
      <c r="H276">
        <v>392</v>
      </c>
      <c r="I276" t="s">
        <v>527</v>
      </c>
      <c r="J276" t="s">
        <v>520</v>
      </c>
      <c r="K276" t="s">
        <v>509</v>
      </c>
    </row>
    <row r="277" spans="1:11" x14ac:dyDescent="0.25">
      <c r="A277" t="s">
        <v>416</v>
      </c>
      <c r="B277" t="s">
        <v>133</v>
      </c>
      <c r="C277" t="s">
        <v>17</v>
      </c>
      <c r="D277" t="s">
        <v>44</v>
      </c>
      <c r="E277" t="s">
        <v>134</v>
      </c>
      <c r="F277" t="s">
        <v>19</v>
      </c>
      <c r="G277" t="s">
        <v>14</v>
      </c>
      <c r="H277">
        <v>42</v>
      </c>
      <c r="I277" t="s">
        <v>527</v>
      </c>
      <c r="J277" t="s">
        <v>520</v>
      </c>
      <c r="K277" t="s">
        <v>509</v>
      </c>
    </row>
    <row r="278" spans="1:11" x14ac:dyDescent="0.25">
      <c r="A278" t="s">
        <v>416</v>
      </c>
      <c r="B278" t="s">
        <v>131</v>
      </c>
      <c r="C278" t="s">
        <v>17</v>
      </c>
      <c r="D278" t="s">
        <v>44</v>
      </c>
      <c r="E278" t="s">
        <v>132</v>
      </c>
      <c r="F278" t="s">
        <v>19</v>
      </c>
      <c r="G278" t="s">
        <v>542</v>
      </c>
      <c r="H278">
        <v>392</v>
      </c>
      <c r="I278" t="s">
        <v>527</v>
      </c>
      <c r="J278" t="s">
        <v>520</v>
      </c>
      <c r="K278" t="s">
        <v>510</v>
      </c>
    </row>
    <row r="279" spans="1:11" x14ac:dyDescent="0.25">
      <c r="A279" t="s">
        <v>416</v>
      </c>
      <c r="B279" t="s">
        <v>131</v>
      </c>
      <c r="C279" t="s">
        <v>17</v>
      </c>
      <c r="D279" t="s">
        <v>44</v>
      </c>
      <c r="E279" t="s">
        <v>132</v>
      </c>
      <c r="F279" t="s">
        <v>19</v>
      </c>
      <c r="G279" t="s">
        <v>14</v>
      </c>
      <c r="H279">
        <v>42</v>
      </c>
      <c r="I279" t="s">
        <v>527</v>
      </c>
      <c r="J279" t="s">
        <v>520</v>
      </c>
      <c r="K279" t="s">
        <v>510</v>
      </c>
    </row>
    <row r="280" spans="1:11" x14ac:dyDescent="0.25">
      <c r="A280" t="s">
        <v>416</v>
      </c>
      <c r="B280" t="s">
        <v>129</v>
      </c>
      <c r="C280" t="s">
        <v>17</v>
      </c>
      <c r="D280" t="s">
        <v>44</v>
      </c>
      <c r="E280" t="s">
        <v>130</v>
      </c>
      <c r="F280" t="s">
        <v>19</v>
      </c>
      <c r="G280" t="s">
        <v>542</v>
      </c>
      <c r="H280">
        <v>392</v>
      </c>
      <c r="I280" t="s">
        <v>527</v>
      </c>
      <c r="J280" t="s">
        <v>520</v>
      </c>
      <c r="K280" t="s">
        <v>511</v>
      </c>
    </row>
    <row r="281" spans="1:11" x14ac:dyDescent="0.25">
      <c r="A281" t="s">
        <v>416</v>
      </c>
      <c r="B281" t="s">
        <v>129</v>
      </c>
      <c r="C281" t="s">
        <v>17</v>
      </c>
      <c r="D281" t="s">
        <v>44</v>
      </c>
      <c r="E281" t="s">
        <v>130</v>
      </c>
      <c r="F281" t="s">
        <v>19</v>
      </c>
      <c r="G281" t="s">
        <v>14</v>
      </c>
      <c r="H281">
        <v>42</v>
      </c>
      <c r="I281" t="s">
        <v>527</v>
      </c>
      <c r="J281" t="s">
        <v>520</v>
      </c>
      <c r="K281" t="s">
        <v>511</v>
      </c>
    </row>
    <row r="282" spans="1:11" x14ac:dyDescent="0.25">
      <c r="A282" t="s">
        <v>416</v>
      </c>
      <c r="B282" t="s">
        <v>127</v>
      </c>
      <c r="C282" t="s">
        <v>17</v>
      </c>
      <c r="D282" t="s">
        <v>44</v>
      </c>
      <c r="E282" t="s">
        <v>128</v>
      </c>
      <c r="F282" t="s">
        <v>19</v>
      </c>
      <c r="G282" t="s">
        <v>542</v>
      </c>
      <c r="H282">
        <v>392</v>
      </c>
      <c r="I282" t="s">
        <v>527</v>
      </c>
      <c r="J282" t="s">
        <v>520</v>
      </c>
      <c r="K282" t="s">
        <v>512</v>
      </c>
    </row>
    <row r="283" spans="1:11" x14ac:dyDescent="0.25">
      <c r="A283" t="s">
        <v>416</v>
      </c>
      <c r="B283" t="s">
        <v>127</v>
      </c>
      <c r="C283" t="s">
        <v>17</v>
      </c>
      <c r="D283" t="s">
        <v>44</v>
      </c>
      <c r="E283" t="s">
        <v>128</v>
      </c>
      <c r="F283" t="s">
        <v>19</v>
      </c>
      <c r="G283" t="s">
        <v>14</v>
      </c>
      <c r="H283">
        <v>42</v>
      </c>
      <c r="I283" t="s">
        <v>527</v>
      </c>
      <c r="J283" t="s">
        <v>520</v>
      </c>
      <c r="K283" t="s">
        <v>512</v>
      </c>
    </row>
    <row r="284" spans="1:11" x14ac:dyDescent="0.25">
      <c r="A284" t="s">
        <v>416</v>
      </c>
      <c r="B284" t="s">
        <v>152</v>
      </c>
      <c r="C284" t="s">
        <v>17</v>
      </c>
      <c r="D284" t="s">
        <v>44</v>
      </c>
      <c r="E284" t="s">
        <v>153</v>
      </c>
      <c r="F284" t="s">
        <v>9</v>
      </c>
      <c r="G284" t="s">
        <v>542</v>
      </c>
      <c r="H284">
        <v>507.5</v>
      </c>
      <c r="I284" t="s">
        <v>523</v>
      </c>
      <c r="J284" t="s">
        <v>524</v>
      </c>
      <c r="K284" t="s">
        <v>517</v>
      </c>
    </row>
    <row r="285" spans="1:11" x14ac:dyDescent="0.25">
      <c r="A285" t="s">
        <v>416</v>
      </c>
      <c r="B285" t="s">
        <v>152</v>
      </c>
      <c r="C285" t="s">
        <v>17</v>
      </c>
      <c r="D285" t="s">
        <v>44</v>
      </c>
      <c r="E285" t="s">
        <v>153</v>
      </c>
      <c r="F285" t="s">
        <v>9</v>
      </c>
      <c r="G285" t="s">
        <v>14</v>
      </c>
      <c r="H285">
        <v>54.4</v>
      </c>
      <c r="I285" t="s">
        <v>523</v>
      </c>
      <c r="J285" t="s">
        <v>524</v>
      </c>
      <c r="K285" t="s">
        <v>517</v>
      </c>
    </row>
    <row r="286" spans="1:11" x14ac:dyDescent="0.25">
      <c r="A286" t="s">
        <v>416</v>
      </c>
      <c r="B286" t="s">
        <v>123</v>
      </c>
      <c r="C286" t="s">
        <v>102</v>
      </c>
      <c r="D286" t="s">
        <v>103</v>
      </c>
      <c r="E286" t="s">
        <v>124</v>
      </c>
      <c r="F286" t="s">
        <v>19</v>
      </c>
      <c r="G286" t="s">
        <v>542</v>
      </c>
      <c r="H286">
        <v>896</v>
      </c>
      <c r="I286" t="s">
        <v>527</v>
      </c>
      <c r="J286" t="s">
        <v>518</v>
      </c>
      <c r="K286" t="s">
        <v>493</v>
      </c>
    </row>
    <row r="287" spans="1:11" x14ac:dyDescent="0.25">
      <c r="A287" t="s">
        <v>416</v>
      </c>
      <c r="B287" t="s">
        <v>123</v>
      </c>
      <c r="C287" t="s">
        <v>102</v>
      </c>
      <c r="D287" t="s">
        <v>103</v>
      </c>
      <c r="E287" t="s">
        <v>124</v>
      </c>
      <c r="F287" t="s">
        <v>19</v>
      </c>
      <c r="G287" t="s">
        <v>14</v>
      </c>
      <c r="H287">
        <v>96</v>
      </c>
      <c r="I287" t="s">
        <v>527</v>
      </c>
      <c r="J287" t="s">
        <v>518</v>
      </c>
      <c r="K287" t="s">
        <v>493</v>
      </c>
    </row>
    <row r="288" spans="1:11" x14ac:dyDescent="0.25">
      <c r="A288" t="s">
        <v>416</v>
      </c>
      <c r="B288" t="s">
        <v>137</v>
      </c>
      <c r="C288" t="s">
        <v>102</v>
      </c>
      <c r="D288" t="s">
        <v>103</v>
      </c>
      <c r="E288" t="s">
        <v>138</v>
      </c>
      <c r="F288" t="s">
        <v>9</v>
      </c>
      <c r="G288" t="s">
        <v>14</v>
      </c>
      <c r="H288">
        <v>739.2</v>
      </c>
      <c r="I288" t="s">
        <v>519</v>
      </c>
      <c r="J288" t="s">
        <v>521</v>
      </c>
      <c r="K288" t="s">
        <v>465</v>
      </c>
    </row>
    <row r="289" spans="1:11" x14ac:dyDescent="0.25">
      <c r="A289" t="s">
        <v>416</v>
      </c>
      <c r="B289" t="s">
        <v>724</v>
      </c>
      <c r="C289" t="s">
        <v>41</v>
      </c>
      <c r="D289" t="s">
        <v>322</v>
      </c>
      <c r="E289" t="s">
        <v>725</v>
      </c>
      <c r="F289" t="s">
        <v>19</v>
      </c>
      <c r="G289" t="s">
        <v>542</v>
      </c>
      <c r="H289">
        <v>8</v>
      </c>
    </row>
    <row r="290" spans="1:11" x14ac:dyDescent="0.25">
      <c r="A290" t="s">
        <v>416</v>
      </c>
      <c r="B290" t="s">
        <v>327</v>
      </c>
      <c r="C290" t="s">
        <v>41</v>
      </c>
      <c r="D290" t="s">
        <v>322</v>
      </c>
      <c r="E290" t="s">
        <v>328</v>
      </c>
      <c r="F290" t="s">
        <v>19</v>
      </c>
      <c r="G290" t="s">
        <v>14</v>
      </c>
      <c r="H290">
        <v>600</v>
      </c>
    </row>
    <row r="291" spans="1:11" x14ac:dyDescent="0.25">
      <c r="A291" t="s">
        <v>416</v>
      </c>
      <c r="B291" t="s">
        <v>213</v>
      </c>
      <c r="C291" t="s">
        <v>7</v>
      </c>
      <c r="D291" t="s">
        <v>183</v>
      </c>
      <c r="E291" t="s">
        <v>214</v>
      </c>
      <c r="F291" t="s">
        <v>62</v>
      </c>
      <c r="G291" t="s">
        <v>14</v>
      </c>
      <c r="H291">
        <v>395.5</v>
      </c>
      <c r="I291" t="s">
        <v>519</v>
      </c>
      <c r="J291" t="s">
        <v>521</v>
      </c>
      <c r="K291" t="s">
        <v>452</v>
      </c>
    </row>
    <row r="292" spans="1:11" x14ac:dyDescent="0.25">
      <c r="A292" t="s">
        <v>416</v>
      </c>
      <c r="B292" t="s">
        <v>215</v>
      </c>
      <c r="C292" t="s">
        <v>7</v>
      </c>
      <c r="D292" t="s">
        <v>183</v>
      </c>
      <c r="E292" t="s">
        <v>216</v>
      </c>
      <c r="F292" t="s">
        <v>19</v>
      </c>
      <c r="G292" t="s">
        <v>542</v>
      </c>
      <c r="H292">
        <v>746.9</v>
      </c>
      <c r="I292" t="s">
        <v>519</v>
      </c>
      <c r="J292" t="s">
        <v>518</v>
      </c>
      <c r="K292" t="s">
        <v>451</v>
      </c>
    </row>
    <row r="293" spans="1:11" x14ac:dyDescent="0.25">
      <c r="A293" t="s">
        <v>416</v>
      </c>
      <c r="B293" t="s">
        <v>215</v>
      </c>
      <c r="C293" t="s">
        <v>7</v>
      </c>
      <c r="D293" t="s">
        <v>183</v>
      </c>
      <c r="E293" t="s">
        <v>216</v>
      </c>
      <c r="F293" t="s">
        <v>19</v>
      </c>
      <c r="G293" t="s">
        <v>14</v>
      </c>
      <c r="H293">
        <v>80</v>
      </c>
      <c r="I293" t="s">
        <v>519</v>
      </c>
      <c r="J293" t="s">
        <v>518</v>
      </c>
      <c r="K293" t="s">
        <v>451</v>
      </c>
    </row>
    <row r="294" spans="1:11" x14ac:dyDescent="0.25">
      <c r="A294" t="s">
        <v>416</v>
      </c>
      <c r="B294" t="s">
        <v>182</v>
      </c>
      <c r="C294" t="s">
        <v>7</v>
      </c>
      <c r="D294" t="s">
        <v>183</v>
      </c>
      <c r="E294" t="s">
        <v>184</v>
      </c>
      <c r="F294" t="s">
        <v>62</v>
      </c>
      <c r="G294" t="s">
        <v>542</v>
      </c>
      <c r="H294">
        <v>507.5</v>
      </c>
      <c r="I294" t="s">
        <v>519</v>
      </c>
      <c r="J294" t="s">
        <v>520</v>
      </c>
      <c r="K294" t="s">
        <v>473</v>
      </c>
    </row>
    <row r="295" spans="1:11" x14ac:dyDescent="0.25">
      <c r="A295" t="s">
        <v>416</v>
      </c>
      <c r="B295" t="s">
        <v>182</v>
      </c>
      <c r="C295" t="s">
        <v>7</v>
      </c>
      <c r="D295" t="s">
        <v>183</v>
      </c>
      <c r="E295" t="s">
        <v>184</v>
      </c>
      <c r="F295" t="s">
        <v>62</v>
      </c>
      <c r="G295" t="s">
        <v>14</v>
      </c>
      <c r="H295">
        <v>54.4</v>
      </c>
      <c r="I295" t="s">
        <v>519</v>
      </c>
      <c r="J295" t="s">
        <v>520</v>
      </c>
      <c r="K295" t="s">
        <v>473</v>
      </c>
    </row>
    <row r="296" spans="1:11" x14ac:dyDescent="0.25">
      <c r="A296" t="s">
        <v>416</v>
      </c>
      <c r="B296" t="s">
        <v>245</v>
      </c>
      <c r="C296" t="s">
        <v>7</v>
      </c>
      <c r="D296" t="s">
        <v>76</v>
      </c>
      <c r="E296" t="s">
        <v>246</v>
      </c>
      <c r="F296" t="s">
        <v>9</v>
      </c>
      <c r="G296" t="s">
        <v>14</v>
      </c>
      <c r="I296" t="s">
        <v>519</v>
      </c>
      <c r="J296" t="s">
        <v>520</v>
      </c>
      <c r="K296" t="s">
        <v>436</v>
      </c>
    </row>
    <row r="297" spans="1:11" x14ac:dyDescent="0.25">
      <c r="A297" t="s">
        <v>416</v>
      </c>
      <c r="B297" t="s">
        <v>231</v>
      </c>
      <c r="C297" t="s">
        <v>7</v>
      </c>
      <c r="D297" t="s">
        <v>76</v>
      </c>
      <c r="E297" t="s">
        <v>232</v>
      </c>
      <c r="F297" t="s">
        <v>9</v>
      </c>
      <c r="G297" t="s">
        <v>14</v>
      </c>
      <c r="H297">
        <v>1493.1</v>
      </c>
      <c r="I297" t="s">
        <v>519</v>
      </c>
      <c r="J297" t="s">
        <v>520</v>
      </c>
      <c r="K297" t="s">
        <v>572</v>
      </c>
    </row>
    <row r="298" spans="1:11" x14ac:dyDescent="0.25">
      <c r="A298" t="s">
        <v>416</v>
      </c>
      <c r="B298" t="s">
        <v>75</v>
      </c>
      <c r="C298" t="s">
        <v>7</v>
      </c>
      <c r="D298" t="s">
        <v>76</v>
      </c>
      <c r="E298" t="s">
        <v>77</v>
      </c>
      <c r="F298" t="s">
        <v>9</v>
      </c>
      <c r="G298" t="s">
        <v>542</v>
      </c>
      <c r="H298">
        <v>1493.1</v>
      </c>
      <c r="I298" t="s">
        <v>527</v>
      </c>
      <c r="J298" t="s">
        <v>520</v>
      </c>
      <c r="K298" t="s">
        <v>428</v>
      </c>
    </row>
    <row r="299" spans="1:11" x14ac:dyDescent="0.25">
      <c r="A299" t="s">
        <v>416</v>
      </c>
      <c r="B299" t="s">
        <v>75</v>
      </c>
      <c r="C299" t="s">
        <v>7</v>
      </c>
      <c r="D299" t="s">
        <v>76</v>
      </c>
      <c r="E299" t="s">
        <v>77</v>
      </c>
      <c r="F299" t="s">
        <v>9</v>
      </c>
      <c r="G299" t="s">
        <v>14</v>
      </c>
      <c r="H299">
        <v>160</v>
      </c>
      <c r="I299" t="s">
        <v>527</v>
      </c>
      <c r="J299" t="s">
        <v>520</v>
      </c>
      <c r="K299" t="s">
        <v>428</v>
      </c>
    </row>
    <row r="300" spans="1:11" x14ac:dyDescent="0.25">
      <c r="A300" t="s">
        <v>416</v>
      </c>
      <c r="B300" t="s">
        <v>160</v>
      </c>
      <c r="C300" t="s">
        <v>7</v>
      </c>
      <c r="D300" t="s">
        <v>76</v>
      </c>
      <c r="E300" t="s">
        <v>161</v>
      </c>
      <c r="F300" t="s">
        <v>9</v>
      </c>
      <c r="G300" t="s">
        <v>542</v>
      </c>
      <c r="H300">
        <v>1493.1</v>
      </c>
      <c r="I300" t="s">
        <v>527</v>
      </c>
      <c r="J300" t="s">
        <v>520</v>
      </c>
      <c r="K300" t="s">
        <v>486</v>
      </c>
    </row>
    <row r="301" spans="1:11" x14ac:dyDescent="0.25">
      <c r="A301" t="s">
        <v>416</v>
      </c>
      <c r="B301" t="s">
        <v>160</v>
      </c>
      <c r="C301" t="s">
        <v>7</v>
      </c>
      <c r="D301" t="s">
        <v>76</v>
      </c>
      <c r="E301" t="s">
        <v>161</v>
      </c>
      <c r="F301" t="s">
        <v>9</v>
      </c>
      <c r="G301" t="s">
        <v>14</v>
      </c>
      <c r="H301">
        <v>160</v>
      </c>
      <c r="I301" t="s">
        <v>527</v>
      </c>
      <c r="J301" t="s">
        <v>520</v>
      </c>
      <c r="K301" t="s">
        <v>486</v>
      </c>
    </row>
    <row r="302" spans="1:11" x14ac:dyDescent="0.25">
      <c r="A302" t="s">
        <v>416</v>
      </c>
      <c r="B302" t="s">
        <v>361</v>
      </c>
      <c r="C302" t="s">
        <v>41</v>
      </c>
      <c r="D302" t="s">
        <v>320</v>
      </c>
      <c r="E302" t="s">
        <v>362</v>
      </c>
      <c r="F302" t="s">
        <v>19</v>
      </c>
      <c r="G302" t="s">
        <v>14</v>
      </c>
      <c r="H302">
        <v>208</v>
      </c>
    </row>
    <row r="303" spans="1:11" x14ac:dyDescent="0.25">
      <c r="A303" t="s">
        <v>416</v>
      </c>
      <c r="B303" t="s">
        <v>164</v>
      </c>
      <c r="C303" t="s">
        <v>24</v>
      </c>
      <c r="D303" t="s">
        <v>165</v>
      </c>
      <c r="E303" t="s">
        <v>166</v>
      </c>
      <c r="F303" t="s">
        <v>19</v>
      </c>
      <c r="G303" t="s">
        <v>542</v>
      </c>
      <c r="I303" t="s">
        <v>527</v>
      </c>
      <c r="J303" t="s">
        <v>518</v>
      </c>
      <c r="K303" t="s">
        <v>484</v>
      </c>
    </row>
    <row r="304" spans="1:11" x14ac:dyDescent="0.25">
      <c r="A304" t="s">
        <v>416</v>
      </c>
      <c r="B304" t="s">
        <v>225</v>
      </c>
      <c r="C304" t="s">
        <v>24</v>
      </c>
      <c r="D304" t="s">
        <v>81</v>
      </c>
      <c r="E304" t="s">
        <v>226</v>
      </c>
      <c r="F304" t="s">
        <v>19</v>
      </c>
      <c r="G304" t="s">
        <v>14</v>
      </c>
      <c r="H304">
        <v>448</v>
      </c>
      <c r="I304" t="s">
        <v>519</v>
      </c>
      <c r="J304" t="s">
        <v>518</v>
      </c>
      <c r="K304" t="s">
        <v>447</v>
      </c>
    </row>
    <row r="305" spans="1:11" x14ac:dyDescent="0.25">
      <c r="A305" t="s">
        <v>416</v>
      </c>
      <c r="B305" t="s">
        <v>80</v>
      </c>
      <c r="C305" t="s">
        <v>24</v>
      </c>
      <c r="D305" t="s">
        <v>81</v>
      </c>
      <c r="E305" t="s">
        <v>82</v>
      </c>
      <c r="F305" t="s">
        <v>19</v>
      </c>
      <c r="G305" t="s">
        <v>14</v>
      </c>
      <c r="H305">
        <v>38.4</v>
      </c>
      <c r="I305" t="s">
        <v>519</v>
      </c>
      <c r="J305" t="s">
        <v>520</v>
      </c>
      <c r="K305" t="s">
        <v>489</v>
      </c>
    </row>
    <row r="306" spans="1:11" x14ac:dyDescent="0.25">
      <c r="A306" t="s">
        <v>416</v>
      </c>
      <c r="B306" t="s">
        <v>200</v>
      </c>
      <c r="C306" t="s">
        <v>24</v>
      </c>
      <c r="D306" t="s">
        <v>58</v>
      </c>
      <c r="E306" t="s">
        <v>201</v>
      </c>
      <c r="F306" t="s">
        <v>19</v>
      </c>
      <c r="G306" t="s">
        <v>14</v>
      </c>
      <c r="H306">
        <v>320</v>
      </c>
      <c r="I306" t="s">
        <v>527</v>
      </c>
      <c r="J306" t="s">
        <v>518</v>
      </c>
      <c r="K306" t="s">
        <v>459</v>
      </c>
    </row>
    <row r="307" spans="1:11" x14ac:dyDescent="0.25">
      <c r="A307" t="s">
        <v>416</v>
      </c>
      <c r="B307" t="s">
        <v>56</v>
      </c>
      <c r="C307" t="s">
        <v>24</v>
      </c>
      <c r="D307" t="s">
        <v>46</v>
      </c>
      <c r="E307" t="s">
        <v>57</v>
      </c>
      <c r="F307" t="s">
        <v>19</v>
      </c>
      <c r="G307" t="s">
        <v>14</v>
      </c>
      <c r="H307">
        <v>2240</v>
      </c>
      <c r="I307" t="s">
        <v>523</v>
      </c>
      <c r="J307" t="s">
        <v>520</v>
      </c>
      <c r="K307" t="s">
        <v>454</v>
      </c>
    </row>
    <row r="308" spans="1:11" x14ac:dyDescent="0.25">
      <c r="A308" t="s">
        <v>416</v>
      </c>
      <c r="B308" t="s">
        <v>148</v>
      </c>
      <c r="C308" t="s">
        <v>24</v>
      </c>
      <c r="D308" t="s">
        <v>27</v>
      </c>
      <c r="E308" t="s">
        <v>149</v>
      </c>
      <c r="F308" t="s">
        <v>9</v>
      </c>
      <c r="G308" t="s">
        <v>14</v>
      </c>
      <c r="H308">
        <v>1194.9000000000001</v>
      </c>
      <c r="I308" t="s">
        <v>519</v>
      </c>
      <c r="J308" t="s">
        <v>521</v>
      </c>
      <c r="K308" t="s">
        <v>478</v>
      </c>
    </row>
    <row r="309" spans="1:11" x14ac:dyDescent="0.25">
      <c r="A309" t="s">
        <v>416</v>
      </c>
      <c r="B309" t="s">
        <v>233</v>
      </c>
      <c r="C309" t="s">
        <v>24</v>
      </c>
      <c r="D309" t="s">
        <v>81</v>
      </c>
      <c r="E309" t="s">
        <v>234</v>
      </c>
      <c r="F309" t="s">
        <v>9</v>
      </c>
      <c r="G309" t="s">
        <v>14</v>
      </c>
      <c r="H309">
        <v>224</v>
      </c>
      <c r="I309" t="s">
        <v>519</v>
      </c>
      <c r="J309" t="s">
        <v>525</v>
      </c>
      <c r="K309" t="s">
        <v>444</v>
      </c>
    </row>
    <row r="310" spans="1:11" x14ac:dyDescent="0.25">
      <c r="A310" t="s">
        <v>416</v>
      </c>
      <c r="B310" t="s">
        <v>154</v>
      </c>
      <c r="C310" t="s">
        <v>24</v>
      </c>
      <c r="D310" t="s">
        <v>46</v>
      </c>
      <c r="E310" t="s">
        <v>155</v>
      </c>
      <c r="F310" t="s">
        <v>19</v>
      </c>
      <c r="G310" t="s">
        <v>14</v>
      </c>
      <c r="H310">
        <v>20.8</v>
      </c>
      <c r="I310" t="s">
        <v>527</v>
      </c>
      <c r="J310" t="s">
        <v>518</v>
      </c>
      <c r="K310" t="s">
        <v>488</v>
      </c>
    </row>
    <row r="311" spans="1:11" x14ac:dyDescent="0.25">
      <c r="A311" t="s">
        <v>416</v>
      </c>
      <c r="B311" t="s">
        <v>78</v>
      </c>
      <c r="C311" t="s">
        <v>24</v>
      </c>
      <c r="D311" t="s">
        <v>38</v>
      </c>
      <c r="E311" t="s">
        <v>79</v>
      </c>
      <c r="F311" t="s">
        <v>9</v>
      </c>
      <c r="G311" t="s">
        <v>14</v>
      </c>
      <c r="H311">
        <v>42</v>
      </c>
      <c r="I311" t="s">
        <v>523</v>
      </c>
      <c r="J311" t="s">
        <v>518</v>
      </c>
      <c r="K311" t="s">
        <v>429</v>
      </c>
    </row>
    <row r="312" spans="1:11" x14ac:dyDescent="0.25">
      <c r="A312" t="s">
        <v>416</v>
      </c>
      <c r="B312" t="s">
        <v>68</v>
      </c>
      <c r="C312" t="s">
        <v>24</v>
      </c>
      <c r="D312" t="s">
        <v>25</v>
      </c>
      <c r="E312" t="s">
        <v>69</v>
      </c>
      <c r="F312" t="s">
        <v>9</v>
      </c>
      <c r="G312" t="s">
        <v>14</v>
      </c>
      <c r="H312">
        <v>739.2</v>
      </c>
      <c r="I312" t="s">
        <v>519</v>
      </c>
      <c r="J312" t="s">
        <v>521</v>
      </c>
      <c r="K312" t="s">
        <v>425</v>
      </c>
    </row>
    <row r="313" spans="1:11" x14ac:dyDescent="0.25">
      <c r="A313" t="s">
        <v>416</v>
      </c>
      <c r="B313" t="s">
        <v>167</v>
      </c>
      <c r="C313" t="s">
        <v>24</v>
      </c>
      <c r="D313" t="s">
        <v>38</v>
      </c>
      <c r="E313" t="s">
        <v>168</v>
      </c>
      <c r="F313" t="s">
        <v>9</v>
      </c>
      <c r="G313" t="s">
        <v>14</v>
      </c>
      <c r="H313">
        <v>534.1</v>
      </c>
      <c r="I313" t="s">
        <v>523</v>
      </c>
      <c r="J313" t="s">
        <v>521</v>
      </c>
      <c r="K313" t="s">
        <v>482</v>
      </c>
    </row>
    <row r="314" spans="1:11" x14ac:dyDescent="0.25">
      <c r="A314" t="s">
        <v>416</v>
      </c>
      <c r="B314" t="s">
        <v>23</v>
      </c>
      <c r="C314" t="s">
        <v>24</v>
      </c>
      <c r="D314" t="s">
        <v>25</v>
      </c>
      <c r="E314" t="s">
        <v>26</v>
      </c>
      <c r="F314" t="s">
        <v>19</v>
      </c>
      <c r="G314" t="s">
        <v>14</v>
      </c>
      <c r="H314">
        <v>64</v>
      </c>
      <c r="I314" t="s">
        <v>527</v>
      </c>
      <c r="J314" t="s">
        <v>518</v>
      </c>
      <c r="K314" t="s">
        <v>503</v>
      </c>
    </row>
    <row r="315" spans="1:11" x14ac:dyDescent="0.25">
      <c r="A315" t="s">
        <v>416</v>
      </c>
      <c r="B315" t="s">
        <v>369</v>
      </c>
      <c r="C315" t="s">
        <v>24</v>
      </c>
      <c r="D315" t="s">
        <v>165</v>
      </c>
      <c r="E315" t="s">
        <v>370</v>
      </c>
      <c r="F315" t="s">
        <v>19</v>
      </c>
      <c r="G315" t="s">
        <v>14</v>
      </c>
    </row>
    <row r="316" spans="1:11" x14ac:dyDescent="0.25">
      <c r="A316" t="s">
        <v>416</v>
      </c>
      <c r="B316" t="s">
        <v>401</v>
      </c>
      <c r="C316" t="s">
        <v>24</v>
      </c>
      <c r="D316" t="s">
        <v>165</v>
      </c>
      <c r="E316" t="s">
        <v>402</v>
      </c>
      <c r="F316" t="s">
        <v>19</v>
      </c>
      <c r="G316" t="s">
        <v>14</v>
      </c>
    </row>
    <row r="317" spans="1:11" x14ac:dyDescent="0.25">
      <c r="A317" t="s">
        <v>416</v>
      </c>
      <c r="B317" t="s">
        <v>351</v>
      </c>
      <c r="C317" t="s">
        <v>24</v>
      </c>
      <c r="D317" t="s">
        <v>165</v>
      </c>
      <c r="E317" t="s">
        <v>352</v>
      </c>
      <c r="F317" t="s">
        <v>19</v>
      </c>
      <c r="G317" t="s">
        <v>14</v>
      </c>
    </row>
    <row r="318" spans="1:11" x14ac:dyDescent="0.25">
      <c r="A318" t="s">
        <v>416</v>
      </c>
      <c r="B318" t="s">
        <v>23</v>
      </c>
      <c r="C318" t="s">
        <v>24</v>
      </c>
      <c r="D318" t="s">
        <v>25</v>
      </c>
      <c r="E318" t="s">
        <v>26</v>
      </c>
      <c r="F318" t="s">
        <v>19</v>
      </c>
      <c r="G318" t="s">
        <v>542</v>
      </c>
      <c r="H318">
        <v>597.1</v>
      </c>
      <c r="I318" t="s">
        <v>527</v>
      </c>
      <c r="J318" t="s">
        <v>518</v>
      </c>
      <c r="K318" t="s">
        <v>503</v>
      </c>
    </row>
    <row r="319" spans="1:11" x14ac:dyDescent="0.25">
      <c r="A319" t="s">
        <v>416</v>
      </c>
      <c r="B319" t="s">
        <v>365</v>
      </c>
      <c r="C319" t="s">
        <v>24</v>
      </c>
      <c r="D319" t="s">
        <v>165</v>
      </c>
      <c r="E319" t="s">
        <v>366</v>
      </c>
      <c r="F319" t="s">
        <v>19</v>
      </c>
      <c r="G319" t="s">
        <v>14</v>
      </c>
    </row>
    <row r="320" spans="1:11" x14ac:dyDescent="0.25">
      <c r="A320" t="s">
        <v>416</v>
      </c>
      <c r="B320" t="s">
        <v>377</v>
      </c>
      <c r="C320" t="s">
        <v>24</v>
      </c>
      <c r="D320" t="s">
        <v>165</v>
      </c>
      <c r="E320" t="s">
        <v>378</v>
      </c>
      <c r="F320" t="s">
        <v>19</v>
      </c>
      <c r="G320" t="s">
        <v>14</v>
      </c>
      <c r="H320">
        <v>725</v>
      </c>
    </row>
    <row r="321" spans="1:11" x14ac:dyDescent="0.25">
      <c r="A321" t="s">
        <v>416</v>
      </c>
      <c r="B321" t="s">
        <v>367</v>
      </c>
      <c r="C321" t="s">
        <v>24</v>
      </c>
      <c r="D321" t="s">
        <v>165</v>
      </c>
      <c r="E321" t="s">
        <v>368</v>
      </c>
      <c r="F321" t="s">
        <v>19</v>
      </c>
      <c r="G321" t="s">
        <v>14</v>
      </c>
    </row>
    <row r="322" spans="1:11" hidden="1" x14ac:dyDescent="0.25">
      <c r="A322" t="s">
        <v>416</v>
      </c>
      <c r="B322" t="s">
        <v>637</v>
      </c>
      <c r="C322" t="s">
        <v>24</v>
      </c>
      <c r="D322" t="s">
        <v>25</v>
      </c>
      <c r="E322" t="s">
        <v>638</v>
      </c>
      <c r="F322" t="s">
        <v>19</v>
      </c>
      <c r="G322" t="s">
        <v>540</v>
      </c>
      <c r="H322">
        <v>392</v>
      </c>
      <c r="I322" t="s">
        <v>527</v>
      </c>
      <c r="J322" t="s">
        <v>518</v>
      </c>
      <c r="K322" t="s">
        <v>639</v>
      </c>
    </row>
    <row r="323" spans="1:11" x14ac:dyDescent="0.25">
      <c r="A323" t="s">
        <v>416</v>
      </c>
      <c r="B323" t="s">
        <v>637</v>
      </c>
      <c r="C323" t="s">
        <v>24</v>
      </c>
      <c r="D323" t="s">
        <v>25</v>
      </c>
      <c r="E323" t="s">
        <v>638</v>
      </c>
      <c r="F323" t="s">
        <v>19</v>
      </c>
      <c r="G323" t="s">
        <v>542</v>
      </c>
      <c r="H323">
        <v>42</v>
      </c>
      <c r="I323" t="s">
        <v>527</v>
      </c>
      <c r="J323" t="s">
        <v>518</v>
      </c>
      <c r="K323" t="s">
        <v>639</v>
      </c>
    </row>
    <row r="324" spans="1:11" x14ac:dyDescent="0.25">
      <c r="A324" t="s">
        <v>416</v>
      </c>
      <c r="B324" t="s">
        <v>375</v>
      </c>
      <c r="C324" t="s">
        <v>24</v>
      </c>
      <c r="D324" t="s">
        <v>165</v>
      </c>
      <c r="E324" t="s">
        <v>376</v>
      </c>
      <c r="F324" t="s">
        <v>19</v>
      </c>
      <c r="G324" t="s">
        <v>14</v>
      </c>
    </row>
    <row r="325" spans="1:11" hidden="1" x14ac:dyDescent="0.25">
      <c r="A325" t="s">
        <v>416</v>
      </c>
      <c r="B325" t="s">
        <v>558</v>
      </c>
      <c r="C325" t="s">
        <v>41</v>
      </c>
      <c r="D325" t="s">
        <v>559</v>
      </c>
      <c r="E325" t="s">
        <v>560</v>
      </c>
      <c r="F325" t="s">
        <v>19</v>
      </c>
      <c r="G325" t="s">
        <v>540</v>
      </c>
      <c r="H325">
        <v>746.9</v>
      </c>
      <c r="I325" t="s">
        <v>527</v>
      </c>
      <c r="J325" t="s">
        <v>518</v>
      </c>
      <c r="K325" t="s">
        <v>561</v>
      </c>
    </row>
    <row r="326" spans="1:11" x14ac:dyDescent="0.25">
      <c r="A326" t="s">
        <v>416</v>
      </c>
      <c r="B326" t="s">
        <v>558</v>
      </c>
      <c r="C326" t="s">
        <v>41</v>
      </c>
      <c r="D326" t="s">
        <v>559</v>
      </c>
      <c r="E326" t="s">
        <v>560</v>
      </c>
      <c r="F326" t="s">
        <v>19</v>
      </c>
      <c r="G326" t="s">
        <v>542</v>
      </c>
      <c r="H326">
        <v>80</v>
      </c>
      <c r="I326" t="s">
        <v>527</v>
      </c>
      <c r="J326" t="s">
        <v>518</v>
      </c>
      <c r="K326" t="s">
        <v>561</v>
      </c>
    </row>
    <row r="327" spans="1:11" hidden="1" x14ac:dyDescent="0.25">
      <c r="A327" t="s">
        <v>416</v>
      </c>
      <c r="B327" t="s">
        <v>562</v>
      </c>
      <c r="C327" t="s">
        <v>41</v>
      </c>
      <c r="D327" t="s">
        <v>559</v>
      </c>
      <c r="E327" t="s">
        <v>563</v>
      </c>
      <c r="F327" t="s">
        <v>19</v>
      </c>
      <c r="G327" t="s">
        <v>540</v>
      </c>
      <c r="H327">
        <v>1213.0999999999999</v>
      </c>
      <c r="I327" t="s">
        <v>527</v>
      </c>
      <c r="J327" t="s">
        <v>518</v>
      </c>
      <c r="K327" t="s">
        <v>564</v>
      </c>
    </row>
    <row r="328" spans="1:11" x14ac:dyDescent="0.25">
      <c r="A328" t="s">
        <v>416</v>
      </c>
      <c r="B328" t="s">
        <v>562</v>
      </c>
      <c r="C328" t="s">
        <v>41</v>
      </c>
      <c r="D328" t="s">
        <v>559</v>
      </c>
      <c r="E328" t="s">
        <v>563</v>
      </c>
      <c r="F328" t="s">
        <v>19</v>
      </c>
      <c r="G328" t="s">
        <v>542</v>
      </c>
      <c r="H328">
        <v>130</v>
      </c>
      <c r="I328" t="s">
        <v>527</v>
      </c>
      <c r="J328" t="s">
        <v>518</v>
      </c>
      <c r="K328" t="s">
        <v>564</v>
      </c>
    </row>
    <row r="329" spans="1:11" x14ac:dyDescent="0.25">
      <c r="A329" t="s">
        <v>416</v>
      </c>
      <c r="B329" t="s">
        <v>109</v>
      </c>
      <c r="C329" t="s">
        <v>11</v>
      </c>
      <c r="D329" t="s">
        <v>88</v>
      </c>
      <c r="E329" t="s">
        <v>110</v>
      </c>
      <c r="F329" t="s">
        <v>9</v>
      </c>
      <c r="G329" t="s">
        <v>14</v>
      </c>
      <c r="H329">
        <v>126.69999999999999</v>
      </c>
      <c r="I329" t="s">
        <v>519</v>
      </c>
      <c r="J329" t="s">
        <v>521</v>
      </c>
      <c r="K329" t="s">
        <v>434</v>
      </c>
    </row>
    <row r="330" spans="1:11" x14ac:dyDescent="0.25">
      <c r="A330" t="s">
        <v>416</v>
      </c>
      <c r="B330" t="s">
        <v>202</v>
      </c>
      <c r="C330" t="s">
        <v>11</v>
      </c>
      <c r="D330" t="s">
        <v>88</v>
      </c>
      <c r="E330" t="s">
        <v>203</v>
      </c>
      <c r="F330" t="s">
        <v>9</v>
      </c>
      <c r="G330" t="s">
        <v>14</v>
      </c>
      <c r="H330">
        <v>149.1</v>
      </c>
      <c r="I330" t="s">
        <v>519</v>
      </c>
      <c r="J330" t="s">
        <v>521</v>
      </c>
      <c r="K330" t="s">
        <v>458</v>
      </c>
    </row>
    <row r="331" spans="1:11" x14ac:dyDescent="0.25">
      <c r="A331" t="s">
        <v>416</v>
      </c>
      <c r="B331" t="s">
        <v>198</v>
      </c>
      <c r="C331" t="s">
        <v>11</v>
      </c>
      <c r="D331" t="s">
        <v>88</v>
      </c>
      <c r="E331" t="s">
        <v>199</v>
      </c>
      <c r="F331" t="s">
        <v>9</v>
      </c>
      <c r="G331" t="s">
        <v>14</v>
      </c>
      <c r="H331">
        <v>74.900000000000006</v>
      </c>
      <c r="I331" t="s">
        <v>519</v>
      </c>
      <c r="J331" t="s">
        <v>521</v>
      </c>
      <c r="K331" t="s">
        <v>461</v>
      </c>
    </row>
    <row r="332" spans="1:11" x14ac:dyDescent="0.25">
      <c r="A332" t="s">
        <v>416</v>
      </c>
      <c r="B332" t="s">
        <v>87</v>
      </c>
      <c r="C332" t="s">
        <v>11</v>
      </c>
      <c r="D332" t="s">
        <v>88</v>
      </c>
      <c r="E332" t="s">
        <v>89</v>
      </c>
      <c r="F332" t="s">
        <v>9</v>
      </c>
      <c r="G332" t="s">
        <v>542</v>
      </c>
      <c r="H332">
        <v>224</v>
      </c>
      <c r="I332" t="s">
        <v>527</v>
      </c>
      <c r="J332" t="s">
        <v>518</v>
      </c>
      <c r="K332" t="s">
        <v>431</v>
      </c>
    </row>
    <row r="333" spans="1:11" x14ac:dyDescent="0.25">
      <c r="A333" t="s">
        <v>416</v>
      </c>
      <c r="B333" t="s">
        <v>87</v>
      </c>
      <c r="C333" t="s">
        <v>11</v>
      </c>
      <c r="D333" t="s">
        <v>88</v>
      </c>
      <c r="E333" t="s">
        <v>89</v>
      </c>
      <c r="F333" t="s">
        <v>9</v>
      </c>
      <c r="G333" t="s">
        <v>14</v>
      </c>
      <c r="H333">
        <v>24</v>
      </c>
      <c r="I333" t="s">
        <v>527</v>
      </c>
      <c r="J333" t="s">
        <v>518</v>
      </c>
      <c r="K333" t="s">
        <v>431</v>
      </c>
    </row>
    <row r="334" spans="1:11" x14ac:dyDescent="0.25">
      <c r="A334" t="s">
        <v>416</v>
      </c>
      <c r="B334" t="s">
        <v>107</v>
      </c>
      <c r="C334" t="s">
        <v>11</v>
      </c>
      <c r="D334" t="s">
        <v>88</v>
      </c>
      <c r="E334" t="s">
        <v>108</v>
      </c>
      <c r="F334" t="s">
        <v>19</v>
      </c>
      <c r="G334" t="s">
        <v>542</v>
      </c>
      <c r="H334">
        <v>373.1</v>
      </c>
      <c r="I334" t="s">
        <v>519</v>
      </c>
      <c r="J334" t="s">
        <v>520</v>
      </c>
      <c r="K334" t="s">
        <v>499</v>
      </c>
    </row>
    <row r="335" spans="1:11" x14ac:dyDescent="0.25">
      <c r="A335" t="s">
        <v>416</v>
      </c>
      <c r="B335" t="s">
        <v>107</v>
      </c>
      <c r="C335" t="s">
        <v>11</v>
      </c>
      <c r="D335" t="s">
        <v>88</v>
      </c>
      <c r="E335" t="s">
        <v>108</v>
      </c>
      <c r="F335" t="s">
        <v>19</v>
      </c>
      <c r="G335" t="s">
        <v>14</v>
      </c>
      <c r="H335">
        <v>40</v>
      </c>
      <c r="I335" t="s">
        <v>519</v>
      </c>
      <c r="J335" t="s">
        <v>520</v>
      </c>
      <c r="K335" t="s">
        <v>499</v>
      </c>
    </row>
    <row r="336" spans="1:11" x14ac:dyDescent="0.25">
      <c r="A336" t="s">
        <v>416</v>
      </c>
      <c r="B336" t="s">
        <v>403</v>
      </c>
      <c r="C336" t="s">
        <v>24</v>
      </c>
      <c r="D336" t="s">
        <v>165</v>
      </c>
      <c r="E336" t="s">
        <v>404</v>
      </c>
      <c r="F336" t="s">
        <v>19</v>
      </c>
      <c r="G336" t="s">
        <v>14</v>
      </c>
    </row>
    <row r="337" spans="1:11" x14ac:dyDescent="0.25">
      <c r="A337" t="s">
        <v>416</v>
      </c>
      <c r="B337" t="s">
        <v>195</v>
      </c>
      <c r="C337" t="s">
        <v>24</v>
      </c>
      <c r="D337" t="s">
        <v>58</v>
      </c>
      <c r="E337" t="s">
        <v>413</v>
      </c>
      <c r="F337" t="s">
        <v>19</v>
      </c>
      <c r="G337" t="s">
        <v>542</v>
      </c>
      <c r="H337">
        <v>126.69999999999999</v>
      </c>
      <c r="I337" t="s">
        <v>519</v>
      </c>
      <c r="J337" t="s">
        <v>520</v>
      </c>
      <c r="K337" t="s">
        <v>463</v>
      </c>
    </row>
    <row r="338" spans="1:11" x14ac:dyDescent="0.25">
      <c r="A338" t="s">
        <v>416</v>
      </c>
      <c r="B338" t="s">
        <v>363</v>
      </c>
      <c r="C338" t="s">
        <v>24</v>
      </c>
      <c r="D338" t="s">
        <v>165</v>
      </c>
      <c r="E338" t="s">
        <v>364</v>
      </c>
      <c r="F338" t="s">
        <v>19</v>
      </c>
      <c r="G338" t="s">
        <v>14</v>
      </c>
    </row>
    <row r="339" spans="1:11" x14ac:dyDescent="0.25">
      <c r="A339" t="s">
        <v>416</v>
      </c>
      <c r="B339" t="s">
        <v>98</v>
      </c>
      <c r="C339" t="s">
        <v>24</v>
      </c>
      <c r="D339" t="s">
        <v>58</v>
      </c>
      <c r="E339" t="s">
        <v>99</v>
      </c>
      <c r="F339" t="s">
        <v>19</v>
      </c>
      <c r="G339" t="s">
        <v>542</v>
      </c>
      <c r="H339">
        <v>298.89999999999998</v>
      </c>
      <c r="I339" t="s">
        <v>519</v>
      </c>
      <c r="J339" t="s">
        <v>518</v>
      </c>
      <c r="K339" t="s">
        <v>492</v>
      </c>
    </row>
    <row r="340" spans="1:11" x14ac:dyDescent="0.25">
      <c r="A340" t="s">
        <v>416</v>
      </c>
      <c r="B340" t="s">
        <v>371</v>
      </c>
      <c r="C340" t="s">
        <v>24</v>
      </c>
      <c r="D340" t="s">
        <v>165</v>
      </c>
      <c r="E340" t="s">
        <v>372</v>
      </c>
      <c r="F340" t="s">
        <v>19</v>
      </c>
      <c r="G340" t="s">
        <v>14</v>
      </c>
    </row>
    <row r="341" spans="1:11" x14ac:dyDescent="0.25">
      <c r="A341" t="s">
        <v>416</v>
      </c>
      <c r="B341" t="s">
        <v>379</v>
      </c>
      <c r="C341" t="s">
        <v>24</v>
      </c>
      <c r="D341" t="s">
        <v>165</v>
      </c>
      <c r="E341" t="s">
        <v>380</v>
      </c>
      <c r="F341" t="s">
        <v>19</v>
      </c>
      <c r="G341" t="s">
        <v>14</v>
      </c>
      <c r="H341">
        <v>135</v>
      </c>
    </row>
    <row r="342" spans="1:11" x14ac:dyDescent="0.25">
      <c r="A342" t="s">
        <v>416</v>
      </c>
      <c r="B342" t="s">
        <v>373</v>
      </c>
      <c r="C342" t="s">
        <v>24</v>
      </c>
      <c r="D342" t="s">
        <v>165</v>
      </c>
      <c r="E342" t="s">
        <v>374</v>
      </c>
      <c r="F342" t="s">
        <v>19</v>
      </c>
      <c r="G342" t="s">
        <v>14</v>
      </c>
    </row>
    <row r="343" spans="1:11" x14ac:dyDescent="0.25">
      <c r="A343" t="s">
        <v>416</v>
      </c>
      <c r="B343" t="s">
        <v>271</v>
      </c>
      <c r="C343" t="s">
        <v>24</v>
      </c>
      <c r="D343" t="s">
        <v>58</v>
      </c>
      <c r="E343" t="s">
        <v>272</v>
      </c>
      <c r="F343" t="s">
        <v>19</v>
      </c>
      <c r="G343" t="s">
        <v>14</v>
      </c>
      <c r="I343" t="s">
        <v>519</v>
      </c>
      <c r="J343" t="s">
        <v>518</v>
      </c>
      <c r="K343" t="s">
        <v>421</v>
      </c>
    </row>
    <row r="344" spans="1:11" x14ac:dyDescent="0.25">
      <c r="A344" t="s">
        <v>416</v>
      </c>
      <c r="B344" t="s">
        <v>281</v>
      </c>
      <c r="C344" t="s">
        <v>24</v>
      </c>
      <c r="D344" t="s">
        <v>58</v>
      </c>
      <c r="E344" t="s">
        <v>282</v>
      </c>
      <c r="F344" t="s">
        <v>19</v>
      </c>
      <c r="G344" t="s">
        <v>14</v>
      </c>
      <c r="I344" t="s">
        <v>519</v>
      </c>
      <c r="J344" t="s">
        <v>518</v>
      </c>
      <c r="K344" t="s">
        <v>421</v>
      </c>
    </row>
    <row r="345" spans="1:11" x14ac:dyDescent="0.25">
      <c r="A345" t="s">
        <v>416</v>
      </c>
      <c r="B345" t="s">
        <v>229</v>
      </c>
      <c r="C345" t="s">
        <v>24</v>
      </c>
      <c r="D345" t="s">
        <v>58</v>
      </c>
      <c r="E345" t="s">
        <v>230</v>
      </c>
      <c r="F345" t="s">
        <v>19</v>
      </c>
      <c r="G345" t="s">
        <v>14</v>
      </c>
      <c r="I345" t="s">
        <v>519</v>
      </c>
      <c r="J345" t="s">
        <v>518</v>
      </c>
      <c r="K345" t="s">
        <v>421</v>
      </c>
    </row>
    <row r="346" spans="1:11" x14ac:dyDescent="0.25">
      <c r="A346" t="s">
        <v>416</v>
      </c>
      <c r="B346" t="s">
        <v>269</v>
      </c>
      <c r="C346" t="s">
        <v>24</v>
      </c>
      <c r="D346" t="s">
        <v>58</v>
      </c>
      <c r="E346" t="s">
        <v>270</v>
      </c>
      <c r="F346" t="s">
        <v>19</v>
      </c>
      <c r="G346" t="s">
        <v>14</v>
      </c>
      <c r="I346" t="s">
        <v>519</v>
      </c>
      <c r="J346" t="s">
        <v>518</v>
      </c>
      <c r="K346" t="s">
        <v>421</v>
      </c>
    </row>
    <row r="347" spans="1:11" x14ac:dyDescent="0.25">
      <c r="A347" t="s">
        <v>416</v>
      </c>
      <c r="B347" t="s">
        <v>265</v>
      </c>
      <c r="C347" t="s">
        <v>24</v>
      </c>
      <c r="D347" t="s">
        <v>58</v>
      </c>
      <c r="E347" t="s">
        <v>266</v>
      </c>
      <c r="F347" t="s">
        <v>19</v>
      </c>
      <c r="G347" t="s">
        <v>14</v>
      </c>
      <c r="I347" t="s">
        <v>519</v>
      </c>
      <c r="J347" t="s">
        <v>518</v>
      </c>
      <c r="K347" t="s">
        <v>421</v>
      </c>
    </row>
    <row r="348" spans="1:11" x14ac:dyDescent="0.25">
      <c r="A348" t="s">
        <v>416</v>
      </c>
      <c r="B348" t="s">
        <v>267</v>
      </c>
      <c r="C348" t="s">
        <v>24</v>
      </c>
      <c r="D348" t="s">
        <v>58</v>
      </c>
      <c r="E348" t="s">
        <v>268</v>
      </c>
      <c r="F348" t="s">
        <v>19</v>
      </c>
      <c r="G348" t="s">
        <v>14</v>
      </c>
      <c r="I348" t="s">
        <v>519</v>
      </c>
      <c r="J348" t="s">
        <v>518</v>
      </c>
      <c r="K348" t="s">
        <v>421</v>
      </c>
    </row>
    <row r="349" spans="1:11" x14ac:dyDescent="0.25">
      <c r="A349" t="s">
        <v>416</v>
      </c>
      <c r="B349" t="s">
        <v>275</v>
      </c>
      <c r="C349" t="s">
        <v>24</v>
      </c>
      <c r="D349" t="s">
        <v>58</v>
      </c>
      <c r="E349" t="s">
        <v>276</v>
      </c>
      <c r="F349" t="s">
        <v>19</v>
      </c>
      <c r="G349" t="s">
        <v>14</v>
      </c>
      <c r="I349" t="s">
        <v>519</v>
      </c>
      <c r="J349" t="s">
        <v>518</v>
      </c>
      <c r="K349" t="s">
        <v>421</v>
      </c>
    </row>
    <row r="350" spans="1:11" x14ac:dyDescent="0.25">
      <c r="A350" t="s">
        <v>416</v>
      </c>
      <c r="B350" t="s">
        <v>209</v>
      </c>
      <c r="C350" t="s">
        <v>24</v>
      </c>
      <c r="D350" t="s">
        <v>58</v>
      </c>
      <c r="E350" t="s">
        <v>210</v>
      </c>
      <c r="F350" t="s">
        <v>19</v>
      </c>
      <c r="G350" t="s">
        <v>14</v>
      </c>
      <c r="H350">
        <v>320</v>
      </c>
      <c r="I350" t="s">
        <v>527</v>
      </c>
      <c r="J350" t="s">
        <v>518</v>
      </c>
      <c r="K350" t="s">
        <v>455</v>
      </c>
    </row>
    <row r="351" spans="1:11" x14ac:dyDescent="0.25">
      <c r="A351" t="s">
        <v>416</v>
      </c>
      <c r="B351" t="s">
        <v>235</v>
      </c>
      <c r="C351" t="s">
        <v>24</v>
      </c>
      <c r="D351" t="s">
        <v>58</v>
      </c>
      <c r="E351" t="s">
        <v>236</v>
      </c>
      <c r="F351" t="s">
        <v>9</v>
      </c>
      <c r="G351" t="s">
        <v>14</v>
      </c>
      <c r="H351">
        <v>373.1</v>
      </c>
      <c r="I351" t="s">
        <v>519</v>
      </c>
      <c r="J351" t="s">
        <v>520</v>
      </c>
      <c r="K351" t="s">
        <v>414</v>
      </c>
    </row>
    <row r="352" spans="1:11" x14ac:dyDescent="0.25">
      <c r="A352" t="s">
        <v>416</v>
      </c>
      <c r="B352" t="s">
        <v>191</v>
      </c>
      <c r="C352" t="s">
        <v>24</v>
      </c>
      <c r="D352" t="s">
        <v>58</v>
      </c>
      <c r="E352" t="s">
        <v>192</v>
      </c>
      <c r="F352" t="s">
        <v>19</v>
      </c>
      <c r="G352" t="s">
        <v>14</v>
      </c>
      <c r="H352">
        <v>388.5</v>
      </c>
      <c r="I352" t="s">
        <v>523</v>
      </c>
      <c r="J352" t="s">
        <v>520</v>
      </c>
      <c r="K352" t="s">
        <v>468</v>
      </c>
    </row>
    <row r="353" spans="1:11" x14ac:dyDescent="0.25">
      <c r="A353" t="s">
        <v>416</v>
      </c>
      <c r="B353" t="s">
        <v>171</v>
      </c>
      <c r="C353" t="s">
        <v>24</v>
      </c>
      <c r="D353" t="s">
        <v>58</v>
      </c>
      <c r="E353" t="s">
        <v>172</v>
      </c>
      <c r="F353" t="s">
        <v>19</v>
      </c>
      <c r="G353" t="s">
        <v>14</v>
      </c>
      <c r="H353">
        <v>126.69999999999999</v>
      </c>
      <c r="I353" t="s">
        <v>523</v>
      </c>
      <c r="J353" t="s">
        <v>520</v>
      </c>
      <c r="K353" t="s">
        <v>481</v>
      </c>
    </row>
    <row r="354" spans="1:11" x14ac:dyDescent="0.25">
      <c r="A354" t="s">
        <v>416</v>
      </c>
      <c r="B354" t="s">
        <v>209</v>
      </c>
      <c r="C354" t="s">
        <v>24</v>
      </c>
      <c r="D354" t="s">
        <v>58</v>
      </c>
      <c r="E354" t="s">
        <v>210</v>
      </c>
      <c r="F354" t="s">
        <v>19</v>
      </c>
      <c r="G354" t="s">
        <v>542</v>
      </c>
      <c r="H354">
        <v>2986.9</v>
      </c>
      <c r="I354" t="s">
        <v>527</v>
      </c>
      <c r="J354" t="s">
        <v>518</v>
      </c>
      <c r="K354" t="s">
        <v>455</v>
      </c>
    </row>
    <row r="355" spans="1:11" x14ac:dyDescent="0.25">
      <c r="A355" t="s">
        <v>416</v>
      </c>
      <c r="B355" t="s">
        <v>243</v>
      </c>
      <c r="C355" t="s">
        <v>24</v>
      </c>
      <c r="D355" t="s">
        <v>58</v>
      </c>
      <c r="E355" t="s">
        <v>244</v>
      </c>
      <c r="F355" t="s">
        <v>9</v>
      </c>
      <c r="G355" t="s">
        <v>14</v>
      </c>
      <c r="H355">
        <v>373.1</v>
      </c>
      <c r="I355" t="s">
        <v>519</v>
      </c>
      <c r="J355" t="s">
        <v>520</v>
      </c>
      <c r="K355" t="s">
        <v>438</v>
      </c>
    </row>
    <row r="356" spans="1:11" x14ac:dyDescent="0.25">
      <c r="A356" t="s">
        <v>416</v>
      </c>
      <c r="B356" t="s">
        <v>237</v>
      </c>
      <c r="C356" t="s">
        <v>24</v>
      </c>
      <c r="D356" t="s">
        <v>58</v>
      </c>
      <c r="E356" t="s">
        <v>238</v>
      </c>
      <c r="F356" t="s">
        <v>9</v>
      </c>
      <c r="G356" t="s">
        <v>14</v>
      </c>
      <c r="H356">
        <v>209.3</v>
      </c>
      <c r="I356" t="s">
        <v>519</v>
      </c>
      <c r="J356" t="s">
        <v>521</v>
      </c>
      <c r="K356" t="s">
        <v>442</v>
      </c>
    </row>
    <row r="357" spans="1:11" x14ac:dyDescent="0.25">
      <c r="A357" t="s">
        <v>416</v>
      </c>
      <c r="B357" t="s">
        <v>241</v>
      </c>
      <c r="C357" t="s">
        <v>24</v>
      </c>
      <c r="D357" t="s">
        <v>58</v>
      </c>
      <c r="E357" t="s">
        <v>242</v>
      </c>
      <c r="F357" t="s">
        <v>9</v>
      </c>
      <c r="G357" t="s">
        <v>14</v>
      </c>
      <c r="H357">
        <v>373.1</v>
      </c>
      <c r="I357" t="s">
        <v>519</v>
      </c>
      <c r="J357" t="s">
        <v>520</v>
      </c>
      <c r="K357" t="s">
        <v>439</v>
      </c>
    </row>
    <row r="358" spans="1:11" hidden="1" x14ac:dyDescent="0.25">
      <c r="A358" t="s">
        <v>416</v>
      </c>
      <c r="B358" t="s">
        <v>577</v>
      </c>
      <c r="C358" t="s">
        <v>24</v>
      </c>
      <c r="D358" t="s">
        <v>58</v>
      </c>
      <c r="E358" t="s">
        <v>578</v>
      </c>
      <c r="F358" t="s">
        <v>19</v>
      </c>
      <c r="G358" t="s">
        <v>540</v>
      </c>
      <c r="H358">
        <v>1213.0999999999999</v>
      </c>
      <c r="I358" t="s">
        <v>527</v>
      </c>
      <c r="J358" t="s">
        <v>518</v>
      </c>
      <c r="K358" t="s">
        <v>579</v>
      </c>
    </row>
    <row r="359" spans="1:11" x14ac:dyDescent="0.25">
      <c r="A359" t="s">
        <v>416</v>
      </c>
      <c r="B359" t="s">
        <v>577</v>
      </c>
      <c r="C359" t="s">
        <v>24</v>
      </c>
      <c r="D359" t="s">
        <v>58</v>
      </c>
      <c r="E359" t="s">
        <v>578</v>
      </c>
      <c r="F359" t="s">
        <v>19</v>
      </c>
      <c r="G359" t="s">
        <v>542</v>
      </c>
      <c r="H359">
        <v>130</v>
      </c>
      <c r="I359" t="s">
        <v>527</v>
      </c>
      <c r="J359" t="s">
        <v>518</v>
      </c>
      <c r="K359" t="s">
        <v>579</v>
      </c>
    </row>
    <row r="360" spans="1:11" hidden="1" x14ac:dyDescent="0.25">
      <c r="A360" t="s">
        <v>416</v>
      </c>
      <c r="B360" t="s">
        <v>585</v>
      </c>
      <c r="C360" t="s">
        <v>24</v>
      </c>
      <c r="D360" t="s">
        <v>58</v>
      </c>
      <c r="E360" t="s">
        <v>586</v>
      </c>
      <c r="F360" t="s">
        <v>19</v>
      </c>
      <c r="G360" t="s">
        <v>540</v>
      </c>
      <c r="H360">
        <v>746.9</v>
      </c>
      <c r="I360" t="s">
        <v>527</v>
      </c>
      <c r="J360" t="s">
        <v>518</v>
      </c>
      <c r="K360" t="s">
        <v>587</v>
      </c>
    </row>
    <row r="361" spans="1:11" x14ac:dyDescent="0.25">
      <c r="A361" t="s">
        <v>416</v>
      </c>
      <c r="B361" t="s">
        <v>585</v>
      </c>
      <c r="C361" t="s">
        <v>24</v>
      </c>
      <c r="D361" t="s">
        <v>58</v>
      </c>
      <c r="E361" t="s">
        <v>586</v>
      </c>
      <c r="F361" t="s">
        <v>19</v>
      </c>
      <c r="G361" t="s">
        <v>542</v>
      </c>
      <c r="H361">
        <v>80</v>
      </c>
      <c r="I361" t="s">
        <v>527</v>
      </c>
      <c r="J361" t="s">
        <v>518</v>
      </c>
      <c r="K361" t="s">
        <v>587</v>
      </c>
    </row>
    <row r="362" spans="1:11" x14ac:dyDescent="0.25">
      <c r="A362" t="s">
        <v>416</v>
      </c>
      <c r="B362" t="s">
        <v>200</v>
      </c>
      <c r="C362" t="s">
        <v>24</v>
      </c>
      <c r="D362" t="s">
        <v>58</v>
      </c>
      <c r="E362" t="s">
        <v>201</v>
      </c>
      <c r="F362" t="s">
        <v>19</v>
      </c>
      <c r="G362" t="s">
        <v>542</v>
      </c>
      <c r="H362">
        <v>2986.9</v>
      </c>
      <c r="I362" t="s">
        <v>527</v>
      </c>
      <c r="J362" t="s">
        <v>518</v>
      </c>
      <c r="K362" t="s">
        <v>459</v>
      </c>
    </row>
    <row r="363" spans="1:11" x14ac:dyDescent="0.25">
      <c r="A363" t="s">
        <v>416</v>
      </c>
      <c r="B363" t="s">
        <v>135</v>
      </c>
      <c r="C363" t="s">
        <v>24</v>
      </c>
      <c r="D363" t="s">
        <v>58</v>
      </c>
      <c r="E363" t="s">
        <v>136</v>
      </c>
      <c r="F363" t="s">
        <v>9</v>
      </c>
      <c r="G363" t="s">
        <v>14</v>
      </c>
      <c r="I363" t="s">
        <v>519</v>
      </c>
      <c r="J363" t="s">
        <v>520</v>
      </c>
      <c r="K363" t="s">
        <v>464</v>
      </c>
    </row>
    <row r="364" spans="1:11" x14ac:dyDescent="0.25">
      <c r="A364" t="s">
        <v>416</v>
      </c>
      <c r="B364" t="s">
        <v>196</v>
      </c>
      <c r="C364" t="s">
        <v>24</v>
      </c>
      <c r="D364" t="s">
        <v>58</v>
      </c>
      <c r="E364" t="s">
        <v>197</v>
      </c>
      <c r="F364" t="s">
        <v>19</v>
      </c>
      <c r="G364" t="s">
        <v>542</v>
      </c>
      <c r="H364">
        <v>746.9</v>
      </c>
      <c r="I364" t="s">
        <v>527</v>
      </c>
      <c r="J364" t="s">
        <v>524</v>
      </c>
      <c r="K364" t="s">
        <v>462</v>
      </c>
    </row>
    <row r="365" spans="1:11" x14ac:dyDescent="0.25">
      <c r="A365" t="s">
        <v>416</v>
      </c>
      <c r="B365" t="s">
        <v>239</v>
      </c>
      <c r="C365" t="s">
        <v>24</v>
      </c>
      <c r="D365" t="s">
        <v>58</v>
      </c>
      <c r="E365" t="s">
        <v>240</v>
      </c>
      <c r="F365" t="s">
        <v>9</v>
      </c>
      <c r="G365" t="s">
        <v>14</v>
      </c>
      <c r="H365">
        <v>156.80000000000001</v>
      </c>
      <c r="I365" t="s">
        <v>519</v>
      </c>
      <c r="J365" t="s">
        <v>521</v>
      </c>
      <c r="K365" t="s">
        <v>441</v>
      </c>
    </row>
    <row r="366" spans="1:11" x14ac:dyDescent="0.25">
      <c r="A366" t="s">
        <v>416</v>
      </c>
      <c r="B366" t="s">
        <v>98</v>
      </c>
      <c r="C366" t="s">
        <v>24</v>
      </c>
      <c r="D366" t="s">
        <v>58</v>
      </c>
      <c r="E366" t="s">
        <v>99</v>
      </c>
      <c r="F366" t="s">
        <v>19</v>
      </c>
      <c r="G366" t="s">
        <v>14</v>
      </c>
      <c r="H366">
        <v>32</v>
      </c>
      <c r="I366" t="s">
        <v>519</v>
      </c>
      <c r="J366" t="s">
        <v>518</v>
      </c>
      <c r="K366" t="s">
        <v>492</v>
      </c>
    </row>
    <row r="367" spans="1:11" x14ac:dyDescent="0.25">
      <c r="A367" t="s">
        <v>416</v>
      </c>
      <c r="B367" t="s">
        <v>90</v>
      </c>
      <c r="C367" t="s">
        <v>24</v>
      </c>
      <c r="D367" t="s">
        <v>58</v>
      </c>
      <c r="E367" t="s">
        <v>91</v>
      </c>
      <c r="F367" t="s">
        <v>9</v>
      </c>
      <c r="G367" t="s">
        <v>542</v>
      </c>
      <c r="H367">
        <v>746.9</v>
      </c>
      <c r="I367" t="s">
        <v>527</v>
      </c>
      <c r="J367" t="s">
        <v>518</v>
      </c>
      <c r="K367" t="s">
        <v>432</v>
      </c>
    </row>
    <row r="368" spans="1:11" x14ac:dyDescent="0.25">
      <c r="A368" t="s">
        <v>416</v>
      </c>
      <c r="B368" t="s">
        <v>195</v>
      </c>
      <c r="C368" t="s">
        <v>24</v>
      </c>
      <c r="D368" t="s">
        <v>58</v>
      </c>
      <c r="E368" t="s">
        <v>413</v>
      </c>
      <c r="F368" t="s">
        <v>19</v>
      </c>
      <c r="G368" t="s">
        <v>14</v>
      </c>
      <c r="H368">
        <v>13.6</v>
      </c>
      <c r="I368" t="s">
        <v>519</v>
      </c>
      <c r="J368" t="s">
        <v>520</v>
      </c>
      <c r="K368" t="s">
        <v>463</v>
      </c>
    </row>
    <row r="369" spans="1:11" x14ac:dyDescent="0.25">
      <c r="A369" t="s">
        <v>416</v>
      </c>
      <c r="B369" t="s">
        <v>532</v>
      </c>
      <c r="C369" t="s">
        <v>102</v>
      </c>
      <c r="D369" t="s">
        <v>114</v>
      </c>
      <c r="E369" t="s">
        <v>533</v>
      </c>
      <c r="F369" t="s">
        <v>9</v>
      </c>
      <c r="G369" t="s">
        <v>14</v>
      </c>
      <c r="H369">
        <v>653.1</v>
      </c>
      <c r="I369" t="s">
        <v>519</v>
      </c>
      <c r="J369" t="s">
        <v>518</v>
      </c>
      <c r="K369" t="s">
        <v>534</v>
      </c>
    </row>
    <row r="370" spans="1:11" x14ac:dyDescent="0.25">
      <c r="A370" t="s">
        <v>416</v>
      </c>
      <c r="B370" t="s">
        <v>535</v>
      </c>
      <c r="C370" t="s">
        <v>102</v>
      </c>
      <c r="D370" t="s">
        <v>114</v>
      </c>
      <c r="E370" t="s">
        <v>536</v>
      </c>
      <c r="F370" t="s">
        <v>9</v>
      </c>
      <c r="G370" t="s">
        <v>14</v>
      </c>
      <c r="H370">
        <v>280</v>
      </c>
      <c r="I370" t="s">
        <v>519</v>
      </c>
      <c r="J370" t="s">
        <v>520</v>
      </c>
      <c r="K370" t="s">
        <v>537</v>
      </c>
    </row>
    <row r="371" spans="1:11" x14ac:dyDescent="0.25">
      <c r="A371" t="s">
        <v>416</v>
      </c>
      <c r="B371" t="s">
        <v>221</v>
      </c>
      <c r="C371" t="s">
        <v>102</v>
      </c>
      <c r="D371" t="s">
        <v>114</v>
      </c>
      <c r="E371" t="s">
        <v>222</v>
      </c>
      <c r="F371" t="s">
        <v>9</v>
      </c>
      <c r="G371" t="s">
        <v>14</v>
      </c>
      <c r="H371">
        <v>522.9</v>
      </c>
      <c r="I371" t="s">
        <v>519</v>
      </c>
      <c r="J371" t="s">
        <v>520</v>
      </c>
      <c r="K371" t="s">
        <v>580</v>
      </c>
    </row>
    <row r="372" spans="1:11" x14ac:dyDescent="0.25">
      <c r="A372" t="s">
        <v>416</v>
      </c>
      <c r="B372" t="s">
        <v>173</v>
      </c>
      <c r="C372" t="s">
        <v>102</v>
      </c>
      <c r="D372" t="s">
        <v>114</v>
      </c>
      <c r="E372" t="s">
        <v>412</v>
      </c>
      <c r="F372" t="s">
        <v>9</v>
      </c>
      <c r="G372" t="s">
        <v>14</v>
      </c>
      <c r="H372">
        <v>298.89999999999998</v>
      </c>
      <c r="I372" t="s">
        <v>519</v>
      </c>
      <c r="J372" t="s">
        <v>520</v>
      </c>
      <c r="K372" t="s">
        <v>480</v>
      </c>
    </row>
    <row r="373" spans="1:11" x14ac:dyDescent="0.25">
      <c r="A373" t="s">
        <v>416</v>
      </c>
      <c r="B373" t="s">
        <v>139</v>
      </c>
      <c r="C373" t="s">
        <v>102</v>
      </c>
      <c r="D373" t="s">
        <v>114</v>
      </c>
      <c r="E373" t="s">
        <v>140</v>
      </c>
      <c r="F373" t="s">
        <v>9</v>
      </c>
      <c r="G373" t="s">
        <v>14</v>
      </c>
      <c r="H373">
        <v>448</v>
      </c>
      <c r="I373" t="s">
        <v>519</v>
      </c>
      <c r="J373" t="s">
        <v>520</v>
      </c>
      <c r="K373" t="s">
        <v>469</v>
      </c>
    </row>
    <row r="374" spans="1:11" x14ac:dyDescent="0.25">
      <c r="A374" t="s">
        <v>416</v>
      </c>
      <c r="B374" t="s">
        <v>144</v>
      </c>
      <c r="C374" t="s">
        <v>102</v>
      </c>
      <c r="D374" t="s">
        <v>114</v>
      </c>
      <c r="E374" t="s">
        <v>145</v>
      </c>
      <c r="F374" t="s">
        <v>19</v>
      </c>
      <c r="G374" t="s">
        <v>542</v>
      </c>
      <c r="H374">
        <v>2986.9</v>
      </c>
      <c r="I374" t="s">
        <v>527</v>
      </c>
      <c r="J374" t="s">
        <v>520</v>
      </c>
      <c r="K374" t="s">
        <v>490</v>
      </c>
    </row>
    <row r="375" spans="1:11" x14ac:dyDescent="0.25">
      <c r="A375" t="s">
        <v>416</v>
      </c>
      <c r="B375" t="s">
        <v>144</v>
      </c>
      <c r="C375" t="s">
        <v>102</v>
      </c>
      <c r="D375" t="s">
        <v>114</v>
      </c>
      <c r="E375" t="s">
        <v>145</v>
      </c>
      <c r="F375" t="s">
        <v>19</v>
      </c>
      <c r="G375" t="s">
        <v>14</v>
      </c>
      <c r="H375">
        <v>320</v>
      </c>
      <c r="I375" t="s">
        <v>527</v>
      </c>
      <c r="J375" t="s">
        <v>520</v>
      </c>
      <c r="K375" t="s">
        <v>490</v>
      </c>
    </row>
    <row r="376" spans="1:11" x14ac:dyDescent="0.25">
      <c r="A376" t="s">
        <v>416</v>
      </c>
      <c r="B376" t="s">
        <v>142</v>
      </c>
      <c r="C376" t="s">
        <v>102</v>
      </c>
      <c r="D376" t="s">
        <v>114</v>
      </c>
      <c r="E376" t="s">
        <v>143</v>
      </c>
      <c r="F376" t="s">
        <v>9</v>
      </c>
      <c r="G376" t="s">
        <v>14</v>
      </c>
      <c r="H376">
        <v>560</v>
      </c>
      <c r="I376" t="s">
        <v>519</v>
      </c>
      <c r="J376" t="s">
        <v>520</v>
      </c>
      <c r="K376" t="s">
        <v>475</v>
      </c>
    </row>
    <row r="377" spans="1:11" x14ac:dyDescent="0.25">
      <c r="A377" t="s">
        <v>416</v>
      </c>
      <c r="B377" t="s">
        <v>141</v>
      </c>
      <c r="C377" t="s">
        <v>102</v>
      </c>
      <c r="D377" t="s">
        <v>114</v>
      </c>
      <c r="E377" t="s">
        <v>411</v>
      </c>
      <c r="F377" t="s">
        <v>9</v>
      </c>
      <c r="G377" t="s">
        <v>14</v>
      </c>
      <c r="H377">
        <v>448</v>
      </c>
      <c r="I377" t="s">
        <v>519</v>
      </c>
      <c r="J377" t="s">
        <v>520</v>
      </c>
      <c r="K377" t="s">
        <v>591</v>
      </c>
    </row>
    <row r="378" spans="1:11" x14ac:dyDescent="0.25">
      <c r="A378" t="s">
        <v>416</v>
      </c>
      <c r="B378" t="s">
        <v>207</v>
      </c>
      <c r="C378" t="s">
        <v>17</v>
      </c>
      <c r="D378" t="s">
        <v>205</v>
      </c>
      <c r="E378" t="s">
        <v>208</v>
      </c>
      <c r="F378" t="s">
        <v>62</v>
      </c>
      <c r="G378" t="s">
        <v>14</v>
      </c>
      <c r="H378">
        <v>355.6</v>
      </c>
      <c r="I378" t="s">
        <v>519</v>
      </c>
      <c r="J378" t="s">
        <v>526</v>
      </c>
      <c r="K378" t="s">
        <v>456</v>
      </c>
    </row>
    <row r="379" spans="1:11" x14ac:dyDescent="0.25">
      <c r="A379" t="s">
        <v>416</v>
      </c>
      <c r="B379" t="s">
        <v>204</v>
      </c>
      <c r="C379" t="s">
        <v>17</v>
      </c>
      <c r="D379" t="s">
        <v>205</v>
      </c>
      <c r="E379" t="s">
        <v>206</v>
      </c>
      <c r="F379" t="s">
        <v>62</v>
      </c>
      <c r="G379" t="s">
        <v>14</v>
      </c>
      <c r="H379">
        <v>74.900000000000006</v>
      </c>
      <c r="I379" t="s">
        <v>523</v>
      </c>
      <c r="J379" t="s">
        <v>520</v>
      </c>
      <c r="K379" t="s">
        <v>457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0D85-EE13-432D-ADB5-A12FE4CB8309}">
  <dimension ref="B3:C9"/>
  <sheetViews>
    <sheetView tabSelected="1" workbookViewId="0">
      <selection activeCell="J19" sqref="J19"/>
    </sheetView>
    <sheetView tabSelected="1" workbookViewId="1">
      <selection activeCell="H15" sqref="H15"/>
    </sheetView>
  </sheetViews>
  <sheetFormatPr defaultRowHeight="15" x14ac:dyDescent="0.25"/>
  <cols>
    <col min="2" max="2" width="18.7109375" bestFit="1" customWidth="1"/>
  </cols>
  <sheetData>
    <row r="3" spans="2:3" x14ac:dyDescent="0.25">
      <c r="B3" t="s">
        <v>742</v>
      </c>
      <c r="C3" s="3">
        <f>'[1]Est hrs calc'!$I$14</f>
        <v>85233.333333333328</v>
      </c>
    </row>
    <row r="4" spans="2:3" x14ac:dyDescent="0.25">
      <c r="B4" t="s">
        <v>743</v>
      </c>
      <c r="C4" s="3">
        <f>'[1]Est hrs calc'!$I$13</f>
        <v>160808.08462000001</v>
      </c>
    </row>
    <row r="5" spans="2:3" x14ac:dyDescent="0.25">
      <c r="B5" t="s">
        <v>741</v>
      </c>
      <c r="C5" s="3">
        <f>'[1]Est hrs calc'!$I$15</f>
        <v>246041.41795333335</v>
      </c>
    </row>
    <row r="7" spans="2:3" x14ac:dyDescent="0.25">
      <c r="B7" t="s">
        <v>744</v>
      </c>
      <c r="C7" s="3">
        <f>SUMIF('Full Features'!G:G,"PI28",'Full Features'!H:H)</f>
        <v>56218.299999999996</v>
      </c>
    </row>
    <row r="8" spans="2:3" x14ac:dyDescent="0.25">
      <c r="B8" t="s">
        <v>745</v>
      </c>
      <c r="C8" s="3">
        <f>SUMIF('Full Features'!G:G,"PI29",'Full Features'!H:H)</f>
        <v>66240.399999999994</v>
      </c>
    </row>
    <row r="9" spans="2:3" x14ac:dyDescent="0.25">
      <c r="B9" t="s">
        <v>746</v>
      </c>
      <c r="C9" s="3">
        <f>SUMIF('Full Features'!G:G,"PI30",'Full Features'!H:H)</f>
        <v>38372.700000000004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1FAE-41CD-4861-A2F7-1A95CF3D3F50}">
  <dimension ref="A1:H9"/>
  <sheetViews>
    <sheetView workbookViewId="0">
      <selection activeCell="H2" sqref="H2:H3"/>
    </sheetView>
    <sheetView workbookViewId="1"/>
  </sheetViews>
  <sheetFormatPr defaultRowHeight="15" x14ac:dyDescent="0.25"/>
  <cols>
    <col min="1" max="1" width="5" bestFit="1" customWidth="1"/>
    <col min="2" max="2" width="12.7109375" bestFit="1" customWidth="1"/>
    <col min="3" max="3" width="11.28515625" bestFit="1" customWidth="1"/>
    <col min="4" max="4" width="12.7109375" bestFit="1" customWidth="1"/>
    <col min="5" max="5" width="5" bestFit="1" customWidth="1"/>
    <col min="6" max="6" width="11.28515625" bestFit="1" customWidth="1"/>
  </cols>
  <sheetData>
    <row r="1" spans="1:8" x14ac:dyDescent="0.25">
      <c r="A1" t="s">
        <v>6</v>
      </c>
      <c r="B1" t="s">
        <v>5</v>
      </c>
      <c r="C1" t="s">
        <v>4</v>
      </c>
    </row>
    <row r="2" spans="1:8" x14ac:dyDescent="0.25">
      <c r="A2" s="1" t="s">
        <v>14</v>
      </c>
      <c r="B2" s="1" t="s">
        <v>19</v>
      </c>
      <c r="C2">
        <v>29942</v>
      </c>
    </row>
    <row r="3" spans="1:8" x14ac:dyDescent="0.25">
      <c r="A3" s="1" t="s">
        <v>14</v>
      </c>
      <c r="B3" s="1" t="s">
        <v>9</v>
      </c>
      <c r="C3">
        <v>24084</v>
      </c>
      <c r="H3" s="3"/>
    </row>
    <row r="4" spans="1:8" x14ac:dyDescent="0.25">
      <c r="A4" s="1" t="s">
        <v>14</v>
      </c>
      <c r="B4" s="1" t="s">
        <v>62</v>
      </c>
      <c r="C4">
        <v>3907</v>
      </c>
    </row>
    <row r="5" spans="1:8" x14ac:dyDescent="0.25">
      <c r="A5" s="1" t="s">
        <v>542</v>
      </c>
      <c r="B5" s="1" t="s">
        <v>19</v>
      </c>
      <c r="C5">
        <v>40423</v>
      </c>
    </row>
    <row r="6" spans="1:8" x14ac:dyDescent="0.25">
      <c r="A6" s="1" t="s">
        <v>542</v>
      </c>
      <c r="B6" s="1" t="s">
        <v>9</v>
      </c>
      <c r="C6">
        <v>25745</v>
      </c>
    </row>
    <row r="7" spans="1:8" x14ac:dyDescent="0.25">
      <c r="A7" s="1" t="s">
        <v>542</v>
      </c>
      <c r="B7" s="1" t="s">
        <v>62</v>
      </c>
      <c r="C7">
        <v>508</v>
      </c>
    </row>
    <row r="8" spans="1:8" x14ac:dyDescent="0.25">
      <c r="A8" s="1" t="s">
        <v>540</v>
      </c>
      <c r="B8" s="1" t="s">
        <v>19</v>
      </c>
      <c r="C8">
        <v>30932</v>
      </c>
    </row>
    <row r="9" spans="1:8" x14ac:dyDescent="0.25">
      <c r="A9" s="1" t="s">
        <v>540</v>
      </c>
      <c r="B9" s="1" t="s">
        <v>9</v>
      </c>
      <c r="C9">
        <v>8493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A3EE-BFC6-49AE-8647-1AD7531BE6D8}">
  <dimension ref="A1:E20"/>
  <sheetViews>
    <sheetView workbookViewId="0">
      <selection activeCell="E2" sqref="E2:E7"/>
    </sheetView>
    <sheetView workbookViewId="1"/>
  </sheetViews>
  <sheetFormatPr defaultRowHeight="15" x14ac:dyDescent="0.25"/>
  <cols>
    <col min="1" max="1" width="5" bestFit="1" customWidth="1"/>
    <col min="2" max="2" width="41" bestFit="1" customWidth="1"/>
    <col min="3" max="3" width="17.42578125" bestFit="1" customWidth="1"/>
    <col min="4" max="4" width="16.28515625" bestFit="1" customWidth="1"/>
    <col min="5" max="5" width="11.28515625" customWidth="1"/>
    <col min="6" max="6" width="5" bestFit="1" customWidth="1"/>
    <col min="7" max="7" width="41" bestFit="1" customWidth="1"/>
    <col min="8" max="8" width="16.85546875" bestFit="1" customWidth="1"/>
    <col min="9" max="10" width="4.7109375" bestFit="1" customWidth="1"/>
    <col min="11" max="11" width="11.28515625" bestFit="1" customWidth="1"/>
    <col min="12" max="12" width="4.7109375" bestFit="1" customWidth="1"/>
    <col min="13" max="14" width="11.28515625" bestFit="1" customWidth="1"/>
    <col min="15" max="15" width="23.85546875" bestFit="1" customWidth="1"/>
    <col min="16" max="16" width="26.7109375" bestFit="1" customWidth="1"/>
    <col min="17" max="17" width="28.85546875" bestFit="1" customWidth="1"/>
    <col min="18" max="18" width="31.7109375" bestFit="1" customWidth="1"/>
  </cols>
  <sheetData>
    <row r="1" spans="1:5" x14ac:dyDescent="0.25">
      <c r="A1" t="s">
        <v>6</v>
      </c>
      <c r="B1" t="s">
        <v>1</v>
      </c>
      <c r="C1" t="s">
        <v>734</v>
      </c>
      <c r="D1" t="s">
        <v>735</v>
      </c>
      <c r="E1" t="s">
        <v>4</v>
      </c>
    </row>
    <row r="2" spans="1:5" x14ac:dyDescent="0.25">
      <c r="A2" s="1" t="s">
        <v>14</v>
      </c>
      <c r="B2" s="1" t="s">
        <v>41</v>
      </c>
      <c r="C2">
        <v>13</v>
      </c>
      <c r="D2">
        <v>37</v>
      </c>
      <c r="E2">
        <v>19029</v>
      </c>
    </row>
    <row r="3" spans="1:5" x14ac:dyDescent="0.25">
      <c r="A3" s="1" t="s">
        <v>14</v>
      </c>
      <c r="B3" s="1" t="s">
        <v>24</v>
      </c>
      <c r="C3">
        <v>10</v>
      </c>
      <c r="D3">
        <v>82</v>
      </c>
      <c r="E3">
        <v>17782</v>
      </c>
    </row>
    <row r="4" spans="1:5" x14ac:dyDescent="0.25">
      <c r="A4" s="1" t="s">
        <v>14</v>
      </c>
      <c r="B4" s="1" t="s">
        <v>7</v>
      </c>
      <c r="C4">
        <v>5</v>
      </c>
      <c r="D4">
        <v>13</v>
      </c>
      <c r="E4">
        <v>10483</v>
      </c>
    </row>
    <row r="5" spans="1:5" x14ac:dyDescent="0.25">
      <c r="A5" s="1" t="s">
        <v>14</v>
      </c>
      <c r="B5" s="1" t="s">
        <v>11</v>
      </c>
      <c r="C5">
        <v>9</v>
      </c>
      <c r="D5">
        <v>22</v>
      </c>
      <c r="E5">
        <v>5376</v>
      </c>
    </row>
    <row r="6" spans="1:5" x14ac:dyDescent="0.25">
      <c r="A6" s="1" t="s">
        <v>14</v>
      </c>
      <c r="B6" s="1" t="s">
        <v>102</v>
      </c>
      <c r="C6">
        <v>2</v>
      </c>
      <c r="D6">
        <v>10</v>
      </c>
      <c r="E6">
        <v>4366</v>
      </c>
    </row>
    <row r="7" spans="1:5" x14ac:dyDescent="0.25">
      <c r="A7" s="1" t="s">
        <v>14</v>
      </c>
      <c r="B7" s="1" t="s">
        <v>17</v>
      </c>
      <c r="C7">
        <v>5</v>
      </c>
      <c r="D7">
        <v>12</v>
      </c>
      <c r="E7">
        <v>898</v>
      </c>
    </row>
    <row r="8" spans="1:5" x14ac:dyDescent="0.25">
      <c r="A8" s="1" t="s">
        <v>542</v>
      </c>
      <c r="B8" s="1" t="s">
        <v>544</v>
      </c>
      <c r="C8">
        <v>2</v>
      </c>
      <c r="D8">
        <v>2</v>
      </c>
      <c r="E8">
        <v>640</v>
      </c>
    </row>
    <row r="9" spans="1:5" x14ac:dyDescent="0.25">
      <c r="A9" s="1" t="s">
        <v>542</v>
      </c>
      <c r="B9" s="1" t="s">
        <v>102</v>
      </c>
      <c r="C9">
        <v>2</v>
      </c>
      <c r="D9">
        <v>2</v>
      </c>
      <c r="E9">
        <v>3883</v>
      </c>
    </row>
    <row r="10" spans="1:5" x14ac:dyDescent="0.25">
      <c r="A10" s="1" t="s">
        <v>542</v>
      </c>
      <c r="B10" s="1" t="s">
        <v>17</v>
      </c>
      <c r="C10">
        <v>6</v>
      </c>
      <c r="D10">
        <v>14</v>
      </c>
      <c r="E10">
        <v>4071</v>
      </c>
    </row>
    <row r="11" spans="1:5" x14ac:dyDescent="0.25">
      <c r="A11" s="1" t="s">
        <v>542</v>
      </c>
      <c r="B11" s="1" t="s">
        <v>7</v>
      </c>
      <c r="C11">
        <v>3</v>
      </c>
      <c r="D11">
        <v>5</v>
      </c>
      <c r="E11">
        <v>4371</v>
      </c>
    </row>
    <row r="12" spans="1:5" x14ac:dyDescent="0.25">
      <c r="A12" s="1" t="s">
        <v>542</v>
      </c>
      <c r="B12" s="1" t="s">
        <v>11</v>
      </c>
      <c r="C12">
        <v>8</v>
      </c>
      <c r="D12">
        <v>18</v>
      </c>
      <c r="E12">
        <v>5497</v>
      </c>
    </row>
    <row r="13" spans="1:5" x14ac:dyDescent="0.25">
      <c r="A13" s="1" t="s">
        <v>542</v>
      </c>
      <c r="B13" s="1" t="s">
        <v>41</v>
      </c>
      <c r="C13">
        <v>16</v>
      </c>
      <c r="D13">
        <v>24</v>
      </c>
      <c r="E13">
        <v>23394</v>
      </c>
    </row>
    <row r="14" spans="1:5" x14ac:dyDescent="0.25">
      <c r="A14" s="1" t="s">
        <v>542</v>
      </c>
      <c r="B14" s="1" t="s">
        <v>24</v>
      </c>
      <c r="C14">
        <v>10</v>
      </c>
      <c r="D14">
        <v>32</v>
      </c>
      <c r="E14">
        <v>24820</v>
      </c>
    </row>
    <row r="15" spans="1:5" x14ac:dyDescent="0.25">
      <c r="A15" s="1" t="s">
        <v>540</v>
      </c>
      <c r="B15" s="1" t="s">
        <v>41</v>
      </c>
      <c r="C15">
        <v>16</v>
      </c>
      <c r="D15">
        <v>38</v>
      </c>
      <c r="E15">
        <v>21858</v>
      </c>
    </row>
    <row r="16" spans="1:5" x14ac:dyDescent="0.25">
      <c r="A16" s="1" t="s">
        <v>540</v>
      </c>
      <c r="B16" s="1" t="s">
        <v>11</v>
      </c>
      <c r="C16">
        <v>5</v>
      </c>
      <c r="D16">
        <v>6</v>
      </c>
      <c r="E16">
        <v>2727</v>
      </c>
    </row>
    <row r="17" spans="1:5" x14ac:dyDescent="0.25">
      <c r="A17" s="1" t="s">
        <v>540</v>
      </c>
      <c r="B17" s="1" t="s">
        <v>7</v>
      </c>
      <c r="C17">
        <v>1</v>
      </c>
      <c r="D17">
        <v>1</v>
      </c>
      <c r="E17">
        <v>1213</v>
      </c>
    </row>
    <row r="18" spans="1:5" x14ac:dyDescent="0.25">
      <c r="A18" s="1" t="s">
        <v>540</v>
      </c>
      <c r="B18" s="1" t="s">
        <v>544</v>
      </c>
      <c r="C18">
        <v>2</v>
      </c>
      <c r="D18">
        <v>2</v>
      </c>
      <c r="E18">
        <v>5973</v>
      </c>
    </row>
    <row r="19" spans="1:5" x14ac:dyDescent="0.25">
      <c r="A19" s="1" t="s">
        <v>540</v>
      </c>
      <c r="B19" s="1" t="s">
        <v>24</v>
      </c>
      <c r="C19">
        <v>6</v>
      </c>
      <c r="D19">
        <v>13</v>
      </c>
      <c r="E19">
        <v>6870</v>
      </c>
    </row>
    <row r="20" spans="1:5" x14ac:dyDescent="0.25">
      <c r="A20" s="1" t="s">
        <v>540</v>
      </c>
      <c r="B20" s="1" t="s">
        <v>17</v>
      </c>
      <c r="C20">
        <v>3</v>
      </c>
      <c r="D20">
        <v>4</v>
      </c>
      <c r="E20">
        <v>785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8BEE-138E-48CA-944D-91F1AADF66CD}">
  <dimension ref="A1:H125"/>
  <sheetViews>
    <sheetView workbookViewId="0">
      <selection activeCell="I106" sqref="I106"/>
    </sheetView>
    <sheetView workbookViewId="1"/>
  </sheetViews>
  <sheetFormatPr defaultRowHeight="15" x14ac:dyDescent="0.25"/>
  <cols>
    <col min="1" max="1" width="5" bestFit="1" customWidth="1"/>
    <col min="2" max="2" width="46.42578125" customWidth="1"/>
    <col min="3" max="3" width="39.42578125" bestFit="1" customWidth="1"/>
    <col min="4" max="4" width="16.28515625" bestFit="1" customWidth="1"/>
    <col min="5" max="5" width="11.140625" bestFit="1" customWidth="1"/>
    <col min="6" max="8" width="5.42578125" bestFit="1" customWidth="1"/>
    <col min="9" max="9" width="81.140625" bestFit="1" customWidth="1"/>
    <col min="10" max="10" width="11.28515625" bestFit="1" customWidth="1"/>
    <col min="11" max="11" width="17.28515625" bestFit="1" customWidth="1"/>
    <col min="12" max="12" width="24.28515625" bestFit="1" customWidth="1"/>
  </cols>
  <sheetData>
    <row r="1" spans="1:8" x14ac:dyDescent="0.25">
      <c r="A1" t="s">
        <v>6</v>
      </c>
      <c r="B1" t="s">
        <v>1</v>
      </c>
      <c r="C1" t="s">
        <v>2</v>
      </c>
      <c r="D1" t="s">
        <v>736</v>
      </c>
      <c r="E1" t="s">
        <v>737</v>
      </c>
      <c r="F1" t="s">
        <v>738</v>
      </c>
      <c r="G1" t="s">
        <v>739</v>
      </c>
      <c r="H1" t="s">
        <v>740</v>
      </c>
    </row>
    <row r="2" spans="1:8" hidden="1" x14ac:dyDescent="0.25">
      <c r="A2" t="s">
        <v>542</v>
      </c>
      <c r="B2" t="s">
        <v>41</v>
      </c>
      <c r="C2" t="s">
        <v>605</v>
      </c>
      <c r="E2">
        <v>7</v>
      </c>
      <c r="F2">
        <v>0</v>
      </c>
      <c r="G2">
        <v>0</v>
      </c>
      <c r="H2">
        <v>5</v>
      </c>
    </row>
    <row r="3" spans="1:8" hidden="1" x14ac:dyDescent="0.25">
      <c r="A3" t="s">
        <v>14</v>
      </c>
      <c r="B3" t="s">
        <v>7</v>
      </c>
      <c r="C3" t="s">
        <v>8</v>
      </c>
      <c r="D3">
        <v>3838</v>
      </c>
      <c r="E3">
        <v>3</v>
      </c>
      <c r="F3">
        <v>3</v>
      </c>
      <c r="G3">
        <v>0</v>
      </c>
      <c r="H3">
        <v>0</v>
      </c>
    </row>
    <row r="4" spans="1:8" hidden="1" x14ac:dyDescent="0.25">
      <c r="A4" t="s">
        <v>14</v>
      </c>
      <c r="B4" t="s">
        <v>7</v>
      </c>
      <c r="C4" t="s">
        <v>60</v>
      </c>
      <c r="D4">
        <v>2987</v>
      </c>
      <c r="E4">
        <v>1</v>
      </c>
      <c r="F4">
        <v>0</v>
      </c>
      <c r="G4">
        <v>1</v>
      </c>
      <c r="H4">
        <v>0</v>
      </c>
    </row>
    <row r="5" spans="1:8" x14ac:dyDescent="0.25">
      <c r="A5" t="s">
        <v>540</v>
      </c>
      <c r="B5" t="s">
        <v>544</v>
      </c>
      <c r="C5" t="s">
        <v>545</v>
      </c>
      <c r="D5">
        <v>2240</v>
      </c>
      <c r="E5">
        <v>1</v>
      </c>
      <c r="F5">
        <v>0</v>
      </c>
      <c r="G5">
        <v>0</v>
      </c>
      <c r="H5">
        <v>1</v>
      </c>
    </row>
    <row r="6" spans="1:8" x14ac:dyDescent="0.25">
      <c r="A6" t="s">
        <v>540</v>
      </c>
      <c r="B6" t="s">
        <v>544</v>
      </c>
      <c r="C6" t="s">
        <v>647</v>
      </c>
      <c r="D6">
        <v>3733</v>
      </c>
      <c r="E6">
        <v>1</v>
      </c>
      <c r="F6">
        <v>0</v>
      </c>
      <c r="G6">
        <v>0</v>
      </c>
      <c r="H6">
        <v>1</v>
      </c>
    </row>
    <row r="7" spans="1:8" hidden="1" x14ac:dyDescent="0.25">
      <c r="A7" t="s">
        <v>542</v>
      </c>
      <c r="B7" t="s">
        <v>544</v>
      </c>
      <c r="C7" t="s">
        <v>545</v>
      </c>
      <c r="D7">
        <v>240</v>
      </c>
      <c r="E7">
        <v>1</v>
      </c>
      <c r="F7">
        <v>0</v>
      </c>
      <c r="G7">
        <v>0</v>
      </c>
      <c r="H7">
        <v>1</v>
      </c>
    </row>
    <row r="8" spans="1:8" hidden="1" x14ac:dyDescent="0.25">
      <c r="A8" t="s">
        <v>542</v>
      </c>
      <c r="B8" t="s">
        <v>24</v>
      </c>
      <c r="C8" t="s">
        <v>46</v>
      </c>
      <c r="D8">
        <v>13451</v>
      </c>
      <c r="E8">
        <v>12</v>
      </c>
      <c r="F8">
        <v>0</v>
      </c>
      <c r="G8">
        <v>1</v>
      </c>
      <c r="H8">
        <v>10</v>
      </c>
    </row>
    <row r="9" spans="1:8" hidden="1" x14ac:dyDescent="0.25">
      <c r="A9" t="s">
        <v>14</v>
      </c>
      <c r="B9" t="s">
        <v>7</v>
      </c>
      <c r="C9" t="s">
        <v>76</v>
      </c>
      <c r="D9">
        <v>2149</v>
      </c>
      <c r="E9">
        <v>4</v>
      </c>
      <c r="F9">
        <v>2</v>
      </c>
      <c r="G9">
        <v>0</v>
      </c>
      <c r="H9">
        <v>2</v>
      </c>
    </row>
    <row r="10" spans="1:8" hidden="1" x14ac:dyDescent="0.25">
      <c r="A10" t="s">
        <v>14</v>
      </c>
      <c r="B10" t="s">
        <v>7</v>
      </c>
      <c r="C10" t="s">
        <v>35</v>
      </c>
      <c r="D10">
        <v>979</v>
      </c>
      <c r="E10">
        <v>2</v>
      </c>
      <c r="F10">
        <v>2</v>
      </c>
      <c r="G10">
        <v>0</v>
      </c>
      <c r="H10">
        <v>0</v>
      </c>
    </row>
    <row r="11" spans="1:8" hidden="1" x14ac:dyDescent="0.25">
      <c r="A11" t="s">
        <v>14</v>
      </c>
      <c r="B11" t="s">
        <v>7</v>
      </c>
      <c r="C11" t="s">
        <v>183</v>
      </c>
      <c r="D11">
        <v>530</v>
      </c>
      <c r="E11">
        <v>3</v>
      </c>
      <c r="F11">
        <v>3</v>
      </c>
      <c r="G11">
        <v>0</v>
      </c>
      <c r="H11">
        <v>0</v>
      </c>
    </row>
    <row r="12" spans="1:8" x14ac:dyDescent="0.25">
      <c r="A12" t="s">
        <v>540</v>
      </c>
      <c r="B12" t="s">
        <v>7</v>
      </c>
      <c r="C12" t="s">
        <v>626</v>
      </c>
      <c r="D12">
        <v>1213</v>
      </c>
      <c r="E12">
        <v>1</v>
      </c>
      <c r="F12">
        <v>0</v>
      </c>
      <c r="G12">
        <v>0</v>
      </c>
      <c r="H12">
        <v>1</v>
      </c>
    </row>
    <row r="13" spans="1:8" hidden="1" x14ac:dyDescent="0.25">
      <c r="A13" t="s">
        <v>542</v>
      </c>
      <c r="B13" t="s">
        <v>24</v>
      </c>
      <c r="C13" t="s">
        <v>58</v>
      </c>
      <c r="D13">
        <v>8103</v>
      </c>
      <c r="E13">
        <v>8</v>
      </c>
      <c r="F13">
        <v>2</v>
      </c>
      <c r="G13">
        <v>0</v>
      </c>
      <c r="H13">
        <v>6</v>
      </c>
    </row>
    <row r="14" spans="1:8" hidden="1" x14ac:dyDescent="0.25">
      <c r="A14" t="s">
        <v>14</v>
      </c>
      <c r="B14" t="s">
        <v>102</v>
      </c>
      <c r="C14" t="s">
        <v>114</v>
      </c>
      <c r="D14">
        <v>3531</v>
      </c>
      <c r="E14">
        <v>8</v>
      </c>
      <c r="F14">
        <v>7</v>
      </c>
      <c r="G14">
        <v>0</v>
      </c>
      <c r="H14">
        <v>1</v>
      </c>
    </row>
    <row r="15" spans="1:8" x14ac:dyDescent="0.25">
      <c r="A15" t="s">
        <v>540</v>
      </c>
      <c r="B15" t="s">
        <v>11</v>
      </c>
      <c r="C15" t="s">
        <v>96</v>
      </c>
      <c r="D15">
        <v>1092</v>
      </c>
      <c r="E15">
        <v>2</v>
      </c>
      <c r="F15">
        <v>0</v>
      </c>
      <c r="G15">
        <v>0</v>
      </c>
      <c r="H15">
        <v>2</v>
      </c>
    </row>
    <row r="16" spans="1:8" hidden="1" x14ac:dyDescent="0.25">
      <c r="A16" t="s">
        <v>542</v>
      </c>
      <c r="B16" t="s">
        <v>11</v>
      </c>
      <c r="C16" t="s">
        <v>96</v>
      </c>
      <c r="D16">
        <v>117</v>
      </c>
      <c r="E16">
        <v>2</v>
      </c>
      <c r="F16">
        <v>0</v>
      </c>
      <c r="G16">
        <v>0</v>
      </c>
      <c r="H16">
        <v>2</v>
      </c>
    </row>
    <row r="17" spans="1:8" hidden="1" x14ac:dyDescent="0.25">
      <c r="A17" t="s">
        <v>14</v>
      </c>
      <c r="B17" t="s">
        <v>102</v>
      </c>
      <c r="C17" t="s">
        <v>103</v>
      </c>
      <c r="D17">
        <v>835</v>
      </c>
      <c r="E17">
        <v>2</v>
      </c>
      <c r="F17">
        <v>1</v>
      </c>
      <c r="G17">
        <v>0</v>
      </c>
      <c r="H17">
        <v>1</v>
      </c>
    </row>
    <row r="18" spans="1:8" hidden="1" x14ac:dyDescent="0.25">
      <c r="A18" t="s">
        <v>14</v>
      </c>
      <c r="B18" t="s">
        <v>11</v>
      </c>
      <c r="C18" t="s">
        <v>88</v>
      </c>
      <c r="D18">
        <v>415</v>
      </c>
      <c r="E18">
        <v>5</v>
      </c>
      <c r="F18">
        <v>4</v>
      </c>
      <c r="G18">
        <v>0</v>
      </c>
      <c r="H18">
        <v>1</v>
      </c>
    </row>
    <row r="19" spans="1:8" hidden="1" x14ac:dyDescent="0.25">
      <c r="A19" t="s">
        <v>14</v>
      </c>
      <c r="B19" t="s">
        <v>11</v>
      </c>
      <c r="C19" t="s">
        <v>48</v>
      </c>
      <c r="D19">
        <v>883</v>
      </c>
      <c r="E19">
        <v>5</v>
      </c>
      <c r="F19">
        <v>2</v>
      </c>
      <c r="G19">
        <v>0</v>
      </c>
      <c r="H19">
        <v>3</v>
      </c>
    </row>
    <row r="20" spans="1:8" hidden="1" x14ac:dyDescent="0.25">
      <c r="A20" t="s">
        <v>14</v>
      </c>
      <c r="B20" t="s">
        <v>11</v>
      </c>
      <c r="C20" t="s">
        <v>71</v>
      </c>
      <c r="D20">
        <v>72</v>
      </c>
      <c r="E20">
        <v>1</v>
      </c>
      <c r="F20">
        <v>0</v>
      </c>
      <c r="G20">
        <v>0</v>
      </c>
      <c r="H20">
        <v>1</v>
      </c>
    </row>
    <row r="21" spans="1:8" hidden="1" x14ac:dyDescent="0.25">
      <c r="A21" t="s">
        <v>542</v>
      </c>
      <c r="B21" t="s">
        <v>41</v>
      </c>
      <c r="C21" t="s">
        <v>51</v>
      </c>
      <c r="E21">
        <v>2</v>
      </c>
      <c r="F21">
        <v>0</v>
      </c>
      <c r="G21">
        <v>0</v>
      </c>
      <c r="H21">
        <v>2</v>
      </c>
    </row>
    <row r="22" spans="1:8" hidden="1" x14ac:dyDescent="0.25">
      <c r="A22" t="s">
        <v>14</v>
      </c>
      <c r="B22" t="s">
        <v>11</v>
      </c>
      <c r="C22" t="s">
        <v>85</v>
      </c>
      <c r="D22">
        <v>80</v>
      </c>
      <c r="E22">
        <v>1</v>
      </c>
      <c r="F22">
        <v>0</v>
      </c>
      <c r="G22">
        <v>0</v>
      </c>
      <c r="H22">
        <v>1</v>
      </c>
    </row>
    <row r="23" spans="1:8" hidden="1" x14ac:dyDescent="0.25">
      <c r="A23" t="s">
        <v>14</v>
      </c>
      <c r="B23" t="s">
        <v>11</v>
      </c>
      <c r="C23" t="s">
        <v>83</v>
      </c>
      <c r="D23">
        <v>373</v>
      </c>
      <c r="E23">
        <v>1</v>
      </c>
      <c r="F23">
        <v>1</v>
      </c>
      <c r="G23">
        <v>0</v>
      </c>
      <c r="H23">
        <v>0</v>
      </c>
    </row>
    <row r="24" spans="1:8" x14ac:dyDescent="0.25">
      <c r="A24" t="s">
        <v>540</v>
      </c>
      <c r="B24" t="s">
        <v>11</v>
      </c>
      <c r="C24" t="s">
        <v>55</v>
      </c>
      <c r="D24">
        <v>104</v>
      </c>
      <c r="E24">
        <v>1</v>
      </c>
      <c r="F24">
        <v>1</v>
      </c>
      <c r="G24">
        <v>0</v>
      </c>
      <c r="H24">
        <v>0</v>
      </c>
    </row>
    <row r="25" spans="1:8" hidden="1" x14ac:dyDescent="0.25">
      <c r="A25" t="s">
        <v>542</v>
      </c>
      <c r="B25" t="s">
        <v>41</v>
      </c>
      <c r="C25" t="s">
        <v>559</v>
      </c>
      <c r="D25">
        <v>210</v>
      </c>
      <c r="E25">
        <v>2</v>
      </c>
      <c r="F25">
        <v>0</v>
      </c>
      <c r="G25">
        <v>0</v>
      </c>
      <c r="H25">
        <v>2</v>
      </c>
    </row>
    <row r="26" spans="1:8" x14ac:dyDescent="0.25">
      <c r="A26" t="s">
        <v>540</v>
      </c>
      <c r="B26" t="s">
        <v>11</v>
      </c>
      <c r="C26" t="s">
        <v>12</v>
      </c>
      <c r="D26">
        <v>392</v>
      </c>
      <c r="E26">
        <v>1</v>
      </c>
      <c r="F26">
        <v>0</v>
      </c>
      <c r="G26">
        <v>0</v>
      </c>
      <c r="H26">
        <v>1</v>
      </c>
    </row>
    <row r="27" spans="1:8" hidden="1" x14ac:dyDescent="0.25">
      <c r="A27" t="s">
        <v>542</v>
      </c>
      <c r="B27" t="s">
        <v>41</v>
      </c>
      <c r="C27" t="s">
        <v>566</v>
      </c>
      <c r="E27">
        <v>1</v>
      </c>
      <c r="F27">
        <v>0</v>
      </c>
      <c r="G27">
        <v>0</v>
      </c>
      <c r="H27">
        <v>1</v>
      </c>
    </row>
    <row r="28" spans="1:8" x14ac:dyDescent="0.25">
      <c r="A28" t="s">
        <v>540</v>
      </c>
      <c r="B28" t="s">
        <v>11</v>
      </c>
      <c r="C28" t="s">
        <v>29</v>
      </c>
      <c r="D28">
        <v>747</v>
      </c>
      <c r="E28">
        <v>1</v>
      </c>
      <c r="F28">
        <v>0</v>
      </c>
      <c r="G28">
        <v>0</v>
      </c>
      <c r="H28">
        <v>1</v>
      </c>
    </row>
    <row r="29" spans="1:8" hidden="1" x14ac:dyDescent="0.25">
      <c r="A29" t="s">
        <v>542</v>
      </c>
      <c r="B29" t="s">
        <v>11</v>
      </c>
      <c r="C29" t="s">
        <v>55</v>
      </c>
      <c r="D29">
        <v>11</v>
      </c>
      <c r="E29">
        <v>1</v>
      </c>
      <c r="F29">
        <v>1</v>
      </c>
      <c r="G29">
        <v>0</v>
      </c>
      <c r="H29">
        <v>0</v>
      </c>
    </row>
    <row r="30" spans="1:8" hidden="1" x14ac:dyDescent="0.25">
      <c r="A30" t="s">
        <v>14</v>
      </c>
      <c r="B30" t="s">
        <v>11</v>
      </c>
      <c r="C30" t="s">
        <v>29</v>
      </c>
      <c r="D30">
        <v>607</v>
      </c>
      <c r="E30">
        <v>3</v>
      </c>
      <c r="F30">
        <v>1</v>
      </c>
      <c r="G30">
        <v>0</v>
      </c>
      <c r="H30">
        <v>2</v>
      </c>
    </row>
    <row r="31" spans="1:8" hidden="1" x14ac:dyDescent="0.25">
      <c r="A31" t="s">
        <v>14</v>
      </c>
      <c r="B31" t="s">
        <v>11</v>
      </c>
      <c r="C31" t="s">
        <v>96</v>
      </c>
      <c r="D31">
        <v>772</v>
      </c>
      <c r="E31">
        <v>2</v>
      </c>
      <c r="F31">
        <v>2</v>
      </c>
      <c r="G31">
        <v>0</v>
      </c>
      <c r="H31">
        <v>0</v>
      </c>
    </row>
    <row r="32" spans="1:8" hidden="1" x14ac:dyDescent="0.25">
      <c r="A32" t="s">
        <v>14</v>
      </c>
      <c r="B32" t="s">
        <v>11</v>
      </c>
      <c r="C32" t="s">
        <v>55</v>
      </c>
      <c r="D32">
        <v>2091</v>
      </c>
      <c r="E32">
        <v>2</v>
      </c>
      <c r="F32">
        <v>2</v>
      </c>
      <c r="G32">
        <v>0</v>
      </c>
      <c r="H32">
        <v>0</v>
      </c>
    </row>
    <row r="33" spans="1:8" hidden="1" x14ac:dyDescent="0.25">
      <c r="A33" t="s">
        <v>542</v>
      </c>
      <c r="B33" t="s">
        <v>11</v>
      </c>
      <c r="C33" t="s">
        <v>71</v>
      </c>
      <c r="D33">
        <v>672</v>
      </c>
      <c r="E33">
        <v>1</v>
      </c>
      <c r="F33">
        <v>0</v>
      </c>
      <c r="G33">
        <v>0</v>
      </c>
      <c r="H33">
        <v>1</v>
      </c>
    </row>
    <row r="34" spans="1:8" hidden="1" x14ac:dyDescent="0.25">
      <c r="A34" t="s">
        <v>14</v>
      </c>
      <c r="B34" t="s">
        <v>11</v>
      </c>
      <c r="C34" t="s">
        <v>12</v>
      </c>
      <c r="D34">
        <v>84</v>
      </c>
      <c r="E34">
        <v>2</v>
      </c>
      <c r="F34">
        <v>0</v>
      </c>
      <c r="G34">
        <v>0</v>
      </c>
      <c r="H34">
        <v>2</v>
      </c>
    </row>
    <row r="35" spans="1:8" hidden="1" x14ac:dyDescent="0.25">
      <c r="A35" t="s">
        <v>542</v>
      </c>
      <c r="B35" t="s">
        <v>24</v>
      </c>
      <c r="C35" t="s">
        <v>25</v>
      </c>
      <c r="D35">
        <v>639</v>
      </c>
      <c r="E35">
        <v>2</v>
      </c>
      <c r="F35">
        <v>0</v>
      </c>
      <c r="G35">
        <v>0</v>
      </c>
      <c r="H35">
        <v>2</v>
      </c>
    </row>
    <row r="36" spans="1:8" hidden="1" x14ac:dyDescent="0.25">
      <c r="A36" t="s">
        <v>14</v>
      </c>
      <c r="B36" t="s">
        <v>24</v>
      </c>
      <c r="C36" t="s">
        <v>46</v>
      </c>
      <c r="D36">
        <v>4993</v>
      </c>
      <c r="E36">
        <v>17</v>
      </c>
      <c r="F36">
        <v>10</v>
      </c>
      <c r="G36">
        <v>3</v>
      </c>
      <c r="H36">
        <v>3</v>
      </c>
    </row>
    <row r="37" spans="1:8" hidden="1" x14ac:dyDescent="0.25">
      <c r="A37" t="s">
        <v>542</v>
      </c>
      <c r="B37" t="s">
        <v>11</v>
      </c>
      <c r="C37" t="s">
        <v>85</v>
      </c>
      <c r="D37">
        <v>747</v>
      </c>
      <c r="E37">
        <v>1</v>
      </c>
      <c r="F37">
        <v>0</v>
      </c>
      <c r="G37">
        <v>0</v>
      </c>
      <c r="H37">
        <v>1</v>
      </c>
    </row>
    <row r="38" spans="1:8" hidden="1" x14ac:dyDescent="0.25">
      <c r="A38" t="s">
        <v>14</v>
      </c>
      <c r="B38" t="s">
        <v>24</v>
      </c>
      <c r="C38" s="2" t="s">
        <v>58</v>
      </c>
      <c r="D38">
        <v>3051</v>
      </c>
      <c r="E38">
        <v>23</v>
      </c>
      <c r="F38">
        <v>15</v>
      </c>
      <c r="G38">
        <v>4</v>
      </c>
      <c r="H38">
        <v>4</v>
      </c>
    </row>
    <row r="39" spans="1:8" hidden="1" x14ac:dyDescent="0.25">
      <c r="A39" t="s">
        <v>14</v>
      </c>
      <c r="B39" t="s">
        <v>24</v>
      </c>
      <c r="C39" t="s">
        <v>38</v>
      </c>
      <c r="D39">
        <v>2759</v>
      </c>
      <c r="E39">
        <v>7</v>
      </c>
      <c r="F39">
        <v>1</v>
      </c>
      <c r="G39">
        <v>5</v>
      </c>
      <c r="H39">
        <v>1</v>
      </c>
    </row>
    <row r="40" spans="1:8" hidden="1" x14ac:dyDescent="0.25">
      <c r="A40" t="s">
        <v>14</v>
      </c>
      <c r="B40" t="s">
        <v>24</v>
      </c>
      <c r="C40" t="s">
        <v>27</v>
      </c>
      <c r="D40">
        <v>2688</v>
      </c>
      <c r="E40">
        <v>2</v>
      </c>
      <c r="F40">
        <v>2</v>
      </c>
      <c r="G40">
        <v>0</v>
      </c>
      <c r="H40">
        <v>0</v>
      </c>
    </row>
    <row r="41" spans="1:8" hidden="1" x14ac:dyDescent="0.25">
      <c r="A41" t="s">
        <v>542</v>
      </c>
      <c r="B41" t="s">
        <v>11</v>
      </c>
      <c r="C41" t="s">
        <v>12</v>
      </c>
      <c r="D41">
        <v>826</v>
      </c>
      <c r="E41">
        <v>3</v>
      </c>
      <c r="F41">
        <v>0</v>
      </c>
      <c r="G41">
        <v>0</v>
      </c>
      <c r="H41">
        <v>3</v>
      </c>
    </row>
    <row r="42" spans="1:8" hidden="1" x14ac:dyDescent="0.25">
      <c r="A42" t="s">
        <v>14</v>
      </c>
      <c r="B42" t="s">
        <v>24</v>
      </c>
      <c r="C42" t="s">
        <v>25</v>
      </c>
      <c r="D42">
        <v>2259</v>
      </c>
      <c r="E42">
        <v>5</v>
      </c>
      <c r="F42">
        <v>1</v>
      </c>
      <c r="G42">
        <v>3</v>
      </c>
      <c r="H42">
        <v>1</v>
      </c>
    </row>
    <row r="43" spans="1:8" hidden="1" x14ac:dyDescent="0.25">
      <c r="A43" t="s">
        <v>542</v>
      </c>
      <c r="B43" t="s">
        <v>544</v>
      </c>
      <c r="C43" t="s">
        <v>647</v>
      </c>
      <c r="D43">
        <v>400</v>
      </c>
      <c r="E43">
        <v>1</v>
      </c>
      <c r="F43">
        <v>0</v>
      </c>
      <c r="G43">
        <v>0</v>
      </c>
      <c r="H43">
        <v>1</v>
      </c>
    </row>
    <row r="44" spans="1:8" hidden="1" x14ac:dyDescent="0.25">
      <c r="A44" t="s">
        <v>14</v>
      </c>
      <c r="B44" t="s">
        <v>24</v>
      </c>
      <c r="C44" t="s">
        <v>81</v>
      </c>
      <c r="D44">
        <v>955</v>
      </c>
      <c r="E44">
        <v>5</v>
      </c>
      <c r="F44">
        <v>3</v>
      </c>
      <c r="G44">
        <v>1</v>
      </c>
      <c r="H44">
        <v>1</v>
      </c>
    </row>
    <row r="45" spans="1:8" hidden="1" x14ac:dyDescent="0.25">
      <c r="A45" t="s">
        <v>542</v>
      </c>
      <c r="B45" t="s">
        <v>11</v>
      </c>
      <c r="C45" t="s">
        <v>88</v>
      </c>
      <c r="D45">
        <v>597</v>
      </c>
      <c r="E45">
        <v>2</v>
      </c>
      <c r="F45">
        <v>1</v>
      </c>
      <c r="G45">
        <v>0</v>
      </c>
      <c r="H45">
        <v>1</v>
      </c>
    </row>
    <row r="46" spans="1:8" hidden="1" x14ac:dyDescent="0.25">
      <c r="A46" t="s">
        <v>14</v>
      </c>
      <c r="B46" t="s">
        <v>24</v>
      </c>
      <c r="C46" t="s">
        <v>165</v>
      </c>
      <c r="D46">
        <v>860</v>
      </c>
      <c r="E46">
        <v>13</v>
      </c>
      <c r="F46">
        <v>0</v>
      </c>
      <c r="G46">
        <v>0</v>
      </c>
      <c r="H46">
        <v>1</v>
      </c>
    </row>
    <row r="47" spans="1:8" x14ac:dyDescent="0.25">
      <c r="A47" t="s">
        <v>540</v>
      </c>
      <c r="B47" t="s">
        <v>11</v>
      </c>
      <c r="C47" t="s">
        <v>48</v>
      </c>
      <c r="D47">
        <v>392</v>
      </c>
      <c r="E47">
        <v>1</v>
      </c>
      <c r="F47">
        <v>0</v>
      </c>
      <c r="G47">
        <v>0</v>
      </c>
      <c r="H47">
        <v>1</v>
      </c>
    </row>
    <row r="48" spans="1:8" hidden="1" x14ac:dyDescent="0.25">
      <c r="A48" t="s">
        <v>542</v>
      </c>
      <c r="B48" t="s">
        <v>11</v>
      </c>
      <c r="C48" t="s">
        <v>29</v>
      </c>
      <c r="D48">
        <v>864</v>
      </c>
      <c r="E48">
        <v>3</v>
      </c>
      <c r="F48">
        <v>0</v>
      </c>
      <c r="G48">
        <v>0</v>
      </c>
      <c r="H48">
        <v>3</v>
      </c>
    </row>
    <row r="49" spans="1:8" hidden="1" x14ac:dyDescent="0.25">
      <c r="A49" t="s">
        <v>542</v>
      </c>
      <c r="B49" t="s">
        <v>11</v>
      </c>
      <c r="C49" t="s">
        <v>48</v>
      </c>
      <c r="D49">
        <v>1662</v>
      </c>
      <c r="E49">
        <v>5</v>
      </c>
      <c r="F49">
        <v>1</v>
      </c>
      <c r="G49">
        <v>0</v>
      </c>
      <c r="H49">
        <v>4</v>
      </c>
    </row>
    <row r="50" spans="1:8" hidden="1" x14ac:dyDescent="0.25">
      <c r="A50" t="s">
        <v>14</v>
      </c>
      <c r="B50" t="s">
        <v>24</v>
      </c>
      <c r="C50" t="s">
        <v>106</v>
      </c>
      <c r="D50">
        <v>157</v>
      </c>
      <c r="E50">
        <v>2</v>
      </c>
      <c r="F50">
        <v>1</v>
      </c>
      <c r="G50">
        <v>0</v>
      </c>
      <c r="H50">
        <v>1</v>
      </c>
    </row>
    <row r="51" spans="1:8" x14ac:dyDescent="0.25">
      <c r="A51" t="s">
        <v>540</v>
      </c>
      <c r="B51" t="s">
        <v>24</v>
      </c>
      <c r="C51" t="s">
        <v>46</v>
      </c>
      <c r="D51">
        <v>4014</v>
      </c>
      <c r="E51">
        <v>7</v>
      </c>
      <c r="F51">
        <v>0</v>
      </c>
      <c r="G51">
        <v>0</v>
      </c>
      <c r="H51">
        <v>7</v>
      </c>
    </row>
    <row r="52" spans="1:8" hidden="1" x14ac:dyDescent="0.25">
      <c r="A52" t="s">
        <v>542</v>
      </c>
      <c r="B52" t="s">
        <v>41</v>
      </c>
      <c r="C52" t="s">
        <v>582</v>
      </c>
      <c r="D52">
        <v>400</v>
      </c>
      <c r="E52">
        <v>3</v>
      </c>
      <c r="F52">
        <v>0</v>
      </c>
      <c r="G52">
        <v>0</v>
      </c>
      <c r="H52">
        <v>3</v>
      </c>
    </row>
    <row r="53" spans="1:8" x14ac:dyDescent="0.25">
      <c r="A53" t="s">
        <v>540</v>
      </c>
      <c r="B53" t="s">
        <v>24</v>
      </c>
      <c r="C53" t="s">
        <v>58</v>
      </c>
      <c r="D53">
        <v>1960</v>
      </c>
      <c r="E53">
        <v>2</v>
      </c>
      <c r="F53">
        <v>0</v>
      </c>
      <c r="G53">
        <v>0</v>
      </c>
      <c r="H53">
        <v>2</v>
      </c>
    </row>
    <row r="54" spans="1:8" hidden="1" x14ac:dyDescent="0.25">
      <c r="A54" t="s">
        <v>542</v>
      </c>
      <c r="B54" t="s">
        <v>24</v>
      </c>
      <c r="C54" t="s">
        <v>38</v>
      </c>
      <c r="D54">
        <v>2020</v>
      </c>
      <c r="E54">
        <v>3</v>
      </c>
      <c r="F54">
        <v>1</v>
      </c>
      <c r="G54">
        <v>1</v>
      </c>
      <c r="H54">
        <v>1</v>
      </c>
    </row>
    <row r="55" spans="1:8" hidden="1" x14ac:dyDescent="0.25">
      <c r="A55" t="s">
        <v>542</v>
      </c>
      <c r="B55" t="s">
        <v>7</v>
      </c>
      <c r="C55" t="s">
        <v>183</v>
      </c>
      <c r="D55">
        <v>1254</v>
      </c>
      <c r="E55">
        <v>2</v>
      </c>
      <c r="F55">
        <v>2</v>
      </c>
      <c r="G55">
        <v>0</v>
      </c>
      <c r="H55">
        <v>0</v>
      </c>
    </row>
    <row r="56" spans="1:8" hidden="1" x14ac:dyDescent="0.25">
      <c r="A56" t="s">
        <v>542</v>
      </c>
      <c r="B56" t="s">
        <v>7</v>
      </c>
      <c r="C56" t="s">
        <v>76</v>
      </c>
      <c r="D56">
        <v>2986</v>
      </c>
      <c r="E56">
        <v>2</v>
      </c>
      <c r="F56">
        <v>0</v>
      </c>
      <c r="G56">
        <v>0</v>
      </c>
      <c r="H56">
        <v>2</v>
      </c>
    </row>
    <row r="57" spans="1:8" hidden="1" x14ac:dyDescent="0.25">
      <c r="A57" t="s">
        <v>542</v>
      </c>
      <c r="B57" t="s">
        <v>7</v>
      </c>
      <c r="C57" t="s">
        <v>626</v>
      </c>
      <c r="D57">
        <v>130</v>
      </c>
      <c r="E57">
        <v>1</v>
      </c>
      <c r="F57">
        <v>0</v>
      </c>
      <c r="G57">
        <v>0</v>
      </c>
      <c r="H57">
        <v>1</v>
      </c>
    </row>
    <row r="58" spans="1:8" hidden="1" x14ac:dyDescent="0.25">
      <c r="A58" t="s">
        <v>14</v>
      </c>
      <c r="B58" t="s">
        <v>24</v>
      </c>
      <c r="C58" s="2" t="s">
        <v>112</v>
      </c>
      <c r="D58">
        <v>60</v>
      </c>
      <c r="E58">
        <v>1</v>
      </c>
      <c r="F58">
        <v>1</v>
      </c>
      <c r="G58">
        <v>0</v>
      </c>
      <c r="H58">
        <v>0</v>
      </c>
    </row>
    <row r="59" spans="1:8" x14ac:dyDescent="0.25">
      <c r="A59" t="s">
        <v>540</v>
      </c>
      <c r="B59" t="s">
        <v>24</v>
      </c>
      <c r="C59" t="s">
        <v>92</v>
      </c>
      <c r="D59">
        <v>373</v>
      </c>
      <c r="E59">
        <v>1</v>
      </c>
      <c r="F59">
        <v>0</v>
      </c>
      <c r="G59">
        <v>0</v>
      </c>
      <c r="H59">
        <v>1</v>
      </c>
    </row>
    <row r="60" spans="1:8" hidden="1" x14ac:dyDescent="0.25">
      <c r="A60" t="s">
        <v>542</v>
      </c>
      <c r="B60" t="s">
        <v>17</v>
      </c>
      <c r="C60" t="s">
        <v>66</v>
      </c>
      <c r="D60">
        <v>392</v>
      </c>
      <c r="E60">
        <v>1</v>
      </c>
      <c r="F60">
        <v>0</v>
      </c>
      <c r="G60">
        <v>0</v>
      </c>
      <c r="H60">
        <v>1</v>
      </c>
    </row>
    <row r="61" spans="1:8" hidden="1" x14ac:dyDescent="0.25">
      <c r="A61" t="s">
        <v>542</v>
      </c>
      <c r="B61" t="s">
        <v>24</v>
      </c>
      <c r="C61" t="s">
        <v>81</v>
      </c>
      <c r="D61">
        <v>552</v>
      </c>
      <c r="E61">
        <v>2</v>
      </c>
      <c r="F61">
        <v>1</v>
      </c>
      <c r="G61">
        <v>0</v>
      </c>
      <c r="H61">
        <v>1</v>
      </c>
    </row>
    <row r="62" spans="1:8" hidden="1" x14ac:dyDescent="0.25">
      <c r="A62" t="s">
        <v>14</v>
      </c>
      <c r="B62" t="s">
        <v>24</v>
      </c>
      <c r="C62" t="s">
        <v>92</v>
      </c>
      <c r="E62">
        <v>7</v>
      </c>
      <c r="F62">
        <v>7</v>
      </c>
      <c r="G62">
        <v>0</v>
      </c>
      <c r="H62">
        <v>0</v>
      </c>
    </row>
    <row r="63" spans="1:8" x14ac:dyDescent="0.25">
      <c r="A63" t="s">
        <v>540</v>
      </c>
      <c r="B63" t="s">
        <v>24</v>
      </c>
      <c r="C63" t="s">
        <v>25</v>
      </c>
      <c r="D63">
        <v>392</v>
      </c>
      <c r="E63">
        <v>1</v>
      </c>
      <c r="F63">
        <v>0</v>
      </c>
      <c r="G63">
        <v>0</v>
      </c>
      <c r="H63">
        <v>1</v>
      </c>
    </row>
    <row r="64" spans="1:8" hidden="1" x14ac:dyDescent="0.25">
      <c r="A64" t="s">
        <v>542</v>
      </c>
      <c r="B64" t="s">
        <v>17</v>
      </c>
      <c r="C64" t="s">
        <v>44</v>
      </c>
      <c r="D64">
        <v>3513</v>
      </c>
      <c r="E64">
        <v>7</v>
      </c>
      <c r="F64">
        <v>1</v>
      </c>
      <c r="G64">
        <v>1</v>
      </c>
      <c r="H64">
        <v>5</v>
      </c>
    </row>
    <row r="65" spans="1:8" hidden="1" x14ac:dyDescent="0.25">
      <c r="A65" t="s">
        <v>542</v>
      </c>
      <c r="B65" t="s">
        <v>41</v>
      </c>
      <c r="C65" t="s">
        <v>38</v>
      </c>
      <c r="D65">
        <v>1227</v>
      </c>
      <c r="E65">
        <v>2</v>
      </c>
      <c r="F65">
        <v>1</v>
      </c>
      <c r="G65">
        <v>0</v>
      </c>
      <c r="H65">
        <v>0</v>
      </c>
    </row>
    <row r="66" spans="1:8" hidden="1" x14ac:dyDescent="0.25">
      <c r="A66" t="s">
        <v>14</v>
      </c>
      <c r="B66" t="s">
        <v>41</v>
      </c>
      <c r="C66" t="s">
        <v>605</v>
      </c>
      <c r="E66">
        <v>1</v>
      </c>
      <c r="F66">
        <v>0</v>
      </c>
      <c r="G66">
        <v>0</v>
      </c>
      <c r="H66">
        <v>0</v>
      </c>
    </row>
    <row r="67" spans="1:8" hidden="1" x14ac:dyDescent="0.25">
      <c r="A67" t="s">
        <v>542</v>
      </c>
      <c r="B67" t="s">
        <v>17</v>
      </c>
      <c r="C67" t="s">
        <v>574</v>
      </c>
      <c r="D67">
        <v>42</v>
      </c>
      <c r="E67">
        <v>1</v>
      </c>
      <c r="F67">
        <v>0</v>
      </c>
      <c r="G67">
        <v>0</v>
      </c>
      <c r="H67">
        <v>1</v>
      </c>
    </row>
    <row r="68" spans="1:8" hidden="1" x14ac:dyDescent="0.25">
      <c r="A68" t="s">
        <v>14</v>
      </c>
      <c r="B68" t="s">
        <v>41</v>
      </c>
      <c r="C68" t="s">
        <v>51</v>
      </c>
      <c r="D68">
        <v>80</v>
      </c>
      <c r="E68">
        <v>3</v>
      </c>
      <c r="F68">
        <v>0</v>
      </c>
      <c r="G68">
        <v>0</v>
      </c>
      <c r="H68">
        <v>2</v>
      </c>
    </row>
    <row r="69" spans="1:8" x14ac:dyDescent="0.25">
      <c r="A69" t="s">
        <v>540</v>
      </c>
      <c r="B69" t="s">
        <v>24</v>
      </c>
      <c r="C69" t="s">
        <v>27</v>
      </c>
      <c r="D69">
        <v>131</v>
      </c>
      <c r="E69">
        <v>1</v>
      </c>
      <c r="F69">
        <v>0</v>
      </c>
      <c r="G69">
        <v>0</v>
      </c>
      <c r="H69">
        <v>1</v>
      </c>
    </row>
    <row r="70" spans="1:8" hidden="1" x14ac:dyDescent="0.25">
      <c r="A70" t="s">
        <v>542</v>
      </c>
      <c r="B70" t="s">
        <v>24</v>
      </c>
      <c r="C70" t="s">
        <v>92</v>
      </c>
      <c r="D70">
        <v>40</v>
      </c>
      <c r="E70">
        <v>1</v>
      </c>
      <c r="F70">
        <v>0</v>
      </c>
      <c r="G70">
        <v>0</v>
      </c>
      <c r="H70">
        <v>1</v>
      </c>
    </row>
    <row r="71" spans="1:8" x14ac:dyDescent="0.25">
      <c r="A71" t="s">
        <v>540</v>
      </c>
      <c r="B71" t="s">
        <v>24</v>
      </c>
      <c r="C71" t="s">
        <v>112</v>
      </c>
      <c r="E71">
        <v>1</v>
      </c>
      <c r="F71">
        <v>0</v>
      </c>
      <c r="G71">
        <v>0</v>
      </c>
      <c r="H71">
        <v>0</v>
      </c>
    </row>
    <row r="72" spans="1:8" hidden="1" x14ac:dyDescent="0.25">
      <c r="A72" t="s">
        <v>542</v>
      </c>
      <c r="B72" t="s">
        <v>102</v>
      </c>
      <c r="C72" t="s">
        <v>103</v>
      </c>
      <c r="D72">
        <v>896</v>
      </c>
      <c r="E72">
        <v>1</v>
      </c>
      <c r="F72">
        <v>0</v>
      </c>
      <c r="G72">
        <v>0</v>
      </c>
      <c r="H72">
        <v>1</v>
      </c>
    </row>
    <row r="73" spans="1:8" hidden="1" x14ac:dyDescent="0.25">
      <c r="A73" t="s">
        <v>14</v>
      </c>
      <c r="B73" t="s">
        <v>41</v>
      </c>
      <c r="C73" t="s">
        <v>38</v>
      </c>
      <c r="D73">
        <v>560</v>
      </c>
      <c r="E73">
        <v>2</v>
      </c>
      <c r="F73">
        <v>1</v>
      </c>
      <c r="G73">
        <v>0</v>
      </c>
      <c r="H73">
        <v>0</v>
      </c>
    </row>
    <row r="74" spans="1:8" hidden="1" x14ac:dyDescent="0.25">
      <c r="A74" t="s">
        <v>542</v>
      </c>
      <c r="B74" t="s">
        <v>17</v>
      </c>
      <c r="C74" t="s">
        <v>21</v>
      </c>
      <c r="D74">
        <v>75</v>
      </c>
      <c r="E74">
        <v>1</v>
      </c>
      <c r="F74">
        <v>0</v>
      </c>
      <c r="G74">
        <v>0</v>
      </c>
      <c r="H74">
        <v>1</v>
      </c>
    </row>
    <row r="75" spans="1:8" hidden="1" x14ac:dyDescent="0.25">
      <c r="A75" t="s">
        <v>542</v>
      </c>
      <c r="B75" t="s">
        <v>24</v>
      </c>
      <c r="C75" t="s">
        <v>165</v>
      </c>
      <c r="E75">
        <v>1</v>
      </c>
      <c r="F75">
        <v>0</v>
      </c>
      <c r="G75">
        <v>0</v>
      </c>
      <c r="H75">
        <v>1</v>
      </c>
    </row>
    <row r="76" spans="1:8" hidden="1" x14ac:dyDescent="0.25">
      <c r="A76" t="s">
        <v>14</v>
      </c>
      <c r="B76" t="s">
        <v>41</v>
      </c>
      <c r="C76" t="s">
        <v>300</v>
      </c>
      <c r="D76">
        <v>9677</v>
      </c>
      <c r="E76">
        <v>13</v>
      </c>
      <c r="F76">
        <v>0</v>
      </c>
      <c r="G76">
        <v>0</v>
      </c>
      <c r="H76">
        <v>0</v>
      </c>
    </row>
    <row r="77" spans="1:8" hidden="1" x14ac:dyDescent="0.25">
      <c r="A77" t="s">
        <v>14</v>
      </c>
      <c r="B77" t="s">
        <v>41</v>
      </c>
      <c r="C77" t="s">
        <v>733</v>
      </c>
      <c r="D77">
        <v>144</v>
      </c>
      <c r="E77">
        <v>1</v>
      </c>
      <c r="F77">
        <v>0</v>
      </c>
      <c r="G77">
        <v>0</v>
      </c>
      <c r="H77">
        <v>0</v>
      </c>
    </row>
    <row r="78" spans="1:8" hidden="1" x14ac:dyDescent="0.25">
      <c r="A78" t="s">
        <v>14</v>
      </c>
      <c r="B78" t="s">
        <v>41</v>
      </c>
      <c r="C78" t="s">
        <v>315</v>
      </c>
      <c r="D78">
        <v>80</v>
      </c>
      <c r="E78">
        <v>1</v>
      </c>
      <c r="F78">
        <v>0</v>
      </c>
      <c r="G78">
        <v>0</v>
      </c>
      <c r="H78">
        <v>0</v>
      </c>
    </row>
    <row r="79" spans="1:8" x14ac:dyDescent="0.25">
      <c r="A79" t="s">
        <v>540</v>
      </c>
      <c r="B79" t="s">
        <v>41</v>
      </c>
      <c r="C79" t="s">
        <v>605</v>
      </c>
      <c r="E79">
        <v>7</v>
      </c>
      <c r="F79">
        <v>0</v>
      </c>
      <c r="G79">
        <v>0</v>
      </c>
      <c r="H79">
        <v>5</v>
      </c>
    </row>
    <row r="80" spans="1:8" x14ac:dyDescent="0.25">
      <c r="A80" t="s">
        <v>540</v>
      </c>
      <c r="B80" t="s">
        <v>41</v>
      </c>
      <c r="C80" t="s">
        <v>559</v>
      </c>
      <c r="D80">
        <v>1960</v>
      </c>
      <c r="E80">
        <v>2</v>
      </c>
      <c r="F80">
        <v>0</v>
      </c>
      <c r="G80">
        <v>0</v>
      </c>
      <c r="H80">
        <v>2</v>
      </c>
    </row>
    <row r="81" spans="1:8" hidden="1" x14ac:dyDescent="0.25">
      <c r="A81" t="s">
        <v>542</v>
      </c>
      <c r="B81" t="s">
        <v>102</v>
      </c>
      <c r="C81" t="s">
        <v>114</v>
      </c>
      <c r="D81">
        <v>2987</v>
      </c>
      <c r="E81">
        <v>1</v>
      </c>
      <c r="F81">
        <v>0</v>
      </c>
      <c r="G81">
        <v>0</v>
      </c>
      <c r="H81">
        <v>1</v>
      </c>
    </row>
    <row r="82" spans="1:8" x14ac:dyDescent="0.25">
      <c r="A82" t="s">
        <v>540</v>
      </c>
      <c r="B82" t="s">
        <v>41</v>
      </c>
      <c r="C82" t="s">
        <v>566</v>
      </c>
      <c r="E82">
        <v>8</v>
      </c>
      <c r="F82">
        <v>0</v>
      </c>
      <c r="G82">
        <v>0</v>
      </c>
      <c r="H82">
        <v>1</v>
      </c>
    </row>
    <row r="83" spans="1:8" hidden="1" x14ac:dyDescent="0.25">
      <c r="A83" t="s">
        <v>14</v>
      </c>
      <c r="B83" t="s">
        <v>41</v>
      </c>
      <c r="C83" t="s">
        <v>319</v>
      </c>
      <c r="D83">
        <v>2960</v>
      </c>
      <c r="E83">
        <v>10</v>
      </c>
      <c r="F83">
        <v>0</v>
      </c>
      <c r="G83">
        <v>0</v>
      </c>
      <c r="H83">
        <v>0</v>
      </c>
    </row>
    <row r="84" spans="1:8" x14ac:dyDescent="0.25">
      <c r="A84" t="s">
        <v>540</v>
      </c>
      <c r="B84" t="s">
        <v>41</v>
      </c>
      <c r="C84" t="s">
        <v>582</v>
      </c>
      <c r="D84">
        <v>3734</v>
      </c>
      <c r="E84">
        <v>3</v>
      </c>
      <c r="F84">
        <v>0</v>
      </c>
      <c r="G84">
        <v>0</v>
      </c>
      <c r="H84">
        <v>3</v>
      </c>
    </row>
    <row r="85" spans="1:8" hidden="1" x14ac:dyDescent="0.25">
      <c r="A85" t="s">
        <v>542</v>
      </c>
      <c r="B85" t="s">
        <v>24</v>
      </c>
      <c r="C85" t="s">
        <v>27</v>
      </c>
      <c r="D85">
        <v>14</v>
      </c>
      <c r="E85">
        <v>1</v>
      </c>
      <c r="F85">
        <v>0</v>
      </c>
      <c r="G85">
        <v>0</v>
      </c>
      <c r="H85">
        <v>1</v>
      </c>
    </row>
    <row r="86" spans="1:8" hidden="1" x14ac:dyDescent="0.25">
      <c r="A86" t="s">
        <v>14</v>
      </c>
      <c r="B86" t="s">
        <v>41</v>
      </c>
      <c r="C86" t="s">
        <v>322</v>
      </c>
      <c r="D86">
        <v>600</v>
      </c>
      <c r="E86">
        <v>1</v>
      </c>
      <c r="F86">
        <v>0</v>
      </c>
      <c r="G86">
        <v>0</v>
      </c>
      <c r="H86">
        <v>0</v>
      </c>
    </row>
    <row r="87" spans="1:8" hidden="1" x14ac:dyDescent="0.25">
      <c r="A87" t="s">
        <v>542</v>
      </c>
      <c r="B87" t="s">
        <v>24</v>
      </c>
      <c r="C87" t="s">
        <v>106</v>
      </c>
      <c r="E87">
        <v>1</v>
      </c>
      <c r="F87">
        <v>0</v>
      </c>
      <c r="G87">
        <v>0</v>
      </c>
      <c r="H87">
        <v>1</v>
      </c>
    </row>
    <row r="88" spans="1:8" hidden="1" x14ac:dyDescent="0.25">
      <c r="A88" t="s">
        <v>542</v>
      </c>
      <c r="B88" t="s">
        <v>17</v>
      </c>
      <c r="C88" t="s">
        <v>18</v>
      </c>
      <c r="D88">
        <v>36</v>
      </c>
      <c r="E88">
        <v>3</v>
      </c>
      <c r="F88">
        <v>1</v>
      </c>
      <c r="G88">
        <v>0</v>
      </c>
      <c r="H88">
        <v>2</v>
      </c>
    </row>
    <row r="89" spans="1:8" x14ac:dyDescent="0.25">
      <c r="A89" t="s">
        <v>540</v>
      </c>
      <c r="B89" t="s">
        <v>41</v>
      </c>
      <c r="C89" t="s">
        <v>300</v>
      </c>
      <c r="D89">
        <v>6451</v>
      </c>
      <c r="E89">
        <v>13</v>
      </c>
      <c r="F89">
        <v>0</v>
      </c>
      <c r="G89">
        <v>0</v>
      </c>
      <c r="H89">
        <v>0</v>
      </c>
    </row>
    <row r="90" spans="1:8" x14ac:dyDescent="0.25">
      <c r="A90" t="s">
        <v>540</v>
      </c>
      <c r="B90" t="s">
        <v>41</v>
      </c>
      <c r="C90" t="s">
        <v>313</v>
      </c>
      <c r="D90">
        <v>1232</v>
      </c>
      <c r="E90">
        <v>10</v>
      </c>
      <c r="F90">
        <v>0</v>
      </c>
      <c r="G90">
        <v>0</v>
      </c>
      <c r="H90">
        <v>0</v>
      </c>
    </row>
    <row r="91" spans="1:8" hidden="1" x14ac:dyDescent="0.25">
      <c r="A91" t="s">
        <v>542</v>
      </c>
      <c r="B91" t="s">
        <v>17</v>
      </c>
      <c r="C91" t="s">
        <v>658</v>
      </c>
      <c r="D91">
        <v>14</v>
      </c>
      <c r="E91">
        <v>1</v>
      </c>
      <c r="F91">
        <v>0</v>
      </c>
      <c r="G91">
        <v>0</v>
      </c>
      <c r="H91">
        <v>1</v>
      </c>
    </row>
    <row r="92" spans="1:8" hidden="1" x14ac:dyDescent="0.25">
      <c r="A92" t="s">
        <v>14</v>
      </c>
      <c r="B92" t="s">
        <v>41</v>
      </c>
      <c r="C92" t="s">
        <v>318</v>
      </c>
      <c r="D92">
        <v>560</v>
      </c>
      <c r="E92">
        <v>3</v>
      </c>
      <c r="F92">
        <v>0</v>
      </c>
      <c r="G92">
        <v>0</v>
      </c>
      <c r="H92">
        <v>0</v>
      </c>
    </row>
    <row r="93" spans="1:8" hidden="1" x14ac:dyDescent="0.25">
      <c r="A93" t="s">
        <v>542</v>
      </c>
      <c r="B93" t="s">
        <v>41</v>
      </c>
      <c r="C93" t="s">
        <v>300</v>
      </c>
      <c r="D93">
        <v>9677</v>
      </c>
      <c r="E93">
        <v>13</v>
      </c>
      <c r="F93">
        <v>0</v>
      </c>
      <c r="G93">
        <v>0</v>
      </c>
      <c r="H93">
        <v>0</v>
      </c>
    </row>
    <row r="94" spans="1:8" x14ac:dyDescent="0.25">
      <c r="A94" t="s">
        <v>540</v>
      </c>
      <c r="B94" t="s">
        <v>41</v>
      </c>
      <c r="C94" t="s">
        <v>733</v>
      </c>
      <c r="D94">
        <v>94</v>
      </c>
      <c r="E94">
        <v>1</v>
      </c>
      <c r="F94">
        <v>0</v>
      </c>
      <c r="G94">
        <v>0</v>
      </c>
      <c r="H94">
        <v>0</v>
      </c>
    </row>
    <row r="95" spans="1:8" hidden="1" x14ac:dyDescent="0.25">
      <c r="A95" t="s">
        <v>542</v>
      </c>
      <c r="B95" t="s">
        <v>41</v>
      </c>
      <c r="C95" t="s">
        <v>313</v>
      </c>
      <c r="D95">
        <v>832</v>
      </c>
      <c r="E95">
        <v>4</v>
      </c>
      <c r="F95">
        <v>0</v>
      </c>
      <c r="G95">
        <v>0</v>
      </c>
      <c r="H95">
        <v>0</v>
      </c>
    </row>
    <row r="96" spans="1:8" x14ac:dyDescent="0.25">
      <c r="A96" t="s">
        <v>540</v>
      </c>
      <c r="B96" t="s">
        <v>41</v>
      </c>
      <c r="C96" t="s">
        <v>319</v>
      </c>
      <c r="D96">
        <v>1600</v>
      </c>
      <c r="E96">
        <v>1</v>
      </c>
      <c r="F96">
        <v>0</v>
      </c>
      <c r="G96">
        <v>0</v>
      </c>
      <c r="H96">
        <v>0</v>
      </c>
    </row>
    <row r="97" spans="1:8" hidden="1" x14ac:dyDescent="0.25">
      <c r="A97" t="s">
        <v>14</v>
      </c>
      <c r="B97" t="s">
        <v>41</v>
      </c>
      <c r="C97" t="s">
        <v>313</v>
      </c>
      <c r="D97">
        <v>600</v>
      </c>
      <c r="E97">
        <v>3</v>
      </c>
      <c r="F97">
        <v>0</v>
      </c>
      <c r="G97">
        <v>0</v>
      </c>
      <c r="H97">
        <v>0</v>
      </c>
    </row>
    <row r="98" spans="1:8" hidden="1" x14ac:dyDescent="0.25">
      <c r="A98" t="s">
        <v>542</v>
      </c>
      <c r="B98" t="s">
        <v>41</v>
      </c>
      <c r="C98" t="s">
        <v>733</v>
      </c>
      <c r="D98">
        <v>144</v>
      </c>
      <c r="E98">
        <v>1</v>
      </c>
      <c r="F98">
        <v>0</v>
      </c>
      <c r="G98">
        <v>0</v>
      </c>
      <c r="H98">
        <v>0</v>
      </c>
    </row>
    <row r="99" spans="1:8" x14ac:dyDescent="0.25">
      <c r="A99" t="s">
        <v>540</v>
      </c>
      <c r="B99" t="s">
        <v>41</v>
      </c>
      <c r="C99" t="s">
        <v>318</v>
      </c>
      <c r="D99">
        <v>373</v>
      </c>
      <c r="E99">
        <v>1</v>
      </c>
      <c r="F99">
        <v>0</v>
      </c>
      <c r="G99">
        <v>0</v>
      </c>
      <c r="H99">
        <v>0</v>
      </c>
    </row>
    <row r="100" spans="1:8" hidden="1" x14ac:dyDescent="0.25">
      <c r="A100" t="s">
        <v>542</v>
      </c>
      <c r="B100" t="s">
        <v>41</v>
      </c>
      <c r="C100" t="s">
        <v>319</v>
      </c>
      <c r="D100">
        <v>2400</v>
      </c>
      <c r="E100">
        <v>1</v>
      </c>
      <c r="F100">
        <v>0</v>
      </c>
      <c r="G100">
        <v>0</v>
      </c>
      <c r="H100">
        <v>0</v>
      </c>
    </row>
    <row r="101" spans="1:8" x14ac:dyDescent="0.25">
      <c r="A101" t="s">
        <v>540</v>
      </c>
      <c r="B101" t="s">
        <v>41</v>
      </c>
      <c r="C101" t="s">
        <v>317</v>
      </c>
      <c r="D101">
        <v>560</v>
      </c>
      <c r="E101">
        <v>1</v>
      </c>
      <c r="F101">
        <v>0</v>
      </c>
      <c r="G101">
        <v>0</v>
      </c>
      <c r="H101">
        <v>0</v>
      </c>
    </row>
    <row r="102" spans="1:8" hidden="1" x14ac:dyDescent="0.25">
      <c r="A102" t="s">
        <v>542</v>
      </c>
      <c r="B102" t="s">
        <v>41</v>
      </c>
      <c r="C102" t="s">
        <v>318</v>
      </c>
      <c r="D102">
        <v>776</v>
      </c>
      <c r="E102">
        <v>4</v>
      </c>
      <c r="F102">
        <v>0</v>
      </c>
      <c r="G102">
        <v>0</v>
      </c>
      <c r="H102">
        <v>0</v>
      </c>
    </row>
    <row r="103" spans="1:8" x14ac:dyDescent="0.25">
      <c r="A103" t="s">
        <v>540</v>
      </c>
      <c r="B103" t="s">
        <v>41</v>
      </c>
      <c r="C103" t="s">
        <v>38</v>
      </c>
      <c r="D103">
        <v>480</v>
      </c>
      <c r="E103">
        <v>1</v>
      </c>
      <c r="F103">
        <v>0</v>
      </c>
      <c r="G103">
        <v>0</v>
      </c>
      <c r="H103">
        <v>0</v>
      </c>
    </row>
    <row r="104" spans="1:8" hidden="1" x14ac:dyDescent="0.25">
      <c r="A104" t="s">
        <v>542</v>
      </c>
      <c r="B104" t="s">
        <v>41</v>
      </c>
      <c r="C104" t="s">
        <v>317</v>
      </c>
      <c r="D104">
        <v>560</v>
      </c>
      <c r="E104">
        <v>1</v>
      </c>
      <c r="F104">
        <v>0</v>
      </c>
      <c r="G104">
        <v>0</v>
      </c>
      <c r="H104">
        <v>0</v>
      </c>
    </row>
    <row r="105" spans="1:8" x14ac:dyDescent="0.25">
      <c r="A105" t="s">
        <v>540</v>
      </c>
      <c r="B105" t="s">
        <v>41</v>
      </c>
      <c r="C105" t="s">
        <v>321</v>
      </c>
      <c r="D105">
        <v>2133</v>
      </c>
      <c r="E105">
        <v>1</v>
      </c>
      <c r="F105">
        <v>0</v>
      </c>
      <c r="G105">
        <v>0</v>
      </c>
      <c r="H105">
        <v>0</v>
      </c>
    </row>
    <row r="106" spans="1:8" x14ac:dyDescent="0.25">
      <c r="A106" t="s">
        <v>540</v>
      </c>
      <c r="B106" t="s">
        <v>41</v>
      </c>
      <c r="C106" t="s">
        <v>675</v>
      </c>
      <c r="D106">
        <v>1440</v>
      </c>
      <c r="E106">
        <v>2</v>
      </c>
      <c r="F106">
        <v>0</v>
      </c>
      <c r="G106">
        <v>0</v>
      </c>
      <c r="H106">
        <v>0</v>
      </c>
    </row>
    <row r="107" spans="1:8" hidden="1" x14ac:dyDescent="0.25">
      <c r="A107" t="s">
        <v>542</v>
      </c>
      <c r="B107" t="s">
        <v>41</v>
      </c>
      <c r="C107" t="s">
        <v>321</v>
      </c>
      <c r="D107">
        <v>3200</v>
      </c>
      <c r="E107">
        <v>2</v>
      </c>
      <c r="F107">
        <v>0</v>
      </c>
      <c r="G107">
        <v>0</v>
      </c>
      <c r="H107">
        <v>0</v>
      </c>
    </row>
    <row r="108" spans="1:8" x14ac:dyDescent="0.25">
      <c r="A108" t="s">
        <v>540</v>
      </c>
      <c r="B108" t="s">
        <v>41</v>
      </c>
      <c r="C108" t="s">
        <v>678</v>
      </c>
      <c r="D108">
        <v>1800</v>
      </c>
      <c r="E108">
        <v>1</v>
      </c>
      <c r="F108">
        <v>0</v>
      </c>
      <c r="G108">
        <v>0</v>
      </c>
      <c r="H108">
        <v>0</v>
      </c>
    </row>
    <row r="109" spans="1:8" hidden="1" x14ac:dyDescent="0.25">
      <c r="A109" t="s">
        <v>542</v>
      </c>
      <c r="B109" t="s">
        <v>41</v>
      </c>
      <c r="C109" t="s">
        <v>675</v>
      </c>
      <c r="D109">
        <v>2160</v>
      </c>
      <c r="E109">
        <v>2</v>
      </c>
      <c r="F109">
        <v>0</v>
      </c>
      <c r="G109">
        <v>0</v>
      </c>
      <c r="H109">
        <v>0</v>
      </c>
    </row>
    <row r="110" spans="1:8" x14ac:dyDescent="0.25">
      <c r="A110" t="s">
        <v>540</v>
      </c>
      <c r="B110" t="s">
        <v>41</v>
      </c>
      <c r="C110" t="s">
        <v>680</v>
      </c>
      <c r="E110">
        <v>5</v>
      </c>
      <c r="F110">
        <v>0</v>
      </c>
      <c r="G110">
        <v>0</v>
      </c>
      <c r="H110">
        <v>0</v>
      </c>
    </row>
    <row r="111" spans="1:8" hidden="1" x14ac:dyDescent="0.25">
      <c r="A111" t="s">
        <v>542</v>
      </c>
      <c r="B111" t="s">
        <v>41</v>
      </c>
      <c r="C111" t="s">
        <v>678</v>
      </c>
      <c r="D111">
        <v>1800</v>
      </c>
      <c r="E111">
        <v>1</v>
      </c>
      <c r="F111">
        <v>0</v>
      </c>
      <c r="G111">
        <v>0</v>
      </c>
      <c r="H111">
        <v>0</v>
      </c>
    </row>
    <row r="112" spans="1:8" x14ac:dyDescent="0.25">
      <c r="A112" t="s">
        <v>540</v>
      </c>
      <c r="B112" t="s">
        <v>41</v>
      </c>
      <c r="C112" t="s">
        <v>51</v>
      </c>
      <c r="E112">
        <v>4</v>
      </c>
      <c r="F112">
        <v>0</v>
      </c>
      <c r="G112">
        <v>0</v>
      </c>
      <c r="H112">
        <v>0</v>
      </c>
    </row>
    <row r="113" spans="1:8" hidden="1" x14ac:dyDescent="0.25">
      <c r="A113" t="s">
        <v>14</v>
      </c>
      <c r="B113" t="s">
        <v>41</v>
      </c>
      <c r="C113" t="s">
        <v>317</v>
      </c>
      <c r="D113">
        <v>560</v>
      </c>
      <c r="E113">
        <v>1</v>
      </c>
      <c r="F113">
        <v>0</v>
      </c>
      <c r="G113">
        <v>0</v>
      </c>
      <c r="H113">
        <v>0</v>
      </c>
    </row>
    <row r="114" spans="1:8" x14ac:dyDescent="0.25">
      <c r="A114" t="s">
        <v>540</v>
      </c>
      <c r="B114" t="s">
        <v>17</v>
      </c>
      <c r="C114" t="s">
        <v>574</v>
      </c>
      <c r="D114">
        <v>392</v>
      </c>
      <c r="E114">
        <v>1</v>
      </c>
      <c r="F114">
        <v>0</v>
      </c>
      <c r="G114">
        <v>0</v>
      </c>
      <c r="H114">
        <v>1</v>
      </c>
    </row>
    <row r="115" spans="1:8" x14ac:dyDescent="0.25">
      <c r="A115" t="s">
        <v>540</v>
      </c>
      <c r="B115" t="s">
        <v>17</v>
      </c>
      <c r="C115" t="s">
        <v>18</v>
      </c>
      <c r="D115">
        <v>262</v>
      </c>
      <c r="E115">
        <v>2</v>
      </c>
      <c r="F115">
        <v>0</v>
      </c>
      <c r="G115">
        <v>0</v>
      </c>
      <c r="H115">
        <v>2</v>
      </c>
    </row>
    <row r="116" spans="1:8" hidden="1" x14ac:dyDescent="0.25">
      <c r="A116" t="s">
        <v>542</v>
      </c>
      <c r="B116" t="s">
        <v>41</v>
      </c>
      <c r="C116" t="s">
        <v>322</v>
      </c>
      <c r="D116">
        <v>8</v>
      </c>
      <c r="E116">
        <v>1</v>
      </c>
      <c r="F116">
        <v>0</v>
      </c>
      <c r="G116">
        <v>0</v>
      </c>
      <c r="H116">
        <v>0</v>
      </c>
    </row>
    <row r="117" spans="1:8" hidden="1" x14ac:dyDescent="0.25">
      <c r="A117" t="s">
        <v>14</v>
      </c>
      <c r="B117" t="s">
        <v>41</v>
      </c>
      <c r="C117" t="s">
        <v>320</v>
      </c>
      <c r="D117">
        <v>208</v>
      </c>
      <c r="E117">
        <v>1</v>
      </c>
      <c r="F117">
        <v>0</v>
      </c>
      <c r="G117">
        <v>0</v>
      </c>
      <c r="H117">
        <v>0</v>
      </c>
    </row>
    <row r="118" spans="1:8" hidden="1" x14ac:dyDescent="0.25">
      <c r="A118" t="s">
        <v>542</v>
      </c>
      <c r="B118" t="s">
        <v>24</v>
      </c>
      <c r="C118" t="s">
        <v>112</v>
      </c>
      <c r="E118">
        <v>1</v>
      </c>
      <c r="F118">
        <v>0</v>
      </c>
      <c r="G118">
        <v>0</v>
      </c>
      <c r="H118">
        <v>0</v>
      </c>
    </row>
    <row r="119" spans="1:8" hidden="1" x14ac:dyDescent="0.25">
      <c r="A119" t="s">
        <v>14</v>
      </c>
      <c r="B119" t="s">
        <v>41</v>
      </c>
      <c r="C119" t="s">
        <v>321</v>
      </c>
      <c r="D119">
        <v>3000</v>
      </c>
      <c r="E119">
        <v>10</v>
      </c>
      <c r="F119">
        <v>0</v>
      </c>
      <c r="G119">
        <v>0</v>
      </c>
      <c r="H119">
        <v>0</v>
      </c>
    </row>
    <row r="120" spans="1:8" hidden="1" x14ac:dyDescent="0.25">
      <c r="A120" t="s">
        <v>14</v>
      </c>
      <c r="B120" t="s">
        <v>17</v>
      </c>
      <c r="C120" t="s">
        <v>205</v>
      </c>
      <c r="D120">
        <v>470</v>
      </c>
      <c r="E120">
        <v>2</v>
      </c>
      <c r="F120">
        <v>1</v>
      </c>
      <c r="G120">
        <v>1</v>
      </c>
      <c r="H120">
        <v>0</v>
      </c>
    </row>
    <row r="121" spans="1:8" hidden="1" x14ac:dyDescent="0.25">
      <c r="A121" t="s">
        <v>14</v>
      </c>
      <c r="B121" t="s">
        <v>17</v>
      </c>
      <c r="C121" t="s">
        <v>66</v>
      </c>
      <c r="D121">
        <v>42</v>
      </c>
      <c r="E121">
        <v>1</v>
      </c>
      <c r="F121">
        <v>0</v>
      </c>
      <c r="G121">
        <v>0</v>
      </c>
      <c r="H121">
        <v>1</v>
      </c>
    </row>
    <row r="122" spans="1:8" hidden="1" x14ac:dyDescent="0.25">
      <c r="A122" t="s">
        <v>14</v>
      </c>
      <c r="B122" t="s">
        <v>17</v>
      </c>
      <c r="C122" t="s">
        <v>44</v>
      </c>
      <c r="D122">
        <v>376</v>
      </c>
      <c r="E122">
        <v>7</v>
      </c>
      <c r="F122">
        <v>1</v>
      </c>
      <c r="G122">
        <v>1</v>
      </c>
      <c r="H122">
        <v>5</v>
      </c>
    </row>
    <row r="123" spans="1:8" hidden="1" x14ac:dyDescent="0.25">
      <c r="A123" t="s">
        <v>14</v>
      </c>
      <c r="B123" t="s">
        <v>17</v>
      </c>
      <c r="C123" t="s">
        <v>21</v>
      </c>
      <c r="D123">
        <v>8</v>
      </c>
      <c r="E123">
        <v>1</v>
      </c>
      <c r="F123">
        <v>0</v>
      </c>
      <c r="G123">
        <v>0</v>
      </c>
      <c r="H123">
        <v>1</v>
      </c>
    </row>
    <row r="124" spans="1:8" hidden="1" x14ac:dyDescent="0.25">
      <c r="A124" t="s">
        <v>14</v>
      </c>
      <c r="B124" t="s">
        <v>17</v>
      </c>
      <c r="C124" t="s">
        <v>18</v>
      </c>
      <c r="D124">
        <v>1</v>
      </c>
      <c r="E124">
        <v>1</v>
      </c>
      <c r="F124">
        <v>1</v>
      </c>
      <c r="G124">
        <v>0</v>
      </c>
      <c r="H124">
        <v>0</v>
      </c>
    </row>
    <row r="125" spans="1:8" x14ac:dyDescent="0.25">
      <c r="A125" t="s">
        <v>540</v>
      </c>
      <c r="B125" t="s">
        <v>17</v>
      </c>
      <c r="C125" t="s">
        <v>658</v>
      </c>
      <c r="D125">
        <v>131</v>
      </c>
      <c r="E125">
        <v>1</v>
      </c>
      <c r="F125">
        <v>0</v>
      </c>
      <c r="G125">
        <v>0</v>
      </c>
      <c r="H125">
        <v>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FB77D0-776A-4D32-AFB8-FBBA837440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Full Features</vt:lpstr>
      <vt:lpstr>Reference Sheet</vt:lpstr>
      <vt:lpstr>Requester Stats</vt:lpstr>
      <vt:lpstr>Initiative Group Stats</vt:lpstr>
      <vt:lpstr>Initiative 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Nikolaj Cilleborg Haulrik</dc:creator>
  <cp:lastModifiedBy>Nikolaj Cilleborg Haulrik</cp:lastModifiedBy>
  <dcterms:created xsi:type="dcterms:W3CDTF">2026-04-27T09:08:36Z</dcterms:created>
  <dcterms:modified xsi:type="dcterms:W3CDTF">2026-05-06T07:08:12Z</dcterms:modified>
</cp:coreProperties>
</file>