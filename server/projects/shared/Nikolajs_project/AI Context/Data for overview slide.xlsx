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4.xml" ContentType="application/vnd.openxmlformats-officedocument.spreadsheetml.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5.xml" ContentType="application/vnd.openxmlformats-officedocument.spreadsheetml.table+xml"/>
  <Override PartName="/xl/tables/table6.xml" ContentType="application/vnd.openxmlformats-officedocument.spreadsheetml.table+xml"/>
  <Override PartName="/xl/queryTables/queryTable2.xml" ContentType="application/vnd.openxmlformats-officedocument.spreadsheetml.query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queryTables/queryTable3.xml" ContentType="application/vnd.openxmlformats-officedocument.spreadsheetml.queryTable+xml"/>
  <Override PartName="/xl/tables/table1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166925"/>
  <mc:AlternateContent xmlns:mc="http://schemas.openxmlformats.org/markup-compatibility/2006">
    <mc:Choice Requires="x15">
      <x15ac:absPath xmlns:x15ac="http://schemas.microsoft.com/office/spreadsheetml/2010/11/ac" url="C:\source\SOLON\server\projects\Nikolajs_project\AI Context\"/>
    </mc:Choice>
  </mc:AlternateContent>
  <xr:revisionPtr revIDLastSave="0" documentId="8_{78D06EA2-D604-4613-8434-2E223B8D6E71}" xr6:coauthVersionLast="47" xr6:coauthVersionMax="47" xr10:uidLastSave="{00000000-0000-0000-0000-000000000000}"/>
  <bookViews>
    <workbookView xWindow="-57720" yWindow="7590" windowWidth="29040" windowHeight="15720" tabRatio="880" activeTab="2" xr2:uid="{A4F71CB2-5684-4A48-BC86-7D2C00052A66}"/>
  </bookViews>
  <sheets>
    <sheet name="Epic Mapping" sheetId="41" r:id="rId1"/>
    <sheet name="Epics" sheetId="40" r:id="rId2"/>
    <sheet name="Product Backlog (Jira)" sheetId="34" r:id="rId3"/>
    <sheet name="Product Backlog (Jira) Pivot" sheetId="44" r:id="rId4"/>
    <sheet name="Sheet2" sheetId="43" r:id="rId5"/>
    <sheet name="Pivot (Product Backlog output)" sheetId="33" r:id="rId6"/>
    <sheet name="Est hrs calc" sheetId="13" r:id="rId7"/>
    <sheet name="Product Backlog (output)" sheetId="28" r:id="rId8"/>
    <sheet name="Product Backlog (input)" sheetId="20" state="hidden" r:id="rId9"/>
    <sheet name="InitiativeGroupMapping (input)" sheetId="31" r:id="rId10"/>
    <sheet name="Management" sheetId="16" r:id="rId11"/>
    <sheet name="Other Activities" sheetId="7" r:id="rId12"/>
    <sheet name="GetEpic" sheetId="36" state="hidden" r:id="rId13"/>
    <sheet name="FieldsConfig" sheetId="35" state="hidden" r:id="rId14"/>
  </sheets>
  <definedNames>
    <definedName name="AvgWeeklyHours">8*5</definedName>
    <definedName name="CalculatedContingency">'Est hrs calc'!$E$21</definedName>
    <definedName name="CalculatedManagement">'Est hrs calc'!$E$23</definedName>
    <definedName name="CalculatedOther">'Est hrs calc'!$E$24</definedName>
    <definedName name="Contingency">'Est hrs calc'!$E$21</definedName>
    <definedName name="Contingency_Factor">'Est hrs calc'!$B$21</definedName>
    <definedName name="ExternalData_1" localSheetId="7" hidden="1">'Product Backlog (output)'!$A$1:$H$2159</definedName>
    <definedName name="ExternalData_2" localSheetId="2" hidden="1">'Product Backlog (Jira)'!$A$1:$R$223</definedName>
    <definedName name="ExternalData_3" localSheetId="12" hidden="1">GetEpic!$A$1:$E$60</definedName>
    <definedName name="ManagementNumberOfWeeks">Management!$B$5</definedName>
    <definedName name="SOLON_BuildFactor" localSheetId="3">Estimate_Factors[[#Totals],[Actual factor]]</definedName>
    <definedName name="SOLON_BuildFactor">Estimate_Factors[[#Totals],[Actual factor]]</definedName>
    <definedName name="Total_Build_Estimate">'Product Backlog (input)'!$K$1</definedName>
    <definedName name="TotalBuildEstimateJira">'Product Backlog (Jira)'!$U$2</definedName>
  </definedNames>
  <calcPr calcId="191028"/>
  <pivotCaches>
    <pivotCache cacheId="0" r:id="rId15"/>
    <pivotCache cacheId="1" r:id="rId1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16" l="1" a="1"/>
  <c r="D25" i="16" s="1"/>
  <c r="C25" i="16" a="1"/>
  <c r="C25" i="16" s="1"/>
  <c r="E25" i="16" s="1"/>
  <c r="D24" i="16" a="1"/>
  <c r="D24" i="16" s="1"/>
  <c r="C24" i="16" a="1"/>
  <c r="C24" i="16" s="1"/>
  <c r="E24" i="16" s="1"/>
  <c r="D23" i="16" a="1"/>
  <c r="D23" i="16" s="1"/>
  <c r="C23" i="16" a="1"/>
  <c r="C23" i="16" s="1"/>
  <c r="E23" i="16" s="1"/>
  <c r="E25" i="13"/>
  <c r="D15" i="16" l="1" a="1"/>
  <c r="D15" i="16" s="1"/>
  <c r="U2" i="34"/>
  <c r="C13" i="13" s="1"/>
  <c r="C18" i="13" s="1"/>
  <c r="B19" i="13"/>
  <c r="D19" i="13"/>
  <c r="C14" i="13" l="1"/>
  <c r="C15" i="13"/>
  <c r="C16" i="13"/>
  <c r="C17" i="13"/>
  <c r="D10" i="16" a="1"/>
  <c r="D10" i="16" s="1"/>
  <c r="D11" i="16" a="1"/>
  <c r="D11" i="16" s="1"/>
  <c r="D12" i="16" a="1"/>
  <c r="D12" i="16" s="1"/>
  <c r="D13" i="16" a="1"/>
  <c r="D13" i="16" s="1"/>
  <c r="D14" i="16" a="1"/>
  <c r="D14" i="16" s="1"/>
  <c r="D16" i="16" a="1"/>
  <c r="D16" i="16" s="1"/>
  <c r="D17" i="16" a="1"/>
  <c r="D17" i="16" s="1"/>
  <c r="D18" i="16" a="1"/>
  <c r="D18" i="16" s="1"/>
  <c r="D19" i="16" a="1"/>
  <c r="D19" i="16" s="1"/>
  <c r="D20" i="16" a="1"/>
  <c r="D20" i="16" s="1"/>
  <c r="D21" i="16" a="1"/>
  <c r="D21" i="16" s="1"/>
  <c r="D22" i="16" a="1"/>
  <c r="D22" i="16" s="1"/>
  <c r="B26" i="16"/>
  <c r="C2" i="7"/>
  <c r="B9" i="13" l="1"/>
  <c r="A4" i="13" a="1"/>
  <c r="C5" i="13" s="1"/>
  <c r="K1" i="20"/>
  <c r="C8" i="13" l="1"/>
  <c r="C6" i="13"/>
  <c r="C7" i="13"/>
  <c r="A4" i="13"/>
  <c r="C4" i="13" s="1"/>
  <c r="C19" i="13" l="1"/>
  <c r="C9" i="13"/>
  <c r="C3" i="7"/>
  <c r="E24" i="13" s="1"/>
  <c r="D26" i="16" l="1"/>
  <c r="B5" i="16" l="1"/>
  <c r="C15" i="16" l="1" a="1"/>
  <c r="C15" i="16" s="1"/>
  <c r="E15" i="16" s="1"/>
  <c r="C11" i="16" a="1"/>
  <c r="C11" i="16" s="1"/>
  <c r="E11" i="16" s="1"/>
  <c r="C13" i="16" a="1"/>
  <c r="C13" i="16" s="1"/>
  <c r="E13" i="16" s="1"/>
  <c r="C16" i="16" a="1"/>
  <c r="C16" i="16" s="1"/>
  <c r="E16" i="16" s="1"/>
  <c r="C10" i="16" a="1"/>
  <c r="C10" i="16" s="1"/>
  <c r="E10" i="16" s="1"/>
  <c r="C18" i="16" a="1"/>
  <c r="C18" i="16" s="1"/>
  <c r="E18" i="16" s="1"/>
  <c r="C12" i="16" a="1"/>
  <c r="C12" i="16" s="1"/>
  <c r="C20" i="16" a="1"/>
  <c r="C20" i="16" s="1"/>
  <c r="E20" i="16" s="1"/>
  <c r="C21" i="16" a="1"/>
  <c r="C21" i="16" s="1"/>
  <c r="E21" i="16" s="1"/>
  <c r="C19" i="16" a="1"/>
  <c r="C19" i="16" s="1"/>
  <c r="E19" i="16" s="1"/>
  <c r="C17" i="16" a="1"/>
  <c r="C17" i="16" s="1"/>
  <c r="E17" i="16" s="1"/>
  <c r="C22" i="16" a="1"/>
  <c r="C22" i="16" s="1"/>
  <c r="E22" i="16" s="1"/>
  <c r="C14" i="16" a="1"/>
  <c r="C14" i="16" s="1"/>
  <c r="E14" i="16" s="1"/>
  <c r="C26" i="16" l="1"/>
  <c r="E12" i="16"/>
  <c r="E26" i="16" s="1"/>
  <c r="E23" i="13" s="1"/>
  <c r="E13" i="13" l="1"/>
  <c r="E16" i="13"/>
  <c r="E17" i="13"/>
  <c r="E14" i="13"/>
  <c r="E18" i="13"/>
  <c r="E15" i="13"/>
  <c r="E19" i="13" l="1"/>
  <c r="E21" i="13" l="1"/>
  <c r="E27" i="13" l="1"/>
  <c r="E28" i="13"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5050B11-36E9-4914-979A-AED6AF0312D2}" keepAlive="1" name="Query - Enriched Jira Features" description="Connection to the 'Enriched Jira Features' query in the workbook." type="5" refreshedVersion="8" background="1" saveData="1">
    <dbPr connection="Provider=Microsoft.Mashup.OleDb.1;Data Source=$Workbook$;Location=&quot;Enriched Jira Features&quot;;Extended Properties=&quot;&quot;" command="SELECT * FROM [Enriched Jira Features]"/>
  </connection>
  <connection id="2" xr16:uid="{F63F331C-94D1-4834-9690-4EBDD0AF6D3C}" keepAlive="1" name="Query - EstimateFactors" description="Connection to the 'EstimateFactors' query in the workbook." type="5" refreshedVersion="0" background="1" saveData="1">
    <dbPr connection="Provider=Microsoft.Mashup.OleDb.1;Data Source=$Workbook$;Location=EstimateFactors;Extended Properties=&quot;&quot;" command="SELECT * FROM [EstimateFactors]"/>
  </connection>
  <connection id="3" xr16:uid="{4EB52FA7-DE44-40BC-8BB6-D8B6483EA2D8}" keepAlive="1" name="Query - Extended Product backlog" description="Connection to the 'Extended Product backlog' query in the workbook." type="5" refreshedVersion="8" background="1" saveData="1">
    <dbPr connection="Provider=Microsoft.Mashup.OleDb.1;Data Source=$Workbook$;Location=&quot;Extended Product backlog&quot;;Extended Properties=&quot;&quot;" command="SELECT * FROM [Extended Product backlog]"/>
  </connection>
  <connection id="4" xr16:uid="{33F89599-E643-4D62-9715-79507D44EA78}" keepAlive="1" name="Query - GetEpics" description="Connection to the 'GetEpics' query in the workbook." type="5" refreshedVersion="8" background="1" saveData="1">
    <dbPr connection="Provider=Microsoft.Mashup.OleDb.1;Data Source=$Workbook$;Location=GetEpics;Extended Properties=&quot;&quot;" command="SELECT * FROM [GetEpics]"/>
  </connection>
  <connection id="5" xr16:uid="{A8E3AF71-28EC-4A27-A3A5-FB6D453AADA7}" keepAlive="1" name="Query - InitiativeGroup" description="Connection to the 'InitiativeGroup' query in the workbook." type="5" refreshedVersion="0" background="1" saveData="1">
    <dbPr connection="Provider=Microsoft.Mashup.OleDb.1;Data Source=$Workbook$;Location=InitiativeGroup;Extended Properties=&quot;&quot;" command="SELECT * FROM [InitiativeGroup]"/>
  </connection>
  <connection id="6" xr16:uid="{841B19E4-FF46-4C86-BB80-130740436E04}" keepAlive="1" name="Query - Product Backlog (Jira)" description="Connection to the 'Product Backlog (Jira)' query in the workbook." type="5" refreshedVersion="8" background="1" saveData="1">
    <dbPr connection="Provider=Microsoft.Mashup.OleDb.1;Data Source=$Workbook$;Location=&quot;Product Backlog (Jira)&quot;;Extended Properties=&quot;&quot;" command="SELECT * FROM [Product Backlog (Jira)]"/>
  </connection>
  <connection id="7" xr16:uid="{64CB0121-FE5B-449A-B934-23AF16D27AD7}" keepAlive="1" name="Query - Product Backlog (Jira) (2)" description="Connection to the 'Product Backlog (Jira) (2)' query in the workbook." type="5" refreshedVersion="8" background="1" saveData="1">
    <dbPr connection="Provider=Microsoft.Mashup.OleDb.1;Data Source=$Workbook$;Location=&quot;Product Backlog (Jira) (2)&quot;;Extended Properties=&quot;&quot;" command="SELECT * FROM [Product Backlog (Jira) (2)]"/>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<sst xmlns="http://schemas.openxmlformats.org/spreadsheetml/2006/main" count="21438" uniqueCount="1654">
  <si>
    <t>IRM</t>
  </si>
  <si>
    <t>Roadmap Initiative Group</t>
  </si>
  <si>
    <t>Roadmap Initiative</t>
  </si>
  <si>
    <t>Roadmap Feature</t>
  </si>
  <si>
    <t>Roadmap Item</t>
  </si>
  <si>
    <t>Estimate</t>
  </si>
  <si>
    <t>Requester</t>
  </si>
  <si>
    <t>PI</t>
  </si>
  <si>
    <t>IRM-38759</t>
  </si>
  <si>
    <t>REFERENCE IMPLEMENTATIONS</t>
  </si>
  <si>
    <t>VAT</t>
  </si>
  <si>
    <t>VAT Tax Account Reference Implementation</t>
  </si>
  <si>
    <t>Analysis &amp; Design</t>
  </si>
  <si>
    <t>GTM</t>
  </si>
  <si>
    <t>PI27</t>
  </si>
  <si>
    <t>IRM-38710</t>
  </si>
  <si>
    <t>VAT Return Form - Warning for Intracommunity Transaction Enhancement</t>
  </si>
  <si>
    <t>Bugfix</t>
  </si>
  <si>
    <t>PI28</t>
  </si>
  <si>
    <t>Finalization (e2e testing, regression, stabilization)</t>
  </si>
  <si>
    <t>Test Execution</t>
  </si>
  <si>
    <t>Test Preperation</t>
  </si>
  <si>
    <t>Build</t>
  </si>
  <si>
    <t>IRM-29513</t>
  </si>
  <si>
    <t>APPLICATION PROCESSES</t>
  </si>
  <si>
    <t>Support four-eye principle in Solon Tax - Approval Workflow</t>
  </si>
  <si>
    <t>GRC</t>
  </si>
  <si>
    <t>PI29</t>
  </si>
  <si>
    <t>IRM-16516</t>
  </si>
  <si>
    <t>SELF SERVICE ACCOUNT OVERVIEW</t>
  </si>
  <si>
    <t>SS  Payments - See Taxpayer Account Overview - User - Part 3 - Open/Edit Registration Details</t>
  </si>
  <si>
    <t>Other</t>
  </si>
  <si>
    <t>IRM-5111</t>
  </si>
  <si>
    <t>SELF SERVICE FILING &amp; PAYMENTS</t>
  </si>
  <si>
    <t>SS Payments - See Filing Obligation Details - Part 2</t>
  </si>
  <si>
    <t>IRM-374</t>
  </si>
  <si>
    <t>SS Payments - Initiate Payment from Self Service Portal - User</t>
  </si>
  <si>
    <t>IRM-3545</t>
  </si>
  <si>
    <t>SS Payments - See Payment Details</t>
  </si>
  <si>
    <t>IRM-3543</t>
  </si>
  <si>
    <t>SS Payments - See Payment History</t>
  </si>
  <si>
    <t>IRM-3542</t>
  </si>
  <si>
    <t>SS  Payments - Submit Payment Form</t>
  </si>
  <si>
    <t>IRM-3541</t>
  </si>
  <si>
    <t>SS  Payments - See Current Payment Obligations</t>
  </si>
  <si>
    <t>IRM-25436</t>
  </si>
  <si>
    <t>SS Enhancements - Refactor existing self service pages to work through services implementation - part 4 / Important</t>
  </si>
  <si>
    <t>Row Labels</t>
  </si>
  <si>
    <t>Sum of Estimate</t>
  </si>
  <si>
    <t>Column Labels</t>
  </si>
  <si>
    <t>PI26</t>
  </si>
  <si>
    <t>PI30</t>
  </si>
  <si>
    <t>Grand Total</t>
  </si>
  <si>
    <t>CORE DATA HUB CAPABILITIES</t>
  </si>
  <si>
    <t>AEOI, VIDA &amp; OTHER DATA EXCHANGE</t>
  </si>
  <si>
    <t>AEOI, VIDA &amp; OTHER DATA STORAGE</t>
  </si>
  <si>
    <t>CORE REVENUE MANAGEMENT CAPABILITIES</t>
  </si>
  <si>
    <t>BILLING, ASSESSMENTS AND INSTALLMENTS</t>
  </si>
  <si>
    <t>EXEMPTIONS</t>
  </si>
  <si>
    <t>PENALTY &amp; INTEREST</t>
  </si>
  <si>
    <t>REGISTRATION</t>
  </si>
  <si>
    <t>TAX ACCOUNTS</t>
  </si>
  <si>
    <t>TAXPAYER ACCOUNTING</t>
  </si>
  <si>
    <t>CORE SELF SERVICE CAPABILITIES</t>
  </si>
  <si>
    <t>SELF SERVICE SERVICES MANAGEMENT</t>
  </si>
  <si>
    <t>USER &amp; 3RD PARTY ACCESS MANAGEMENT</t>
  </si>
  <si>
    <t>CORE SUPPORTING CAPABILITIES</t>
  </si>
  <si>
    <t>CASE MANAGEMENT</t>
  </si>
  <si>
    <t>CONTACT MANAGEMENT</t>
  </si>
  <si>
    <t>CONTENT MANAGEMENT INTEGRATION</t>
  </si>
  <si>
    <t>DOCUMENT MANAGEMENT INTEGRATION</t>
  </si>
  <si>
    <t>FORM PROCESSING</t>
  </si>
  <si>
    <t>OPERATIONAL REPORTING</t>
  </si>
  <si>
    <t>REFERENCE DATA</t>
  </si>
  <si>
    <t>UI CONFIGURATION</t>
  </si>
  <si>
    <t>NON-FUNCTIONAL REQUIREMENT COVERAGE</t>
  </si>
  <si>
    <t>ACCESSIBILITY</t>
  </si>
  <si>
    <t>EXTENSIBILITY</t>
  </si>
  <si>
    <t>MAINTAINABILITY</t>
  </si>
  <si>
    <t>OPERABILITY</t>
  </si>
  <si>
    <t>PERFORMANCE EFFICIENCY</t>
  </si>
  <si>
    <t>RELIABILITY</t>
  </si>
  <si>
    <t>SECURITY</t>
  </si>
  <si>
    <t>TEST SUITE OPTIMIZATION</t>
  </si>
  <si>
    <t>TRACEABILITY</t>
  </si>
  <si>
    <t>USABILITY</t>
  </si>
  <si>
    <t>(blank)</t>
  </si>
  <si>
    <t>Planned work across PI's</t>
  </si>
  <si>
    <t>Capacity</t>
  </si>
  <si>
    <t>Total estimate</t>
  </si>
  <si>
    <t>Area</t>
  </si>
  <si>
    <t>NC Baseline</t>
  </si>
  <si>
    <t>Hours</t>
  </si>
  <si>
    <t>Actual factor</t>
  </si>
  <si>
    <t>Actual hours</t>
  </si>
  <si>
    <t>Comment on divergence from baseline</t>
  </si>
  <si>
    <t>Total</t>
  </si>
  <si>
    <t>Contingency</t>
  </si>
  <si>
    <t xml:space="preserve">Management </t>
  </si>
  <si>
    <t>Other activities</t>
  </si>
  <si>
    <t>Spent YTD (Jan-Mar)</t>
  </si>
  <si>
    <r>
      <t>All hours (</t>
    </r>
    <r>
      <rPr>
        <b/>
        <sz val="10"/>
        <color theme="1"/>
        <rFont val="Calibri"/>
        <family val="2"/>
        <scheme val="minor"/>
      </rPr>
      <t xml:space="preserve">Including </t>
    </r>
    <r>
      <rPr>
        <sz val="10"/>
        <color theme="1"/>
        <rFont val="Calibri"/>
        <family val="2"/>
        <scheme val="minor"/>
      </rPr>
      <t>contingency)</t>
    </r>
  </si>
  <si>
    <r>
      <t>All hours (</t>
    </r>
    <r>
      <rPr>
        <b/>
        <sz val="10"/>
        <color theme="1"/>
        <rFont val="Calibri"/>
        <family val="2"/>
        <scheme val="minor"/>
      </rPr>
      <t>excluding</t>
    </r>
    <r>
      <rPr>
        <sz val="10"/>
        <color theme="1"/>
        <rFont val="Calibri"/>
        <family val="2"/>
        <scheme val="minor"/>
      </rPr>
      <t xml:space="preserve"> Contingency)</t>
    </r>
  </si>
  <si>
    <t>IRM-11539</t>
  </si>
  <si>
    <t>View Organizational structure and taxpayers hierarchy structure – User / Part 1 of 2</t>
  </si>
  <si>
    <t>IRM-12464</t>
  </si>
  <si>
    <t>Add and Maintain Case - Assign and Unassign Case Workers - Effort - User</t>
  </si>
  <si>
    <t>IRM-12465</t>
  </si>
  <si>
    <t>Define and Maintain Case Type - Case Worker Profiles - Use Availability - Admin</t>
  </si>
  <si>
    <t>IRM-16272</t>
  </si>
  <si>
    <t>PIT - File Original Personal Income Tax Return from Self Service – User</t>
  </si>
  <si>
    <t>IRM-16273</t>
  </si>
  <si>
    <t>PIT - Amend Original Personal Income Tax Return from Self Service – User</t>
  </si>
  <si>
    <t>IRM-17620</t>
  </si>
  <si>
    <t>Support Audit Trail for Statute of Limitation Date modifications in IRM - Admin</t>
  </si>
  <si>
    <t>IRM-17803</t>
  </si>
  <si>
    <t>Analysis : When Fts/Journal Entries creation fails, admin can re-create them using a system process</t>
  </si>
  <si>
    <t>IRM-18729</t>
  </si>
  <si>
    <t>Import Code Lists - Admin</t>
  </si>
  <si>
    <t>IRM-18730</t>
  </si>
  <si>
    <t>Export Code List – Admin</t>
  </si>
  <si>
    <t>IRM-19256</t>
  </si>
  <si>
    <t xml:space="preserve">PIT -  Support saving a declaration form in ISS where calculated tax is displayed prior submitting </t>
  </si>
  <si>
    <t>IRM-19514</t>
  </si>
  <si>
    <t>Add and Maintain Ad-hoc Obligations – Pay Instalment Actions and Categories</t>
  </si>
  <si>
    <t>IRM-20329</t>
  </si>
  <si>
    <t>Data Security - Restrict Access to Personal Data GDPR- Admin (based on data classifications) - Part 1/4</t>
  </si>
  <si>
    <t>IRM-26090</t>
  </si>
  <si>
    <t>Technology Management - Breaking Changes for Solon 3.0.0 (Current PI27)</t>
  </si>
  <si>
    <t>IRM-26949</t>
  </si>
  <si>
    <t>Assign Unique Number to Incoming and Outgoing Documents</t>
  </si>
  <si>
    <t>IRM-26951</t>
  </si>
  <si>
    <t>Send Outbound Message Manually to Multiple Recipients - Admin</t>
  </si>
  <si>
    <t>IRM-27340</t>
  </si>
  <si>
    <t>Filtering Relating Codelist items in tree view - Part 3 (leftover)</t>
  </si>
  <si>
    <t>IRM-28301</t>
  </si>
  <si>
    <t>Documents Management - Manage Party Role Documents - Admin</t>
  </si>
  <si>
    <t>IRM-28302</t>
  </si>
  <si>
    <t>Documents Management - Self Service - Manage My Documents - User</t>
  </si>
  <si>
    <t>IRM-28303</t>
  </si>
  <si>
    <t>Documents Management - Revenue management - Manage Party Role Documents  - User</t>
  </si>
  <si>
    <t>IRM-28521</t>
  </si>
  <si>
    <t>Generic component - Support for Embedded 3rd-Party Digital Signature and Document Preview Components in RM pages</t>
  </si>
  <si>
    <t>IRM-29268</t>
  </si>
  <si>
    <t>POC/Fixed effort - Config Items Management ( Packaging &amp; versioning) : Enable delivery teams to safely and selectively migrate configurations across environments</t>
  </si>
  <si>
    <t>IRM-29306</t>
  </si>
  <si>
    <t>Export Filtered List Table to Excel /Registration List pages</t>
  </si>
  <si>
    <t>IRM-29317</t>
  </si>
  <si>
    <t xml:space="preserve">Codelists : Translatable Metadata/Attributes labels </t>
  </si>
  <si>
    <t>IRM-29344</t>
  </si>
  <si>
    <t>Codelists : Attributes Field types and codelist relation</t>
  </si>
  <si>
    <t>IRM-29430</t>
  </si>
  <si>
    <t>Enhance Credit Interest Calculation to include unallocated payment segments</t>
  </si>
  <si>
    <t>IRM-29434</t>
  </si>
  <si>
    <t>Display and search by Source and timestamp columns in Codelists, Parties and Addresses</t>
  </si>
  <si>
    <t>IRM-29547</t>
  </si>
  <si>
    <t>Allowed Unicode characters to be used in 'Code' fields of configuration records (Registration/Taxpayer Accounting)</t>
  </si>
  <si>
    <t>IRM-29663</t>
  </si>
  <si>
    <t>Solon Tax logging enhancements</t>
  </si>
  <si>
    <t>IRM-29710</t>
  </si>
  <si>
    <t>Support row level security  - Allowed Operations per Operational Report Type</t>
  </si>
  <si>
    <t>IRM-29998</t>
  </si>
  <si>
    <t>Automatically distribute Operational Report in list of recipients</t>
  </si>
  <si>
    <t>IRM-30255</t>
  </si>
  <si>
    <t>Support an AI-assisted JSON schema generation mechanism within Form Designer</t>
  </si>
  <si>
    <t>IRM-30334</t>
  </si>
  <si>
    <t>PIT  &amp;  Pay as you earn</t>
  </si>
  <si>
    <t>IRM-30356</t>
  </si>
  <si>
    <t>Vida PoC - Flow and example  integrations</t>
  </si>
  <si>
    <t>IRM-30357</t>
  </si>
  <si>
    <t>AI in RM</t>
  </si>
  <si>
    <t>IRM-30358</t>
  </si>
  <si>
    <t>AI in SS</t>
  </si>
  <si>
    <t>IRM-30360</t>
  </si>
  <si>
    <t>Data visibility permissions / Row level access, per hierarchical level of users in teams</t>
  </si>
  <si>
    <t>IRM-30362</t>
  </si>
  <si>
    <t>GL decisions table - Ensure extensibility and high volume support of decisions /Functionality &amp; Reference Implementation</t>
  </si>
  <si>
    <t>IRM-30366</t>
  </si>
  <si>
    <t xml:space="preserve">Party Identifiers - Country parameter and Validations </t>
  </si>
  <si>
    <t>IRM-30369</t>
  </si>
  <si>
    <t>Additional Details in Registry changes to relate and define declaration ID and state</t>
  </si>
  <si>
    <t>IRM-30371</t>
  </si>
  <si>
    <t>Additional Name Elements</t>
  </si>
  <si>
    <t>IRM-30372</t>
  </si>
  <si>
    <t>Row level security example for human tasks   / Reference Implementation</t>
  </si>
  <si>
    <t>IRM-30376</t>
  </si>
  <si>
    <t>Performance -Work on the known issues with performance in tasks assignment</t>
  </si>
  <si>
    <t>IRM-30378</t>
  </si>
  <si>
    <t xml:space="preserve">Integration with Luminus (BRA &amp; Audit support)  </t>
  </si>
  <si>
    <t>IRM-30402</t>
  </si>
  <si>
    <t>SS Enhancements - Full process of Drools</t>
  </si>
  <si>
    <t>IRM-30403</t>
  </si>
  <si>
    <t>SS Enhancements - CMS Integration</t>
  </si>
  <si>
    <t>IRM-30418</t>
  </si>
  <si>
    <t>Configurable Home Page widgets  in RM</t>
  </si>
  <si>
    <t>IRM-30419</t>
  </si>
  <si>
    <t>Improve the search experience - RM</t>
  </si>
  <si>
    <t>IRM-30421</t>
  </si>
  <si>
    <t>Compliance with accessibility standards (WCAG 2.1 AA and EN 301 549)</t>
  </si>
  <si>
    <t>IRM-30429</t>
  </si>
  <si>
    <t>Adoption of the design system</t>
  </si>
  <si>
    <t>IRM-30464</t>
  </si>
  <si>
    <t>Technology Management - Upgrade SOLON Tax Java version to 25</t>
  </si>
  <si>
    <t>IRM-30561</t>
  </si>
  <si>
    <t>After POC - Config Items Management ( Packaging &amp; versioning) : Enable delivery teams to safely and selectively migrate configurations across environments /WIP</t>
  </si>
  <si>
    <t>IRM-30668</t>
  </si>
  <si>
    <t>Amplio batch - Replacement of SCDF with Amplio (Part 2)</t>
  </si>
  <si>
    <t>IRM-30677</t>
  </si>
  <si>
    <t>Automatic Documentation Generation enhancements</t>
  </si>
  <si>
    <t>IRM-30679</t>
  </si>
  <si>
    <t>Vanilla Installation automation - Solon Tax kubernetes operator</t>
  </si>
  <si>
    <t>IRM-30719</t>
  </si>
  <si>
    <t>Usability Improvements (Current PI27) - DESCOPED</t>
  </si>
  <si>
    <t>IRM-30724</t>
  </si>
  <si>
    <t>Release Automation Enhancements</t>
  </si>
  <si>
    <t>IRM-30730</t>
  </si>
  <si>
    <t>Introduce helm charts dependencies</t>
  </si>
  <si>
    <t>IRM-30734</t>
  </si>
  <si>
    <t>[Vanilla Installation] - Introduce OpenTelemetry observability support</t>
  </si>
  <si>
    <t>IRM-30737</t>
  </si>
  <si>
    <t>Decouple Solon Tax Modules and Enable Multi-Module Runtime Bundling</t>
  </si>
  <si>
    <t>IRM-30739</t>
  </si>
  <si>
    <t>Dev Experience improvements</t>
  </si>
  <si>
    <t>IRM-30741</t>
  </si>
  <si>
    <t>Introduce ArchUnit</t>
  </si>
  <si>
    <t>IRM-30748</t>
  </si>
  <si>
    <t>Accessibility Improvements (Current PI27)</t>
  </si>
  <si>
    <t>IRM-30785</t>
  </si>
  <si>
    <t>SS enhancements -Configurable Authentication Modes for Public and Authenticated GET Operations</t>
  </si>
  <si>
    <t>IRM-30828</t>
  </si>
  <si>
    <t>Introduce Exemptions</t>
  </si>
  <si>
    <t>IRM-30840</t>
  </si>
  <si>
    <t>Data Storage  - National DB -Central repository for all issued and received e-invoices.</t>
  </si>
  <si>
    <t>IRM-31187</t>
  </si>
  <si>
    <t>Amplio Batch - improvements and maintenance part 2</t>
  </si>
  <si>
    <t>IRM-31233</t>
  </si>
  <si>
    <t>SS Enhancements - Party/PartyRole History details view on demand (Details in time)</t>
  </si>
  <si>
    <t>IRM-31284</t>
  </si>
  <si>
    <t>Document Management - Revenue management - Enable enhanced Document Management API</t>
  </si>
  <si>
    <t>IRM-31304</t>
  </si>
  <si>
    <t>Document Management - Revenue management - Manage Documents</t>
  </si>
  <si>
    <t>IRM-31308</t>
  </si>
  <si>
    <t>Document Management - Revenue management - Utilize new Document Management API</t>
  </si>
  <si>
    <t>IRM-31558</t>
  </si>
  <si>
    <t>Enhance Party Role Search including child entities details (Part 2 of 2)</t>
  </si>
  <si>
    <t>IRM-31560</t>
  </si>
  <si>
    <t>Party Role Eligible details - Enhancements</t>
  </si>
  <si>
    <t>IRM-31561</t>
  </si>
  <si>
    <t>Enable user-define characteristics , Data Area for Party Address, State, Name,  Org unit member, Obligation</t>
  </si>
  <si>
    <t>IRM-31562</t>
  </si>
  <si>
    <t>Solution - Partitioning db for Volume management and Performance reasons</t>
  </si>
  <si>
    <t>IRM-31569</t>
  </si>
  <si>
    <t xml:space="preserve">Need to use  keycloak in active cluster mode </t>
  </si>
  <si>
    <t>IRM-31650</t>
  </si>
  <si>
    <t>View Party and Party Role: as Today and Details in Time (list Backdated changes based on Valid from-to period)/RM</t>
  </si>
  <si>
    <t>IRM-31771</t>
  </si>
  <si>
    <t>SS Enhancements - Party/Party Role details available in SS (BE availability)</t>
  </si>
  <si>
    <t>IRM-31810</t>
  </si>
  <si>
    <t>Support searching by source_cl from api-gateway-registration-parties API (Get Parties by criteria and pagination)</t>
  </si>
  <si>
    <t>IRM-31854</t>
  </si>
  <si>
    <t>LT_UI_Support customObjectField to always present the label</t>
  </si>
  <si>
    <t>IRM-31937</t>
  </si>
  <si>
    <t>Map input values from modal to a card's fields</t>
  </si>
  <si>
    <t>IRM-32237</t>
  </si>
  <si>
    <t>UI/UX Improvements: Visual cues : Add Visual Indicator for Required Fields</t>
  </si>
  <si>
    <t>IRM-32464</t>
  </si>
  <si>
    <t>Call proxy services  /RM &amp; SS - Documentation</t>
  </si>
  <si>
    <t>IRM-32503</t>
  </si>
  <si>
    <t xml:space="preserve"> Expansion of Character Limits for Code Across Configuration Entities</t>
  </si>
  <si>
    <t>IRM-32538</t>
  </si>
  <si>
    <t>Extend Rights and Relationships to Support 3rd party systems</t>
  </si>
  <si>
    <t>IRM-32746</t>
  </si>
  <si>
    <t>Audit Log - Ability to keep Audit trail for authorization /LEFTOVER</t>
  </si>
  <si>
    <t>IRM-32830</t>
  </si>
  <si>
    <t>Feasibility check and support of Oracle 26ai</t>
  </si>
  <si>
    <t>IRM-32912</t>
  </si>
  <si>
    <t>Data Integrity improvements. Error handling in synchronous operations that involve distributed transactions / Registry, Taxpayer</t>
  </si>
  <si>
    <t>IRM-33100</t>
  </si>
  <si>
    <t>Long Description Field Across Configuration Entities</t>
  </si>
  <si>
    <t>IRM-33149</t>
  </si>
  <si>
    <t>Performance improvements (Current PI27)</t>
  </si>
  <si>
    <t>IRM-33155</t>
  </si>
  <si>
    <t>Improvements / Challenges - Bucket (Current PI27)</t>
  </si>
  <si>
    <t>IRM-33159</t>
  </si>
  <si>
    <t>UI Improvements / Initiatives (Current PI27)</t>
  </si>
  <si>
    <t>IRM-33364</t>
  </si>
  <si>
    <t>Codelists : New Attributes types Ui improvements</t>
  </si>
  <si>
    <t>IRM-33406</t>
  </si>
  <si>
    <t>Integrate Self-Contained Documentation Portal into Solon Tax Deliverable</t>
  </si>
  <si>
    <t>IRM-33429</t>
  </si>
  <si>
    <t>Form rule code, 50 characters</t>
  </si>
  <si>
    <t>IRM-33448</t>
  </si>
  <si>
    <t>Party Identifiers - Related Documents</t>
  </si>
  <si>
    <t>IRM-33531</t>
  </si>
  <si>
    <t>Support Oracle 26ai</t>
  </si>
  <si>
    <t>IRM-33555</t>
  </si>
  <si>
    <t>Technology Management - Upgrade SOLON Tax Spring Boot Version to 4.x.x</t>
  </si>
  <si>
    <t>IRM-33637</t>
  </si>
  <si>
    <t>Extend Length in Comment Fields Across Entities</t>
  </si>
  <si>
    <t>IRM-33642</t>
  </si>
  <si>
    <t>Change EmailContactSender parameters</t>
  </si>
  <si>
    <t>IRM-34159</t>
  </si>
  <si>
    <t>SS Enhancements - Contacts, Operational Reports</t>
  </si>
  <si>
    <t>IRM-34169</t>
  </si>
  <si>
    <t>System Performance Enhancements for GR project / P1</t>
  </si>
  <si>
    <t>IRM-34224</t>
  </si>
  <si>
    <t>SS Enhancements - Authorization Support</t>
  </si>
  <si>
    <t>IRM-34509</t>
  </si>
  <si>
    <t>Decommission Camunda 8 support from Solon Tax</t>
  </si>
  <si>
    <t>IRM-34521</t>
  </si>
  <si>
    <t>Enrich performance suite ( Part 2 )</t>
  </si>
  <si>
    <t>IRM-34522</t>
  </si>
  <si>
    <t>Support longer strings in Name Elements and the new name standard elements  RM/SS</t>
  </si>
  <si>
    <t>IRM-34562</t>
  </si>
  <si>
    <t>Make filingObligationAction.id Optional in POST /self-service-forms Endpoint</t>
  </si>
  <si>
    <t>IRM-34563</t>
  </si>
  <si>
    <t>Make filingObligationAction optional on forms/operate endpoint</t>
  </si>
  <si>
    <t>IRM-34598</t>
  </si>
  <si>
    <t>Digital Signatures - Validate signatures in attachments RM &amp; SS/ Reference Implementation</t>
  </si>
  <si>
    <t>IRM-34678</t>
  </si>
  <si>
    <t>Amplio Batch improvements</t>
  </si>
  <si>
    <t>IRM-34684</t>
  </si>
  <si>
    <t>Enable user-defined characteristics (Data Area) for c_gl_account</t>
  </si>
  <si>
    <t>IRM-36002</t>
  </si>
  <si>
    <t>Define and monitor the hierarchy of parties using parent child party relationship</t>
  </si>
  <si>
    <t>IRM-36179</t>
  </si>
  <si>
    <t>Search gl accounts by Category and Owner</t>
  </si>
  <si>
    <t>IRM-36279</t>
  </si>
  <si>
    <t>Addition of validitiy period on relationships between codelist items</t>
  </si>
  <si>
    <t>IRM-36280</t>
  </si>
  <si>
    <t>UI/UX Improvements: Registry List views - Display search results respecting governance limit in new UX / Part 1</t>
  </si>
  <si>
    <t>IRM-36660</t>
  </si>
  <si>
    <t>Attachments in Forms - Document Uploads enhancements before and after saving the form / RM &amp; SS</t>
  </si>
  <si>
    <t>IRM-36664</t>
  </si>
  <si>
    <t>Representations : Define Date time and timezone for Representations and user rights /RM &amp;SS</t>
  </si>
  <si>
    <t>IRM-36665</t>
  </si>
  <si>
    <t xml:space="preserve">Representations : (A) Enhancements, configurability and permissions in Agreements (2ways,multilevels)  /RM &amp; SS  </t>
  </si>
  <si>
    <t>IRM-36666</t>
  </si>
  <si>
    <t>Representations : Ability to define and manage Representations in RM (affecting SS users)</t>
  </si>
  <si>
    <t>IRM-36667</t>
  </si>
  <si>
    <t>Representations : Ability to relate attachments to Representations in RM (RM &amp; SS)</t>
  </si>
  <si>
    <t>IRM-36668</t>
  </si>
  <si>
    <t>Digital Signatures - System digital signing of PDF documents generated by bpmn process</t>
  </si>
  <si>
    <t>IRM-36809</t>
  </si>
  <si>
    <t>SS enhancements -Configure the items that can be publicly available in db level (Part 1/2)</t>
  </si>
  <si>
    <t>IRM-36862</t>
  </si>
  <si>
    <t>Record Locking - Apply logic to  Party record</t>
  </si>
  <si>
    <t>IRM-36980</t>
  </si>
  <si>
    <t>Update validation for codelist items related to date validity</t>
  </si>
  <si>
    <t>IRM-37212</t>
  </si>
  <si>
    <t>View Organizational structure and taxpayers hierarchy structure – User / Part 2 of 2</t>
  </si>
  <si>
    <t>IRM-37610</t>
  </si>
  <si>
    <t>Restructure revenue-management-be-custom to align with Hexagonal Architecture</t>
  </si>
  <si>
    <t>IRM-37656</t>
  </si>
  <si>
    <t>Enhanced prefill rules - Separate call from validation logic   (RM &amp;SS)</t>
  </si>
  <si>
    <t>IRM-37721</t>
  </si>
  <si>
    <t>More details availability in Revenue types, searching enhancements in  Fts and RTs</t>
  </si>
  <si>
    <t>IRM-37825</t>
  </si>
  <si>
    <t>Transfer Amount - Enhancement on configuration of Bill segment types</t>
  </si>
  <si>
    <t>IRM-37844</t>
  </si>
  <si>
    <t>GL decisions table - Multiline rules and additional parameters /Functionality &amp; Reference Implementation</t>
  </si>
  <si>
    <t>IRM-37845</t>
  </si>
  <si>
    <t>Enhance Validity period conditions in Registry detail entities to support multiple modifications in the same date</t>
  </si>
  <si>
    <t>IRM-37864</t>
  </si>
  <si>
    <t>Automation testing for SS /WIP</t>
  </si>
  <si>
    <t>IRM-37865</t>
  </si>
  <si>
    <t>SS enhancements -Configure the items that can be publicly available in db level Part 2/2</t>
  </si>
  <si>
    <t>IRM-37867</t>
  </si>
  <si>
    <t>Allowed Unicode characters to be used in 'Code' fields of configuration records (Excl.: Registration/Taxpayer Accounting)</t>
  </si>
  <si>
    <t>IRM-37871</t>
  </si>
  <si>
    <t>UI/UX Improvements : Search and navigation : Bars at the top of the pages</t>
  </si>
  <si>
    <t>IRM-38190</t>
  </si>
  <si>
    <t xml:space="preserve">Representations : Form Types and Access to Apis  as Services / Reference implementation </t>
  </si>
  <si>
    <t>IRM-38230</t>
  </si>
  <si>
    <t>Green coding Programming Guidelines</t>
  </si>
  <si>
    <t>IRM-38238</t>
  </si>
  <si>
    <t>Green coding CI/CD flow optimization</t>
  </si>
  <si>
    <t>IRM-38242</t>
  </si>
  <si>
    <t>Improve Dev Experience for local setup</t>
  </si>
  <si>
    <t>IRM-38250</t>
  </si>
  <si>
    <t>Enhance codelist items codes flexibility and historical track in Solon Tax</t>
  </si>
  <si>
    <t>IRM-38308</t>
  </si>
  <si>
    <t>Introduce a Threshold Amount Field in Revenue Type Registration to support Tax Account</t>
  </si>
  <si>
    <t>IRM-38335</t>
  </si>
  <si>
    <t>Audit Log - Ability to keep Audit trail for registration /LEFTOVER</t>
  </si>
  <si>
    <t>IRM-38336</t>
  </si>
  <si>
    <t>Audit Log - Ability to keep Audit trail for code lists /LEFTOVER</t>
  </si>
  <si>
    <t>IRM-38379</t>
  </si>
  <si>
    <t>Forms : Be able to log details for the submitter of the form /RM &amp;SS</t>
  </si>
  <si>
    <t>IRM-38408</t>
  </si>
  <si>
    <t>IRM-38409</t>
  </si>
  <si>
    <t>UI/UX Improvements : Interaction friction - View and Edit buttons distiction</t>
  </si>
  <si>
    <t>IRM-38410</t>
  </si>
  <si>
    <t xml:space="preserve"> UI/UX Improvements : Search and navigation :  Header Bar Improvements</t>
  </si>
  <si>
    <t>IRM-38648</t>
  </si>
  <si>
    <t xml:space="preserve">UX and other enhancements: Interaction friction - Personal Calendar View or Edit buttons distinction. </t>
  </si>
  <si>
    <t>IRM-38670</t>
  </si>
  <si>
    <t xml:space="preserve"> UI/UX Improvements : Behaviour Consistency of Drop Down menus</t>
  </si>
  <si>
    <t>IRM-38680</t>
  </si>
  <si>
    <t>UI/UX Improvements : Form Field , Change state of typed text in capitals</t>
  </si>
  <si>
    <t>IRM-38681</t>
  </si>
  <si>
    <t>Placeholder</t>
  </si>
  <si>
    <t>IRM-38682</t>
  </si>
  <si>
    <t>UI/UX Improvements : Prefilling a field in a form based on the value of another field</t>
  </si>
  <si>
    <t>IRM-38784</t>
  </si>
  <si>
    <t>UI- New Solon Look and Feel (waiting new designs)</t>
  </si>
  <si>
    <t>IRM-38847</t>
  </si>
  <si>
    <t>Data Security - Restrict Access to Personal Data GDPR- Admin (based on data classifications) - Encrypt/decrypt -  Part 4/4</t>
  </si>
  <si>
    <t>IRM-38899</t>
  </si>
  <si>
    <t>Support Tax Account Overview Page in the Single Taxpayer Overview</t>
  </si>
  <si>
    <t>IRM-39021</t>
  </si>
  <si>
    <t>Export Filtered List Table to Excel /GL Accounts  List pages</t>
  </si>
  <si>
    <t>IRM-39113</t>
  </si>
  <si>
    <t>Data Security - Define Access per user access group per classification level - Part 2/4</t>
  </si>
  <si>
    <t>IRM-39131</t>
  </si>
  <si>
    <t>Data Security - Restrict Access to Personal Data GDPR- Admin (based on data classifications) - Part 3/4</t>
  </si>
  <si>
    <t>IRM-39135</t>
  </si>
  <si>
    <t>Representations :  Additional info  in Agreements  /RM &amp; SS</t>
  </si>
  <si>
    <t>IRM-39187</t>
  </si>
  <si>
    <t>Accessibility Improvements (Current PI28)</t>
  </si>
  <si>
    <t>IRM-39200</t>
  </si>
  <si>
    <t>Performance improvements (Current PI28)</t>
  </si>
  <si>
    <t>IRM-39202</t>
  </si>
  <si>
    <t>Improvements / Challenges - DAID (Current PI28)</t>
  </si>
  <si>
    <t>IRM-39208</t>
  </si>
  <si>
    <t>UI Improvements / Initiatives - DAID (Current PI28)</t>
  </si>
  <si>
    <t>IRM-39395</t>
  </si>
  <si>
    <t>Enable financial events logging under Org units and Claimants</t>
  </si>
  <si>
    <t>IRM-39738</t>
  </si>
  <si>
    <t>Reference Data - Implement Enhanced Caching for Reference Data Microservice</t>
  </si>
  <si>
    <t>IRM-39975</t>
  </si>
  <si>
    <t>UI/UX Improvements - Schema Changes</t>
  </si>
  <si>
    <t>IRM-39976</t>
  </si>
  <si>
    <t>UI/UX Improvements: FE extra functionalities - Generic</t>
  </si>
  <si>
    <t>IRM-39979</t>
  </si>
  <si>
    <t>UI/UX Improvements: Search Panels - Reusable in all screens</t>
  </si>
  <si>
    <t>IRM-39984</t>
  </si>
  <si>
    <t>UI/UX Improvements: Improve Table with extra messages</t>
  </si>
  <si>
    <t>IRM-39992</t>
  </si>
  <si>
    <t>UI/UX Improvements: Design specifics</t>
  </si>
  <si>
    <t>IRM-40159</t>
  </si>
  <si>
    <t>IRM-40165</t>
  </si>
  <si>
    <t>Accessibility Improvements - DAID (Current PI28)</t>
  </si>
  <si>
    <t>IRM-40167</t>
  </si>
  <si>
    <t>Accessibility Improvements - HEL (Current PI28)</t>
  </si>
  <si>
    <t>IRM-40169</t>
  </si>
  <si>
    <t>Accessibility Improvements - SPA (Current PI28)</t>
  </si>
  <si>
    <t>IRM-40170</t>
  </si>
  <si>
    <t>Accessibility Improvements - EOS (Current PI28)</t>
  </si>
  <si>
    <t>IRM-40171</t>
  </si>
  <si>
    <t>Accessibility Improvements - ATH (Current PI28)</t>
  </si>
  <si>
    <t>IRM-40174</t>
  </si>
  <si>
    <t>Improvements / Challenges - HEL (Current PI28)</t>
  </si>
  <si>
    <t>IRM-40175</t>
  </si>
  <si>
    <t>Improvements / Challenges - SPA (Current PI28)</t>
  </si>
  <si>
    <t>IRM-40176</t>
  </si>
  <si>
    <t>Improvements / Challenges - EOS (Current PI28)</t>
  </si>
  <si>
    <t>IRM-40177</t>
  </si>
  <si>
    <t>Improvements / Challenges - ATH (Current PI28)</t>
  </si>
  <si>
    <t>IRM-40178</t>
  </si>
  <si>
    <t>UI Improvements / Initiatives - HEL (Current PI28)</t>
  </si>
  <si>
    <t>IRM-40179</t>
  </si>
  <si>
    <t>UI Improvements / Initiatives - SPA (Current PI28)</t>
  </si>
  <si>
    <t>IRM-40180</t>
  </si>
  <si>
    <t>UI Improvements / Initiatives - EOS (Current PI28)</t>
  </si>
  <si>
    <t>IRM-40181</t>
  </si>
  <si>
    <t>UI Improvements / Initiatives - ATH (Current PI28)</t>
  </si>
  <si>
    <t>IRM-40503</t>
  </si>
  <si>
    <t>Enable user-defined characteristics (Data Area) for Financial transaction Type</t>
  </si>
  <si>
    <t>IRM-4293</t>
  </si>
  <si>
    <t>Define User-Defined Characteristics for Payment Event - Admin</t>
  </si>
  <si>
    <t>IRM-542</t>
  </si>
  <si>
    <t>CIT - Submit a CIT Return on ICARUS Self Service</t>
  </si>
  <si>
    <t>IRM-761</t>
  </si>
  <si>
    <t>Support History of Changes for Contact when edited before sent as well - User</t>
  </si>
  <si>
    <t>IRM-766</t>
  </si>
  <si>
    <t>Send Outbound Message Manually to Multiple Recipients - User</t>
  </si>
  <si>
    <t>IRM-774</t>
  </si>
  <si>
    <t>Define and Maintain Different Types of Recipients - Admin</t>
  </si>
  <si>
    <t>IRM-775</t>
  </si>
  <si>
    <t>Define and Maintain Contact Types - Select Recipients - Admin</t>
  </si>
  <si>
    <t>IRM-790</t>
  </si>
  <si>
    <t>Send Outbound Message Automatically to Multiple Recipients - Admin</t>
  </si>
  <si>
    <t>Build estimate</t>
  </si>
  <si>
    <t>Release</t>
  </si>
  <si>
    <t>Adjusted Release</t>
  </si>
  <si>
    <t>Assumptions/Comments</t>
  </si>
  <si>
    <t>Total Build Estimate</t>
  </si>
  <si>
    <t>Maintainability</t>
  </si>
  <si>
    <t/>
  </si>
  <si>
    <t>6.0.0</t>
  </si>
  <si>
    <t>4.0.0</t>
  </si>
  <si>
    <t>Legend</t>
  </si>
  <si>
    <t>3.0.0</t>
  </si>
  <si>
    <t>5.0.0</t>
  </si>
  <si>
    <t>Accessibility</t>
  </si>
  <si>
    <t>Improvements / Challenges - Bucket (Current PI28)</t>
  </si>
  <si>
    <t>Aeoi, Vida &amp; Other Data Exchange</t>
  </si>
  <si>
    <t>Aeoi, Vida &amp; Other Data Storage</t>
  </si>
  <si>
    <t>Batch Processing</t>
  </si>
  <si>
    <t>Billing, Assessments And Installments</t>
  </si>
  <si>
    <t>Operability</t>
  </si>
  <si>
    <t>Operational Reporting</t>
  </si>
  <si>
    <t>Penalty &amp; Interest</t>
  </si>
  <si>
    <t>Performance Efficiency</t>
  </si>
  <si>
    <t>Solution - Partitioning db for Performance reasons</t>
  </si>
  <si>
    <t>Reference Data</t>
  </si>
  <si>
    <t>Vat</t>
  </si>
  <si>
    <t>Application Processes</t>
  </si>
  <si>
    <t>Self Service Account Overview</t>
  </si>
  <si>
    <t>Self Service Filing &amp; Payments</t>
  </si>
  <si>
    <t>Registration</t>
  </si>
  <si>
    <t>2.2.0</t>
  </si>
  <si>
    <t>Case Management</t>
  </si>
  <si>
    <t>More details availability in Revenue types, searching enhancements in  Fts and RTRs</t>
  </si>
  <si>
    <t>Reliability</t>
  </si>
  <si>
    <t>Security</t>
  </si>
  <si>
    <t>Self Service Services Management</t>
  </si>
  <si>
    <t>Tax Accounts</t>
  </si>
  <si>
    <t>Taxpayer Accounting</t>
  </si>
  <si>
    <t>Obligations in Organization Units and Claimants /WIP</t>
  </si>
  <si>
    <t>Test Suite Optimization</t>
  </si>
  <si>
    <t>Traceability</t>
  </si>
  <si>
    <t>Contact Management</t>
  </si>
  <si>
    <t>Ui Configuration</t>
  </si>
  <si>
    <t>Usability</t>
  </si>
  <si>
    <t>Usability Improvements (Current PI28)</t>
  </si>
  <si>
    <t>UI Improvements / Initiatives (Current PI28)</t>
  </si>
  <si>
    <t xml:space="preserve"> UI/UX Improvements : Search and Navigation</t>
  </si>
  <si>
    <t>UI- New Solon Look and Feel</t>
  </si>
  <si>
    <t>User &amp; 3Rd Party Access Management</t>
  </si>
  <si>
    <t>Representations : Enhancements, configurability and permissions in Agreements  /RM &amp; SS</t>
  </si>
  <si>
    <t>Representations : Delegation of representations and subusers using existing users (Multiple levels of authorizations)</t>
  </si>
  <si>
    <t xml:space="preserve">	IRM-33642</t>
  </si>
  <si>
    <t>Content Management Integration</t>
  </si>
  <si>
    <t>Document Management Integration</t>
  </si>
  <si>
    <t>Exemptions</t>
  </si>
  <si>
    <t>Extensibility</t>
  </si>
  <si>
    <t>Form Processing</t>
  </si>
  <si>
    <t>Epic</t>
  </si>
  <si>
    <t>Status</t>
  </si>
  <si>
    <t>Build Estimate</t>
  </si>
  <si>
    <t>Calculated PI</t>
  </si>
  <si>
    <t>Final Original Estimate</t>
  </si>
  <si>
    <t>Priority</t>
  </si>
  <si>
    <t>created</t>
  </si>
  <si>
    <t>labels</t>
  </si>
  <si>
    <t>fixVersions</t>
  </si>
  <si>
    <t>Extensibility Enhancements</t>
  </si>
  <si>
    <t>To Do</t>
  </si>
  <si>
    <t>Not set</t>
  </si>
  <si>
    <t>p3</t>
  </si>
  <si>
    <t>2026-04-03T15:41:06.000+0300</t>
  </si>
  <si>
    <t>Usability Enhancements</t>
  </si>
  <si>
    <t>p1</t>
  </si>
  <si>
    <t>2026-03-31T16:40:35.000+0300</t>
  </si>
  <si>
    <t>ACCESSIBILITY,pi28_candidate,pi28_p1</t>
  </si>
  <si>
    <t>2026-03-31T16:39:39.000+0300</t>
  </si>
  <si>
    <t>2026-03-31T16:38:51.000+0300</t>
  </si>
  <si>
    <t>2026-03-31T16:38:03.000+0300</t>
  </si>
  <si>
    <t>Maintainability Enhancements</t>
  </si>
  <si>
    <t>2026-03-31T16:30:59.000+0300</t>
  </si>
  <si>
    <t>pi28_candidate,pi28_p1</t>
  </si>
  <si>
    <t>2026-03-31T16:29:59.000+0300</t>
  </si>
  <si>
    <t>2026-03-31T16:29:01.000+0300</t>
  </si>
  <si>
    <t>2026-03-31T16:27:50.000+0300</t>
  </si>
  <si>
    <t>Accessibility Enhancements</t>
  </si>
  <si>
    <t>2026-03-31T16:15:09.000+0300</t>
  </si>
  <si>
    <t>2026-03-31T16:14:28.000+0300</t>
  </si>
  <si>
    <t>2026-03-31T16:13:36.000+0300</t>
  </si>
  <si>
    <t>2026-03-31T16:12:39.000+0300</t>
  </si>
  <si>
    <t>2026-03-31T16:10:07.000+0300</t>
  </si>
  <si>
    <t>Taxpayer Accounting Enhancements</t>
  </si>
  <si>
    <t>Under Analysis</t>
  </si>
  <si>
    <t>2026-03-31T15:41:03.000+0300</t>
  </si>
  <si>
    <t>2026-03-30T14:14:50.000+0300</t>
  </si>
  <si>
    <t>GR,TshirtSize_M,UI/UX_Improvement,pi28_candidate,pi28_p1</t>
  </si>
  <si>
    <t>2026-03-30T14:03:27.000+0300</t>
  </si>
  <si>
    <t>Waiting Analysis Approval</t>
  </si>
  <si>
    <t>2026-03-30T13:57:02.000+0300</t>
  </si>
  <si>
    <t>2026-03-30T13:47:43.000+0300</t>
  </si>
  <si>
    <t>2026-03-30T13:45:16.000+0300</t>
  </si>
  <si>
    <t>Performance Efficiency Enhancements</t>
  </si>
  <si>
    <t>2026-03-26T11:21:31.000+0200</t>
  </si>
  <si>
    <t>GR,TshirtSize_S,pi28_candidate,pi28_p1</t>
  </si>
  <si>
    <t>2026-03-20T15:08:22.000+0200</t>
  </si>
  <si>
    <t>2026-03-18T17:20:53.000+0200</t>
  </si>
  <si>
    <t>2026-03-18T16:55:18.000+0200</t>
  </si>
  <si>
    <t>2026-03-18T16:52:18.000+0200</t>
  </si>
  <si>
    <t>No_Doc,PERFORMANCE_EFFICIENCY,pi28_candidate,pi28_p1</t>
  </si>
  <si>
    <t>2026-03-18T16:21:29.000+0200</t>
  </si>
  <si>
    <t>User &amp; 3rd Party Access Management Enhancements</t>
  </si>
  <si>
    <t>p2</t>
  </si>
  <si>
    <t>2026-03-17T18:11:50.000+0200</t>
  </si>
  <si>
    <t>Security Enhancements</t>
  </si>
  <si>
    <t>2026-03-17T16:51:22.000+0200</t>
  </si>
  <si>
    <t>pi28_candidate,pi28_p2</t>
  </si>
  <si>
    <t>2026-03-17T13:23:44.000+0200</t>
  </si>
  <si>
    <t>Tax Accounts Enhancements</t>
  </si>
  <si>
    <t>2026-03-16T09:55:26.000+0200</t>
  </si>
  <si>
    <t>pi29_candidate,pi29_p1</t>
  </si>
  <si>
    <t>2026-03-12T13:34:52.000+0200</t>
  </si>
  <si>
    <t>GTM,pi28_candidate,pi28_p1</t>
  </si>
  <si>
    <t>2026-03-11T16:58:32.000+0200</t>
  </si>
  <si>
    <t>SECURITY,pi28_candidate,pi28_p3</t>
  </si>
  <si>
    <t>2026-03-11T10:52:18.000+0200</t>
  </si>
  <si>
    <t>UI/UX_Improvement,pi29_candidate,pi29_p3</t>
  </si>
  <si>
    <t>Reference Implemenation - VAT</t>
  </si>
  <si>
    <t>2026-03-10T18:34:43.000+0200</t>
  </si>
  <si>
    <t>2026-03-10T13:32:23.000+0200</t>
  </si>
  <si>
    <t>GTM,pi28_candidate,pi28_p2</t>
  </si>
  <si>
    <t>UI Configuration Enhancements</t>
  </si>
  <si>
    <t>2026-03-10T11:44:36.000+0200</t>
  </si>
  <si>
    <t>GR,TshirtSize_S,UI/UX_Improvement,pi28_candidate,pi28_p1</t>
  </si>
  <si>
    <t>2026-03-10T11:42:24.000+0200</t>
  </si>
  <si>
    <t>UI/UX_Improvement,pi28_candidate,pi28_p3</t>
  </si>
  <si>
    <t>HLD</t>
  </si>
  <si>
    <t>2026-03-10T11:39:55.000+0200</t>
  </si>
  <si>
    <t>2026-03-10T11:17:15.000+0200</t>
  </si>
  <si>
    <t>2026-03-10T09:49:53.000+0200</t>
  </si>
  <si>
    <t>pi28_candidate,pi28_p3,pi29_candidate,pi29_p1</t>
  </si>
  <si>
    <t>2026-03-07T23:50:44.000+0200</t>
  </si>
  <si>
    <t>TshirtSize_S,UI/UX_Improvement,pi28_candidate,pi28_p2</t>
  </si>
  <si>
    <t>2026-03-07T23:48:19.000+0200</t>
  </si>
  <si>
    <t>TshirtSize_M,UI/UX_Improvement,pi28_candidate,pi28_p2</t>
  </si>
  <si>
    <t>Form Processing Enhancements</t>
  </si>
  <si>
    <t>2026-03-06T19:13:04.000+0200</t>
  </si>
  <si>
    <t>GR,TshirtSize_M,pi28_candidate,pi28_p1</t>
  </si>
  <si>
    <t>Traceability Enhancements</t>
  </si>
  <si>
    <t>2026-03-06T16:35:49.000+0200</t>
  </si>
  <si>
    <t>AuditLog,GR,LT,TRACEBILITY,TshirtSize_M,pi26_leftover,pi28_candidate,pi28_p2</t>
  </si>
  <si>
    <t>2026-03-06T16:35:22.000+0200</t>
  </si>
  <si>
    <t>2026-03-06T15:16:33.000+0200</t>
  </si>
  <si>
    <t>Reference Data Enhancements</t>
  </si>
  <si>
    <t>2026-03-06T13:29:04.000+0200</t>
  </si>
  <si>
    <t>2026-03-06T12:10:49.000+0200</t>
  </si>
  <si>
    <t>TshirtSize_S,pi28_candidate,pi28_p2</t>
  </si>
  <si>
    <t>2026-03-06T11:48:48.000+0200</t>
  </si>
  <si>
    <t>TshirtSize_S,pi28_candidate,pi28_p3</t>
  </si>
  <si>
    <t>2026-03-06T11:32:09.000+0200</t>
  </si>
  <si>
    <t>2026-03-05T18:13:21.000+0200</t>
  </si>
  <si>
    <t>2026-03-03T11:17:59.000+0200</t>
  </si>
  <si>
    <t>Ready for Dev</t>
  </si>
  <si>
    <t>2026-03-03T10:56:14.000+0200</t>
  </si>
  <si>
    <t>2026-03-03T10:16:57.000+0200</t>
  </si>
  <si>
    <t>2026-03-03T10:07:55.000+0200</t>
  </si>
  <si>
    <t>Self_Service,pi29_candidate,pi29_p3</t>
  </si>
  <si>
    <t>Registration Enhancements</t>
  </si>
  <si>
    <t>2026-03-03T00:20:10.000+0200</t>
  </si>
  <si>
    <t>GR,pi28_candidate,pi28_p1</t>
  </si>
  <si>
    <t>2026-03-02T23:12:20.000+0200</t>
  </si>
  <si>
    <t>GR,TAXPAYER_ACCOUNTING,TshirtSize_XL,pi28_candidate,pi28_p2</t>
  </si>
  <si>
    <t>Billing &amp; Assessments Enhancements</t>
  </si>
  <si>
    <t>2026-03-02T22:13:53.000+0200</t>
  </si>
  <si>
    <t>2026-03-01T16:01:12.000+0200</t>
  </si>
  <si>
    <t>GR,TshirtSize_L,pi28_candidate,pi28_p1</t>
  </si>
  <si>
    <t>Implemented</t>
  </si>
  <si>
    <t>2026-02-27T14:41:07.000+0200</t>
  </si>
  <si>
    <t>GR,IRM:PI27S03_start,IRM:PI27S05_end,TshirtSize_S,irm_pd_pdm_agreed,pi27_candidate,pi27_p1</t>
  </si>
  <si>
    <t>2026-02-26T15:34:43.000+0200</t>
  </si>
  <si>
    <t>pi28_candidate,pi28_p3</t>
  </si>
  <si>
    <t>2026-02-19T18:41:57.000+0200</t>
  </si>
  <si>
    <t>GR,ORGANIZATIONAL_STRUCTURE,TshirtSize_L,estimation_inaccuracy_high,pi28_candidate,pi28_p1</t>
  </si>
  <si>
    <t>2026-02-18T11:07:42.000+0200</t>
  </si>
  <si>
    <t>GR,IRM:PI27S03_start,IRM:PI27S05_end,TshirtSize_S,irm_pd_pdm_agreed,pi27_candidate,pi27_p2</t>
  </si>
  <si>
    <t>Reliability Enhancements</t>
  </si>
  <si>
    <t>2026-02-17T14:00:12.000+0200</t>
  </si>
  <si>
    <t>GR,TshirtSize_XL,pi28_candidate,pi28_p1</t>
  </si>
  <si>
    <t>Waiting Solution Approval</t>
  </si>
  <si>
    <t>2026-02-17T10:48:53.000+0200</t>
  </si>
  <si>
    <t>GR,GR_Early_D,IATNotTestable,SELF_SERVICE_SERVICES_MANAGEMENT,irm_pd_pdm_agreed,pi27_candidate,pi27_p2</t>
  </si>
  <si>
    <t>Document Management Integration Enhancements</t>
  </si>
  <si>
    <t>In Design</t>
  </si>
  <si>
    <t>2026-02-16T00:33:24.000+0200</t>
  </si>
  <si>
    <t>2026-02-15T22:24:50.000+0200</t>
  </si>
  <si>
    <t>pi29_candidate</t>
  </si>
  <si>
    <t>2026-02-15T21:33:28.000+0200</t>
  </si>
  <si>
    <t>2026-02-15T21:08:16.000+0200</t>
  </si>
  <si>
    <t>2026-02-15T21:01:18.000+0200</t>
  </si>
  <si>
    <t>Self Service Services Management Enhancements</t>
  </si>
  <si>
    <t>2026-02-15T10:15:28.000+0200</t>
  </si>
  <si>
    <t>GR,TshirtSize_L,UX,pi28_candidate,pi28_p1</t>
  </si>
  <si>
    <t>2026-02-09T19:11:24.000+0200</t>
  </si>
  <si>
    <t>GR,UI/UX_Improvement,pi28_candidate,pi28_p1</t>
  </si>
  <si>
    <t>2026-02-09T18:46:23.000+0200</t>
  </si>
  <si>
    <t>LT_BRANCH</t>
  </si>
  <si>
    <t>Under Validation</t>
  </si>
  <si>
    <t>2026-02-09T09:59:34.000+0200</t>
  </si>
  <si>
    <t>Under Verification</t>
  </si>
  <si>
    <t>2026-02-06T10:24:17.000+0200</t>
  </si>
  <si>
    <t>2026-01-21T12:20:00.000+0200</t>
  </si>
  <si>
    <t>GR,GR_Early_D,IRM:PI27S01_start,IRM:PI27S05_end,pi27_candidate,pi27_p2</t>
  </si>
  <si>
    <t>Batch Processing Enhancements</t>
  </si>
  <si>
    <t>In Progress</t>
  </si>
  <si>
    <t>2026-01-21T09:22:53.000+0200</t>
  </si>
  <si>
    <t>DATnottestable,GR_Early_D,IATNotTestable,No_Doc,pi27_candidate,pi27_p2</t>
  </si>
  <si>
    <t>2026-01-16T09:39:34.000+0200</t>
  </si>
  <si>
    <t>2026-01-15T19:24:09.000+0200</t>
  </si>
  <si>
    <t>GR,GR_Early_B,IATNotTestable,IRM:PI27S01_end,IRM:PI27S01_start,LT_BRANCH,No_Doc,pi27_candidate,pi27_p1</t>
  </si>
  <si>
    <t>2026-01-15T19:14:41.000+0200</t>
  </si>
  <si>
    <t>2026-01-15T12:08:10.000+0200</t>
  </si>
  <si>
    <t>GR,GR_Early_B,IRM:PI27S01_end,IRM:PI27S01_start,LT,LT_BRANCH,MVP,breaking_change,pi27_candidate,pi27_p1</t>
  </si>
  <si>
    <t>2026-01-15T11:45:40.000+0200</t>
  </si>
  <si>
    <t>2026-01-14T17:25:18.000+0200</t>
  </si>
  <si>
    <t>2026-01-09T10:21:00.000+0200</t>
  </si>
  <si>
    <t>GR,GR_Early_D,IATNotTestable,IRM:PI27S05_end,MVP,SELF_SERVICE_SERVICES_MANAGEMENT,TshirtSize_L,pi27_candidate,pi27_p1,ready</t>
  </si>
  <si>
    <t>2026-01-07T16:51:30.000+0200</t>
  </si>
  <si>
    <t>GR,IATNotTestable,MVP,No_Doc,PERFORMANCE_EFFICIENCY,TshirtSize_XL,pi27_candidate,pi27_p1</t>
  </si>
  <si>
    <t>2026-01-07T14:04:36.000+0200</t>
  </si>
  <si>
    <t>SELF_SERVICE_SERVICES_MANAGEMENT,TshirtSize_L,pi28_candidate,pi28_p3,ready</t>
  </si>
  <si>
    <t>Contact Management Enhancements</t>
  </si>
  <si>
    <t>2025-12-22T13:26:43.000+0200</t>
  </si>
  <si>
    <t>DATnottestable,GR,GR_Early_D,IRM:PI26S03_start,IRM:PI27S05_end,LT_BRANCH,pi27_candidate,pi27_p2</t>
  </si>
  <si>
    <t>2025-12-22T11:41:16.000+0200</t>
  </si>
  <si>
    <t>LT_BRANCH,pi27_candidate,pi29_candidate,pi29_p2</t>
  </si>
  <si>
    <t>2025-12-19T14:34:29.000+0200</t>
  </si>
  <si>
    <t>2025-12-19T13:18:41.000+0200</t>
  </si>
  <si>
    <t>2025-12-18T10:24:35.000+0200</t>
  </si>
  <si>
    <t>GR,GR_Early_C,IRM:PI27S04_end,MVP,REGISTRATION,TshirtSize_M,pi26_candidate,pi27_candidate,pi27_p1</t>
  </si>
  <si>
    <t>2025-12-17T15:05:19.000+0200</t>
  </si>
  <si>
    <t>GR,GR_Early_B,IATNotTestable,IRM:PI27S02_end,IRM:PI27S02_start,No_Doc,breaking_change,pi27_candidate,pi27_p2</t>
  </si>
  <si>
    <t>2025-12-17T11:00:20.000+0200</t>
  </si>
  <si>
    <t>TshirtSize_M,not_ready,pi28_candidate,pi28_p3</t>
  </si>
  <si>
    <t>2025-12-16T15:55:36.000+0200</t>
  </si>
  <si>
    <t>GR,GR_Early_D,IRM:PI27S01_start,IRM:PI27S04_end,MVP,REFERENCE_DATA,irm_pd_pdm_agreed,pi26_candidate,pi26_p3,pi27_candidate,pi27_p2,ready</t>
  </si>
  <si>
    <t>2025-12-12T14:59:58.000+0200</t>
  </si>
  <si>
    <t>2025-12-12T13:51:19.000+0200</t>
  </si>
  <si>
    <t>2025-12-12T13:37:26.000+0200</t>
  </si>
  <si>
    <t>IATNotTestable,No_Doc,PERFORMANCE_EFFICIENCY,pi27_candidate,pi27_p1</t>
  </si>
  <si>
    <t>2025-12-11T18:56:48.000+0200</t>
  </si>
  <si>
    <t>EXTENSIBILITY,GR,GR_Early_B,IRM:PI27S01_start,IRM:PI27S03_end,IRM:PI27S04_end,LT_BRANCH,MVP_new,breaking_change,pi27_candidate,pi27_p1</t>
  </si>
  <si>
    <t>2025-12-09T15:57:04.000+0200</t>
  </si>
  <si>
    <t>Generic,RELIABILITY,TshirtSize_XXL,pi28_candidate,pi28_p1</t>
  </si>
  <si>
    <t>Closed</t>
  </si>
  <si>
    <t>2025-12-08T09:24:43.000+0200</t>
  </si>
  <si>
    <t>EXTENSIBILITY,FATnottestable,GR,GR_Early_A,IATNotTestable,No_Doc,pi27_candidate,pi27_p1</t>
  </si>
  <si>
    <t>2025-12-04T12:11:40.000+0200</t>
  </si>
  <si>
    <t>AuditLog,GR,LT,TRACEBILITY,TshirtSize_L,pi26_leftover,pi28_candidate,pi28_p2</t>
  </si>
  <si>
    <t>2025-11-27T16:47:10.000+0200</t>
  </si>
  <si>
    <t>GR,GR_Early_D,IRM:PI27S01_start,IRM:PI27S05_end,LT,LT_BRANCH,OldForLTpi27_p1,SELF_SERVICE_SERVICES_MANAGEMENT,pi27_candidate,pi27_p2</t>
  </si>
  <si>
    <t>2025-11-27T08:01:49.000+0200</t>
  </si>
  <si>
    <t>EXTENSIBILITY,GR,GR_Early_B,IRM:PI27S01_start,IRM:PI27S02_end,MVP_new,breaking_change,pi27_candidate,pi27_p1</t>
  </si>
  <si>
    <t>Operability Enhancements</t>
  </si>
  <si>
    <t>2025-11-26T15:20:30.000+0200</t>
  </si>
  <si>
    <t>Documentation-Only,GR,MVP_new,TshirtSize_XS,pi27_candidate,pi27_p3,pi28_candidate,pi28_p1</t>
  </si>
  <si>
    <t>2025-11-20T16:11:38.000+0200</t>
  </si>
  <si>
    <t>Contractual,GR,LT,MVP_new,TshirtSize_S,UI/UX_Improvement,pi28_candidate,pi28_p1</t>
  </si>
  <si>
    <t>2025-11-14T16:58:46.000+0200</t>
  </si>
  <si>
    <t>No_Doc,UI</t>
  </si>
  <si>
    <t>2025-11-12T17:52:14.000+0200</t>
  </si>
  <si>
    <t>Contractual,LT,pi26_candidate,pi26_p1+,pi29_candidate,pi29_p3</t>
  </si>
  <si>
    <t>2025-11-11T16:45:12.000+0200</t>
  </si>
  <si>
    <t>IATNotTestable,LT,MVP_new,No_Doc,REGISTRATION,pi26_candidate,pi26_p1+</t>
  </si>
  <si>
    <t>2025-11-10T22:32:10.000+0200</t>
  </si>
  <si>
    <t>GR,GR_Early_B,IATNotTestable,IRM:PI27S01_start,IRM:PI27S03_end,MVP_new,No_Doc,SELF_SERVICE_SERVICES_MANAGEMENT,TshirtSize_M,pi27_candidate,pi27_p1</t>
  </si>
  <si>
    <t>2025-11-07T17:45:46.000+0200</t>
  </si>
  <si>
    <t>GR,GR_Early_D,IRM:PI27S01_start,IRM:PI27S04_end,MVP,REGISTRATION,TshirtSize_L,pi27_candidate,pi27_p1,ready</t>
  </si>
  <si>
    <t>2025-11-07T04:07:43.000+0200</t>
  </si>
  <si>
    <t>GR,GR_Early_D,IATNotTestable,MVP_new,RELIABILITY,TshirtSize_M,pi27_candidate,pi27_p2</t>
  </si>
  <si>
    <t>2025-11-06T19:48:14.000+0200</t>
  </si>
  <si>
    <t>FATnottestable,GR,GR_Early_D,IATNotTestable,MVP_new,PERFORMANCE_EFFICIENCY,TshirtSize_L,pi27_candidate,pi27_p1</t>
  </si>
  <si>
    <t>2025-11-06T19:39:34.000+0200</t>
  </si>
  <si>
    <t>GR,GR_Early_B,IRM:PI26IP_start,IRM:PI27S02_end,LT_BRANCH,MVP_new,REGISTRATION,TshirtSize_M,pi27_candidate,pi27_p1,ready</t>
  </si>
  <si>
    <t>Ready for Release</t>
  </si>
  <si>
    <t>2025-11-06T19:33:09.000+0200</t>
  </si>
  <si>
    <t>GR,GR_Early_A,IRM:PI26IP_end,IRM:PI27S03_end(06/03),MVP_new,REGISTRATION,TshirtSize_L,pi27_candidate,pi27_p1</t>
  </si>
  <si>
    <t>2025-11-06T18:38:53.000+0200</t>
  </si>
  <si>
    <t>2025-11-04T15:37:04.000+0200</t>
  </si>
  <si>
    <t>2025-11-04T15:30:43.000+0200</t>
  </si>
  <si>
    <t>DOCUMENT_MANAGEMENT_INTEGRATION,FATnottestable,GR,GR_Early_A,IATNotTestable,MVP,No_Doc,exclude_from_notes,pi26_candidate,pi26_leftover,pi26_p1,pi27_p2</t>
  </si>
  <si>
    <t>2025-11-04T12:20:49.000+0200</t>
  </si>
  <si>
    <t>C1,DOCUMENT_MANAGEMENT_INTEGRATION,FATnottestable,GR,GR_Early_A,IATNotTestable,MVP,exclude_from_notes,pi26_candidate,pi26_leftover,pi26_p1,pi27_p2</t>
  </si>
  <si>
    <t>2025-11-03T11:20:44.000+0200</t>
  </si>
  <si>
    <t>GR,GR_Early_D,IATNotTestable,IRM:PI27S03_end,IRM:PI27SP01_start,MVP_new,No_Doc,REGISTRATION,TshirtSize_M,pi27_candidate,pi27_p1,ready</t>
  </si>
  <si>
    <t>2025-10-30T14:41:14.000+0200</t>
  </si>
  <si>
    <t>AEOI, ViDA &amp; Other Data Storage</t>
  </si>
  <si>
    <t>2025-10-22T13:04:54.000+0300</t>
  </si>
  <si>
    <t>AEOI_VIDA,C1,DeScope_Candidate,GR,MVP,TshirtSize_XXL</t>
  </si>
  <si>
    <t>2025-10-22T11:17:07.000+0300</t>
  </si>
  <si>
    <t>C1,EXEMPTIONS,GR,TshirtSize_XL,nice-to-have</t>
  </si>
  <si>
    <t>2025-10-21T10:39:03.000+0300</t>
  </si>
  <si>
    <t>GR,GR_Early_B,IATNotTestable,LT,LT_BRANCH,SELF_SERVICE_SERVICES_MANAGEMENT,pi27_candidate,pi27_p1</t>
  </si>
  <si>
    <t>2025-10-20T11:27:00.000+0300</t>
  </si>
  <si>
    <t>2025-10-17T17:04:46.000+0300</t>
  </si>
  <si>
    <t>TshirtSize_M,pi28_candidate,pi28_p1</t>
  </si>
  <si>
    <t>2025-10-17T16:41:25.000+0300</t>
  </si>
  <si>
    <t>TshirtSize_S</t>
  </si>
  <si>
    <t>2025-10-17T16:21:44.000+0300</t>
  </si>
  <si>
    <t>2025-10-17T15:48:11.000+0300</t>
  </si>
  <si>
    <t>TshirtSize_M</t>
  </si>
  <si>
    <t>2025-10-17T14:54:44.000+0300</t>
  </si>
  <si>
    <t>2025-10-17T14:39:48.000+0300</t>
  </si>
  <si>
    <t>2025-10-17T13:42:27.000+0300</t>
  </si>
  <si>
    <t>TshirtSize_M,pi27_candidate,pi27_descope,pi27_p1</t>
  </si>
  <si>
    <t>2025-10-17T12:28:09.000+0300</t>
  </si>
  <si>
    <t>TshirtSize_L</t>
  </si>
  <si>
    <t>2025-10-17T11:58:58.000+0300</t>
  </si>
  <si>
    <t>2025-10-17T10:03:14.000+0300</t>
  </si>
  <si>
    <t>BATCH_PROCESSING,Generic,LT,PI25_Leftover,TCE,pi26_leftover,pi28_candidate,pi28_p1</t>
  </si>
  <si>
    <t>2025-10-13T15:38:45.000+0300</t>
  </si>
  <si>
    <t>C1,GR,Generic,OPERABILITY,SKV_Internal,TshirtSize_XXL,nice-to-have,pi27_candidate</t>
  </si>
  <si>
    <t>2025-10-09T17:35:35.000+0300</t>
  </si>
  <si>
    <t>2025-10-09T12:37:24.000+0300</t>
  </si>
  <si>
    <t>2025-10-09T12:33:53.000+0300</t>
  </si>
  <si>
    <t>C1,GR,GR_2027,MVP,TshirtSize_L,USABILITY,pi27_candidate</t>
  </si>
  <si>
    <t>2025-10-09T12:32:51.000+0300</t>
  </si>
  <si>
    <t>C1,GR,GR_2027,MVP,TshirtSize_M,USABILITY,pi27_candidate</t>
  </si>
  <si>
    <t>2025-10-09T10:49:18.000+0300</t>
  </si>
  <si>
    <t>CMS_INTEGRATION,GR,MVP,TshirtSize_L,pi27_candidate</t>
  </si>
  <si>
    <t>2025-10-09T10:28:32.000+0300</t>
  </si>
  <si>
    <t>Case Management Enhancements</t>
  </si>
  <si>
    <t>2025-10-08T20:34:28.000+0300</t>
  </si>
  <si>
    <t>BUSINESS_INTELLIGENCE,C1,GR,TshirtSize_M</t>
  </si>
  <si>
    <t>2025-10-08T20:17:28.000+0300</t>
  </si>
  <si>
    <t>LT,MVP,OldForLTpi27_p1,PERFORMANCE_EFFICIENCY,TshirtSize_M,pi27_candidate</t>
  </si>
  <si>
    <t>2025-10-08T19:53:19.000+0300</t>
  </si>
  <si>
    <t>GR,TASK_MANAGEMENT,TshirtSize_M,pi29_candidate</t>
  </si>
  <si>
    <t>2025-10-08T19:45:28.000+0300</t>
  </si>
  <si>
    <t>GR,GR_Early_A,IRM:PI26IP_end,IRM:PI26S05_start,MVP,PI26,TshirtSize_S,pi27_candidate,pi27_p1,ready</t>
  </si>
  <si>
    <t>2025-10-08T19:41:44.000+0300</t>
  </si>
  <si>
    <t>GR,GR_Early_D,IRM:PI27S01_start,IRM:PI27S05_end,MVP,REGISTRATION,TshirtSize_XL,pi26_candidate,pi27_candidate,pi27_p1</t>
  </si>
  <si>
    <t>2025-10-08T19:33:58.000+0300</t>
  </si>
  <si>
    <t>GR,GR_Early_A,GR_Early_B,IRM:PI27S01_start,IRM:PI27S03_end,LT_BRANCH,MVP,REGISTRATION,TshirtSize_M,pi26_candidate,pi27_candidate,pi27_p1,ready</t>
  </si>
  <si>
    <t>2025-10-08T19:18:04.000+0300</t>
  </si>
  <si>
    <t>GR,TAXPAYER_ACCOUNTING,TshirtSize_XL,pi28_candidate,pi28_p1</t>
  </si>
  <si>
    <t>2025-10-08T18:52:05.000+0300</t>
  </si>
  <si>
    <t>C1,GR,MVP,ORGANIZATIONAL_STRUCTURE,TshirtSize_XL,pi27_candidate,pi29_candidate,pi29_p1</t>
  </si>
  <si>
    <t>2025-10-08T18:33:27.000+0300</t>
  </si>
  <si>
    <t>MVP,TAXPAYER_ASSISTANCE,TshirtSize_L</t>
  </si>
  <si>
    <t>2025-10-08T18:31:56.000+0300</t>
  </si>
  <si>
    <t>MVP,TshirtSize_XL,USABILITY</t>
  </si>
  <si>
    <t>AEOI, ViDA &amp; Other Data Exchange</t>
  </si>
  <si>
    <t>2025-10-08T18:12:26.000+0300</t>
  </si>
  <si>
    <t>Reference Implementation - PAYE</t>
  </si>
  <si>
    <t>2025-10-08T14:16:26.000+0300</t>
  </si>
  <si>
    <t>C1,GR,MVP,REGISTRATION,TshirtSize_M</t>
  </si>
  <si>
    <t>2025-10-06T17:39:10.000+0300</t>
  </si>
  <si>
    <t>TshirtSize_XL</t>
  </si>
  <si>
    <t>Operational Reporting Enhancements</t>
  </si>
  <si>
    <t>2025-09-29T09:33:08.000+0300</t>
  </si>
  <si>
    <t>C1,GR,MVP,OPERATIONAL_REPORTING,TshirtSize_L,nice-to-have,pi26_candidate,pi27_candidate</t>
  </si>
  <si>
    <t>2025-09-16T16:04:26.000+0300</t>
  </si>
  <si>
    <t>GR,GR_Early_D,IRM:PI27S01_start,IRM:PI27S02_end,MVP,SECURITY,TshirtSize_M,UBM,not_ready,pi26_candidate,pi27_candidate,pi27_p2</t>
  </si>
  <si>
    <t>2025-09-15T10:21:49.000+0300</t>
  </si>
  <si>
    <t>AuditLog,GR,MVP,TRACEBILITY,TshirtSize_L,pi27_candidate,pi28_candidate,pi28_p1</t>
  </si>
  <si>
    <t>2025-09-10T11:28:54.000+0300</t>
  </si>
  <si>
    <t>Reference Implementation - Application Processes</t>
  </si>
  <si>
    <t>2025-09-09T15:11:19.000+0300</t>
  </si>
  <si>
    <t>Contractual,GR,SKV,TshirtSize_M,UBM,pi26_candidate,pi27_candidate,pi28_candidate,pi28_p3</t>
  </si>
  <si>
    <t>2025-09-08T10:25:58.000+0300</t>
  </si>
  <si>
    <t>GR,LEFTOVERS,TshirtSize_S,pi27_candidate,pi28_candidate,pi28_p2</t>
  </si>
  <si>
    <t>Penalty &amp; Interest Enhancements</t>
  </si>
  <si>
    <t>2025-09-07T22:58:29.000+0300</t>
  </si>
  <si>
    <t>GTM,SKV,TshirtSize_XXL,estimation_inaccuracy_high,pi28_candidate,pi28_p1</t>
  </si>
  <si>
    <t>2025-09-02T20:10:21.000+0300</t>
  </si>
  <si>
    <t>GR,GR_Early_D,IRM:PI27S01_start,IRM:PI27S04_end,MVP,No_Doc,REFERENCE_DATA,TshirtSize_XL,pi26_candidate,pi26_p3,pi27_candidate,pi27_p2,ready</t>
  </si>
  <si>
    <t>2025-09-01T14:29:29.000+0300</t>
  </si>
  <si>
    <t>C1,GR,GR_Early_C,IRM:PI27S01_start,IRM:PI27S03_end,MVP,REFERENCE_DATA,TshirtSize_M,breaking_change,pi26_candidate,pi26_p3,pi27_candidate,pi27_p2,ready</t>
  </si>
  <si>
    <t>2025-08-29T14:40:39.000+0300</t>
  </si>
  <si>
    <t>C1,Early_D,GR,GR_Early_D,IRM:PI27S01_start,IRM:PI27S03_end,IRM:PI27S04_end,Juniors_Candidate,MVP,TshirtSize_L,USABILITY,pi26_candidate,pi27_candidate,pi27_p2,ready</t>
  </si>
  <si>
    <t>2025-08-27T11:18:49.000+0300</t>
  </si>
  <si>
    <t>OPERABILITY,SKV_Internal,TshirtSize_XXL,pi28_candidate,pi28_p2</t>
  </si>
  <si>
    <t>2025-07-28T20:56:53.000+0300</t>
  </si>
  <si>
    <t>FATnottestable,IATNotTestable,IRM:PI25S04,No_Doc,PI25_extrascope,pi25_candidate,pi25_p1,wont-automate</t>
  </si>
  <si>
    <t>2.1.0</t>
  </si>
  <si>
    <t>2025-07-21T18:08:01.000+0300</t>
  </si>
  <si>
    <t>DOCUMENT_MANAGEMENT_INTEGRATION,GR,GR_Early_A,IATNotTestable,IRM:PI26IP_end,MVP,No_Doc,PI26,pi26_candidate,pi26_leftover,pi26_p1,pi27_p2</t>
  </si>
  <si>
    <t>2025-07-21T17:18:14.000+0300</t>
  </si>
  <si>
    <t>2025-07-21T13:40:41.000+0300</t>
  </si>
  <si>
    <t>2025-06-06T13:44:13.000+0300</t>
  </si>
  <si>
    <t>GR,GR_Early_B,IRM:PI27S02_start,IRM:PI27S03_end,MVP_new,REFERENCE_DATA,TshirtSize_M,pi27_candidate,pi27_p2</t>
  </si>
  <si>
    <t>2025-05-26T09:27:33.000+0300</t>
  </si>
  <si>
    <t>CONTACT_MANAGEMENT,Early_D,GR,IRM:PI27S03_start,IRM:PI27S04_end,IRM:PI27S05_end,LT,MVP,No_Doc,TshirtSize_S,irm_pd_pdm_agreed,pi26_descoped,pi26_p1+,pi27_candidate,pi27_p2</t>
  </si>
  <si>
    <t>2025-05-26T09:18:55.000+0300</t>
  </si>
  <si>
    <t>DOCUMENT_MANAGEMENT_INTEGRATION,GR,MVP,TshirtSize_L,pi25_candidate,pi27_candidate,pi28_candidate,pi28_p1</t>
  </si>
  <si>
    <t>2025-04-08T13:30:30.000+0300</t>
  </si>
  <si>
    <t>Reference Implementation - Self Service Filing &amp; Payments</t>
  </si>
  <si>
    <t>2025-03-04T13:13:23.000+0200</t>
  </si>
  <si>
    <t>ALREADY_IMPLEMENTED?,DeScope_Candidate,GR,LT,SELF_SERVICE_SERVICES_MANAGEMENT,TshirtSize_M,pi29_candidate,pi29_p1</t>
  </si>
  <si>
    <t>2024-09-17T12:55:00.000+0300</t>
  </si>
  <si>
    <t>SECURITY,TshirtSize_XXL,pi25_candidate,pi27_candidate,pi28_candidate,pi28_p2</t>
  </si>
  <si>
    <t>2024-08-16T17:24:56.000+0300</t>
  </si>
  <si>
    <t>GR,OBLIGATIONS_LIABILITIES,TshirtSize_L,pi28_candidate,pi28_p1</t>
  </si>
  <si>
    <t>Reference Implementation - PIT</t>
  </si>
  <si>
    <t>2024-08-01T19:31:29.000+0300</t>
  </si>
  <si>
    <t>GR,Greek_Demo,MVP,SELF_SERVICE_SERVICES_MANAGEMENT,TshirtSize_XS,pi21_candidate,pi21_leftover,pi21_p1,pi27_candidate</t>
  </si>
  <si>
    <t>2024-07-08T12:37:39.000+0300</t>
  </si>
  <si>
    <t>GR,REFERENCE_DATA,TshirtSize_M,pi29_candidate,pi29_p3</t>
  </si>
  <si>
    <t>2024-07-08T12:36:04.000+0300</t>
  </si>
  <si>
    <t>2024-06-05T17:09:04.000+0300</t>
  </si>
  <si>
    <t>GR,MVP,TAXPAYER_ACCOUNTING,TshirtSize_S</t>
  </si>
  <si>
    <t>2024-05-30T12:36:10.000+0300</t>
  </si>
  <si>
    <t>AuditLog,TshirtSize_L,pi27_candidate</t>
  </si>
  <si>
    <t>Reference Implementation - Self Service Account Overview</t>
  </si>
  <si>
    <t>2024-03-29T12:00:50.000+0200</t>
  </si>
  <si>
    <t>obj_iss_examples,pi07_candidate,pi27_candidate</t>
  </si>
  <si>
    <t>0.4.0</t>
  </si>
  <si>
    <t>2024-03-18T21:14:31.000+0200</t>
  </si>
  <si>
    <t>MVP,PIT,TshirtSize_S</t>
  </si>
  <si>
    <t>2024-03-18T21:11:26.000+0200</t>
  </si>
  <si>
    <t>2023-08-15T14:43:46.000+0300</t>
  </si>
  <si>
    <t>CASE_MANAGEMENT,GR,MVP,TshirtSize_M,pi27_candidate</t>
  </si>
  <si>
    <t>2023-08-15T14:41:17.000+0300</t>
  </si>
  <si>
    <t>2023-06-17T22:02:49.000+0300</t>
  </si>
  <si>
    <t>GR,IRM:PI27S03_start,IRM:PI27S04_end,ORGANIZATIONAL_STRUCTURE,PI27,TshirtSize_L,estimation_inaccuracy_high,irm_pd_pdm_agreed,nice-to-have</t>
  </si>
  <si>
    <t>2022-03-03T13:59:07.000+0200</t>
  </si>
  <si>
    <t>TshirtSize_M,obj_iss_examples,pi08_candidate,pi28_candidate,pi28_p3</t>
  </si>
  <si>
    <t>2021-12-12T16:03:07.000+0200</t>
  </si>
  <si>
    <t>2021-10-01T14:45:20.000+0300</t>
  </si>
  <si>
    <t>TshirtSize_M,pi28_candidate,pi28_p3</t>
  </si>
  <si>
    <t>2021-10-01T14:08:43.000+0300</t>
  </si>
  <si>
    <t>AuditLog,TshirtSize_M,pi27_candidate</t>
  </si>
  <si>
    <t>2021-10-01T13:36:05.000+0300</t>
  </si>
  <si>
    <t>TshirtSize_M,pi27_candidate</t>
  </si>
  <si>
    <t>2021-10-01T13:19:13.000+0300</t>
  </si>
  <si>
    <t>2020-11-17T15:21:45.000+0200</t>
  </si>
  <si>
    <t>C1,CONTACT_MANAGEMENT,GR,MVP,TshirtSize_M,nice-to-have,pi27_candidate</t>
  </si>
  <si>
    <t>2020-11-05T12:47:52.000+0200</t>
  </si>
  <si>
    <t>CONTACT_MANAGEMENT,GR,MVP,TshirtSize_M,obj_customer_contacts,pi25_candidate,pi27_candidate</t>
  </si>
  <si>
    <t>2020-11-05T12:26:05.000+0200</t>
  </si>
  <si>
    <t>CONTACT_MANAGEMENT,GR,MVP,TshirtSize_S,pi25_candidate,pi27_candidate</t>
  </si>
  <si>
    <t>2020-11-04T16:11:10.000+0200</t>
  </si>
  <si>
    <t>CONTACT_MANAGEMENT,GR,LT,MVP,TshirtSize_L,irm_pd_pdm_agreed,pi26_descoped,pi29_candidate,pi29_p1</t>
  </si>
  <si>
    <t>2020-11-04T11:02:21.000+0200</t>
  </si>
  <si>
    <t>AuditLog,C1,GR,MVP,TRACEBILITY,TshirtSize_M</t>
  </si>
  <si>
    <t>Reference Implementation - CIT</t>
  </si>
  <si>
    <t>2020-02-25T16:54:24.000+0200</t>
  </si>
  <si>
    <t>2020-01-30T22:26:48.000+0200</t>
  </si>
  <si>
    <t>GR,MVP,SELF_SERVICE_SERVICES_MANAGEMENT,pi29_candidate,pi29_p2</t>
  </si>
  <si>
    <t>BATCH PROCESSING</t>
  </si>
  <si>
    <t>Management is estimated in calendar time and therefore reflects the overall timeline.</t>
  </si>
  <si>
    <t>Start Date</t>
  </si>
  <si>
    <t>End Date</t>
  </si>
  <si>
    <t>Number of weeks</t>
  </si>
  <si>
    <t>Management resources</t>
  </si>
  <si>
    <t>Role</t>
  </si>
  <si>
    <t>Number of FTE's</t>
  </si>
  <si>
    <t>Hours from</t>
  </si>
  <si>
    <t>Expected Vacation (5 week in 1 year)</t>
  </si>
  <si>
    <t>Total Hours</t>
  </si>
  <si>
    <t xml:space="preserve">Product Development Management </t>
  </si>
  <si>
    <t xml:space="preserve">Product Management PdM </t>
  </si>
  <si>
    <t>Product Architect</t>
  </si>
  <si>
    <t>Product Test Manager</t>
  </si>
  <si>
    <t>Product Implementaions leads</t>
  </si>
  <si>
    <t>Business Owners</t>
  </si>
  <si>
    <t>PIL2 TL - Daedalus, Athena, Spartans (3x0,33)</t>
  </si>
  <si>
    <t>PIL3 TL - Helios, EOS, Selene</t>
  </si>
  <si>
    <t>PIL4 - Sif, Baldur</t>
  </si>
  <si>
    <t>Release Management</t>
  </si>
  <si>
    <t>Test lead (Automation)</t>
  </si>
  <si>
    <t>Technical Architecture and engineering</t>
  </si>
  <si>
    <t>PMO &amp; Analysis</t>
  </si>
  <si>
    <t>DevOps</t>
  </si>
  <si>
    <t>Information Security</t>
  </si>
  <si>
    <t>Service Desk</t>
  </si>
  <si>
    <t>Task</t>
  </si>
  <si>
    <t>Maintenance</t>
  </si>
  <si>
    <t>Key</t>
  </si>
  <si>
    <t>IRM-30781</t>
  </si>
  <si>
    <t>2025-10-21T09:49:42.000+0300</t>
  </si>
  <si>
    <t>IRM-38585</t>
  </si>
  <si>
    <t>2026-03-09T17:58:21.000+0200</t>
  </si>
  <si>
    <t>IRM-30082</t>
  </si>
  <si>
    <t>2025-09-30T22:30:26.000+0300</t>
  </si>
  <si>
    <t>IRM-38575</t>
  </si>
  <si>
    <t>2026-03-09T17:45:20.000+0200</t>
  </si>
  <si>
    <t>IRM-38563</t>
  </si>
  <si>
    <t>2026-03-09T17:34:03.000+0200</t>
  </si>
  <si>
    <t>IRM-30071</t>
  </si>
  <si>
    <t>2025-09-30T22:20:28.000+0300</t>
  </si>
  <si>
    <t>IRM-30747</t>
  </si>
  <si>
    <t>2025-10-20T11:05:45.000+0300</t>
  </si>
  <si>
    <t>IRM-38582</t>
  </si>
  <si>
    <t>2026-03-09T17:56:02.000+0200</t>
  </si>
  <si>
    <t>IRM-30074</t>
  </si>
  <si>
    <t>2025-09-30T22:23:46.000+0300</t>
  </si>
  <si>
    <t>IRM-38577</t>
  </si>
  <si>
    <t>2026-03-09T17:46:53.000+0200</t>
  </si>
  <si>
    <t>IRM-30075</t>
  </si>
  <si>
    <t>2025-09-30T22:24:39.000+0300</t>
  </si>
  <si>
    <t>IRM-38573</t>
  </si>
  <si>
    <t>2026-03-09T17:43:23.000+0200</t>
  </si>
  <si>
    <t>IRM-38651</t>
  </si>
  <si>
    <t>2026-03-10T10:02:11.000+0200</t>
  </si>
  <si>
    <t>IRM-38583</t>
  </si>
  <si>
    <t>2026-03-09T17:56:49.000+0200</t>
  </si>
  <si>
    <t>IRM-30076</t>
  </si>
  <si>
    <t>2025-09-30T22:25:50.000+0300</t>
  </si>
  <si>
    <t>IRM-30088</t>
  </si>
  <si>
    <t>2025-09-30T22:35:16.000+0300</t>
  </si>
  <si>
    <t>IRM-30086</t>
  </si>
  <si>
    <t>2025-09-30T22:33:48.000+0300</t>
  </si>
  <si>
    <t>IRM-30070</t>
  </si>
  <si>
    <t>2025-09-30T22:18:36.000+0300</t>
  </si>
  <si>
    <t>IRM-30072</t>
  </si>
  <si>
    <t>2025-09-30T22:21:34.000+0300</t>
  </si>
  <si>
    <t>IRM-38760</t>
  </si>
  <si>
    <t>2026-03-10T20:36:18.000+0200</t>
  </si>
  <si>
    <t>IRM-30783</t>
  </si>
  <si>
    <t>2025-10-21T10:00:55.000+0300</t>
  </si>
  <si>
    <t>IRM-38570</t>
  </si>
  <si>
    <t>2026-03-09T17:41:21.000+0200</t>
  </si>
  <si>
    <t>IRM-38596</t>
  </si>
  <si>
    <t>2026-03-09T19:17:26.000+0200</t>
  </si>
  <si>
    <t>IRM-38568</t>
  </si>
  <si>
    <t>2026-03-09T17:38:26.000+0200</t>
  </si>
  <si>
    <t>IRM-30077</t>
  </si>
  <si>
    <t>2025-09-30T22:26:32.000+0300</t>
  </si>
  <si>
    <t>IRM-30078</t>
  </si>
  <si>
    <t>2025-09-30T22:27:22.000+0300</t>
  </si>
  <si>
    <t>IRM-38578</t>
  </si>
  <si>
    <t>2026-03-09T17:47:37.000+0200</t>
  </si>
  <si>
    <t>IRM-38576</t>
  </si>
  <si>
    <t>2026-03-09T17:46:11.000+0200</t>
  </si>
  <si>
    <t>IRM-29931</t>
  </si>
  <si>
    <t>2025-09-24T15:56:49.000+0300</t>
  </si>
  <si>
    <t>IRM-38579</t>
  </si>
  <si>
    <t>2026-03-09T17:48:30.000+0200</t>
  </si>
  <si>
    <t>IRM-38580</t>
  </si>
  <si>
    <t>2026-03-09T17:49:20.000+0200</t>
  </si>
  <si>
    <t>IRM-38574</t>
  </si>
  <si>
    <t>2026-03-09T17:44:23.000+0200</t>
  </si>
  <si>
    <t>IRM-34472</t>
  </si>
  <si>
    <t>CGQM</t>
  </si>
  <si>
    <t>2026-01-14T07:54:47.000+0200</t>
  </si>
  <si>
    <t>IRM-34479</t>
  </si>
  <si>
    <t>Analysts</t>
  </si>
  <si>
    <t>2026-01-14T07:58:58.000+0200</t>
  </si>
  <si>
    <t>IRM-34243</t>
  </si>
  <si>
    <t>2026-01-09T12:06:46.000+0200</t>
  </si>
  <si>
    <t>IRM-34474</t>
  </si>
  <si>
    <t>Documentation</t>
  </si>
  <si>
    <t>2026-01-14T07:55:47.000+0200</t>
  </si>
  <si>
    <t>IRM-30081</t>
  </si>
  <si>
    <t>Training</t>
  </si>
  <si>
    <t>2025-09-30T22:29:37.000+0300</t>
  </si>
  <si>
    <t>IRM-34481</t>
  </si>
  <si>
    <t>2026-01-14T08:05:51.000+0200</t>
  </si>
  <si>
    <t>IRM-34475</t>
  </si>
  <si>
    <t>Ark</t>
  </si>
  <si>
    <t>2026-01-14T07:56:07.000+0200</t>
  </si>
  <si>
    <t>IRM-34477</t>
  </si>
  <si>
    <t>2026-01-14T07:57:15.000+0200</t>
  </si>
  <si>
    <t>IRM-34476</t>
  </si>
  <si>
    <t>AppSec team</t>
  </si>
  <si>
    <t>2026-01-14T07:56:50.000+0200</t>
  </si>
  <si>
    <t>IRM-31896</t>
  </si>
  <si>
    <t>Presales Support</t>
  </si>
  <si>
    <t>2025-11-13T15:22:36.000+0200</t>
  </si>
  <si>
    <t>IRM-31890</t>
  </si>
  <si>
    <t>Project Support</t>
  </si>
  <si>
    <t>2025-11-13T14:03:20.000+0200</t>
  </si>
  <si>
    <t>IRM-31888</t>
  </si>
  <si>
    <t>Release Activities</t>
  </si>
  <si>
    <t>2025-11-13T13:53:30.000+0200</t>
  </si>
  <si>
    <t>IRM-30792</t>
  </si>
  <si>
    <t>Technology Management</t>
  </si>
  <si>
    <t>2025-10-21T12:33:30.000+0300</t>
  </si>
  <si>
    <t>IRM-36981</t>
  </si>
  <si>
    <t>Support to PdM</t>
  </si>
  <si>
    <t>2026-02-18T11:08:40.000+0200</t>
  </si>
  <si>
    <t>IRM-31873</t>
  </si>
  <si>
    <t>Preventive Maintenance</t>
  </si>
  <si>
    <t>2025-11-13T10:32:20.000+0200</t>
  </si>
  <si>
    <t>IRM-31874</t>
  </si>
  <si>
    <t>Corrective Maintenance</t>
  </si>
  <si>
    <t>2025-11-13T10:41:56.000+0200</t>
  </si>
  <si>
    <t>IRM-35183</t>
  </si>
  <si>
    <t>Ceremonies and Trainings</t>
  </si>
  <si>
    <t>2026-01-28T13:26:29.000+0200</t>
  </si>
  <si>
    <t>IRM-30084</t>
  </si>
  <si>
    <t>Demo Environment</t>
  </si>
  <si>
    <t>2025-09-30T22:32:04.000+0300</t>
  </si>
  <si>
    <t>IRM-34471</t>
  </si>
  <si>
    <t>Management time</t>
  </si>
  <si>
    <t>2026-01-14T07:53:06.000+0200</t>
  </si>
  <si>
    <t>IRM-38581</t>
  </si>
  <si>
    <t>Payment Processing Enhancements</t>
  </si>
  <si>
    <t>2026-03-09T17:51:41.000+0200</t>
  </si>
  <si>
    <t>IRM-39853</t>
  </si>
  <si>
    <t>2026-03-27T15:03:39.000+0200</t>
  </si>
  <si>
    <t>IRM-30087</t>
  </si>
  <si>
    <t>2025-09-30T22:34:34.000+0300</t>
  </si>
  <si>
    <t>IRM-38571</t>
  </si>
  <si>
    <t>Notification Management Enhancements</t>
  </si>
  <si>
    <t>2026-03-09T17:42:26.000+0200</t>
  </si>
  <si>
    <t>IRM-38411</t>
  </si>
  <si>
    <t>2026-03-08T13:42:06.000+0200</t>
  </si>
  <si>
    <t>IRM-30073</t>
  </si>
  <si>
    <t>Task Management Enhancements</t>
  </si>
  <si>
    <t>2025-09-30T22:22:43.000+0300</t>
  </si>
  <si>
    <t>IRM-39854</t>
  </si>
  <si>
    <t>2026-03-27T15:06:17.000+0200</t>
  </si>
  <si>
    <t>IRM-38584</t>
  </si>
  <si>
    <t>Taxpayer 360 Degree View incl. Alerts Enhancements</t>
  </si>
  <si>
    <t>2026-03-09T17:57:38.000+0200</t>
  </si>
  <si>
    <t>Fields to include</t>
  </si>
  <si>
    <t>summary</t>
  </si>
  <si>
    <t>status</t>
  </si>
  <si>
    <t>issuetype</t>
  </si>
  <si>
    <t>customfield_11362</t>
  </si>
  <si>
    <t>story points</t>
  </si>
  <si>
    <t>timeoriginalestimate</t>
  </si>
  <si>
    <t>Original Estimate</t>
  </si>
  <si>
    <t>customfield_11461</t>
  </si>
  <si>
    <t>Epic Link</t>
  </si>
  <si>
    <t>Reference Model Group</t>
  </si>
  <si>
    <t>Reference Model Item</t>
  </si>
  <si>
    <t>Summary</t>
  </si>
  <si>
    <t>Document Management Integration Enhancements (2026)</t>
  </si>
  <si>
    <t>As a revenue authority user, when the system generates a document (e.g., operational reports, letters, certificates) and the business process instructs so, I want the document to be digitally signed by the system, with all required visual elements rendered in the PDF, so that I can securely distribute officially signed documents to taxpayers and stakeholders._x000D_
_x000D_
This capability must be reusable, configurable, auditable, and resilient to failures._x000D_
_x000D_
*Background :*_x000D_
In the current (as-is) systems:_x000D_
Documents are generated via operational reports _x000D_
Documents may be instructed to be generated via BPMN flows._x000D_
Documents may be sent to contacts and/or stored as attachments. _x000D_
Attachments can be linked to a Document Management System (DMS) via integration._x000D_
_x000D_
*Assumptions :* _x000D_
*a)* Revenue authority will supplied by an External provider the digital stamp (ψηφιακή σφραγίδα) in ΡΕΜ or PKC#7 files_x000D_
Then the configurations for digital signs and certificate will be used for documents signature. _x000D_
./pdf_sign_pem_multicert &lt;input_pdf&gt; &lt;output_pdf&gt; &lt;cert.pem&gt; &lt;key.pem&gt;_x000D_
_x000D_
for our tests we need to use one from CA authority _x000D_
*b)* Any additional elements (document IDs, DMS URLs, QR codes) must be printed on the document via project-specific implementation._x000D_
{*}c){*}Attachments are integrated with a DMS per customer configuration and responsibility._x000D_
*d)* One reference configuration for one digital signature will be only will be available for testing purposes (as demo). If projects needs several signatures, they may be able to configure them in the system.  _x000D_
_x000D_
*Out of Scope* (for now)_x000D_
End-user personal digital signatures_x000D_
Non-PDF document formats_x000D_
Additional IDs or other document additional elements other than digital signature. (document ID, qr code)_x000D_
_x000D_
 _x000D_
_x000D_
 _x000D_
_x000D_
*Functional Requirements*_x000D_
_x000D_
*Digital Signature service* _x000D_
 * Documents can be digitally signed when instructed by a step in a BPMN flow._x000D_
 * The system must expose an API or internal service or other method  for digital signing that can be called by bpmn processes._x000D_
 * The signing service must support the signature based on customers configurations and certificate._x000D_
 * Admin may configure several signatures.  (May be able to use more than one configurations and certificate / different signatures and bpmn process should decide on which configurations and certificate to be used, but will not be any defaults available in the product).  _x000D_
 * Keep Audit log for the documents' updates._x000D_
_x000D_
*PDF* _x000D_
 * The digital signature must be embedded in the PDF according to industry standards (e.g., PAdES)._x000D_
 * The PDF must remain verifiable by standard PDF readers._x000D_
_x000D_
*Storage &amp; Metadata*_x000D_
 * Signed documents must be stored as attachments  (expected as per relevant integration to be synchronized with the DMS)._x000D_
_x000D_
 * Document generated is expected to be displayed with  the relevant signature stamp and document ID  (by a reserve id method optionally to be used  in the upload  and that may be used if  needed by configurators) _x000D_
_x000D_
*Visual Elements on Document*_x000D_
Signed documents must display a visible digital signature stamp._x000D_
_x000D_
*Unhappy path :*_x000D_
 * Errors must be logged and be visible.   _x000D_
 ** Exceptions should be thrown if document generation or digital signature process not completed successfully. _x000D_
examples: Document generation fails, Template not found, Missing parameters, Digital signing fails, Timeouts_x000D_
_x000D_
 _x000D_
_x000D_
*Reference implementation:* _x000D_
 * At the end of the Busreg form, generate a document (operational report)  with all the details filled  per sections same as tabs_x000D_
Document will be digital signed and stored in attachments linked to the form _x000D_
Consideration: Create the signature as a reusable subflow _x000D_
_x000D_
*Example*_x000D_
_x000D_
!image-2026-02-16-00-37-24-460.png|width=685,height=402!_x000D_
_x000D_
*Documentation*_x000D_
Document all the above adjustments. _x000D_
_x000D_
 _x000D_
_x000D_
*Non functional requirements*_x000D_
It is expected team to get aligned with respective teams and reassure that is not creating issues or the related NFRs will be tested :_x000D_
Performance , Security, Accessibility, Usability _x000D_
DODs should be fulfilled._x000D_
_x000D_
+Security+_x000D_
Certificates and private keys must be stored securely (e.g., HSM, secure vault, encrypted storage) or other repository. _x000D_
Access to signing functionality must be restricted and auditable._x000D_
_x000D_
+Auditability+_x000D_
Every signing action must be logged:_x000D_
Who/what triggered the signing_x000D_
Timestamp_x000D_
Document ID_x000D_
Certificate used_x000D_
_x000D_
+Performance+_x000D_
Signing should not block critical user flows beyond acceptable SLA limits._x000D_
Support async signing for large documents or batch processing._x000D_
_x000D_
+Configurability+_x000D_
Be able to select different configurations for digital signs  to be used.  _x000D_
_x000D_
 _x000D_
_x000D_
*Notes:* _x000D_
In Gr used:  [https://www.harica.gr/el/Products/eSeal] _x000D_
----_x000D_
_Την ηλεκτρονική σφραγίδα (πρόκειται για ψηφιακό πιστοποιητικό ηλεκτρονικής υπογραφής) πρέπει να την προμηθευτεί η ΑΑΔΕ από Εγκεκριμένο Πάροχο Υπηρεσιών Εμπιστοσύνης και να μας δώσει το private key και τον κωδικό που το προστατεύει.__x000D_
_x000D_
_Στην Ελλάδα τέτοιος Πάροχος είναι μόνο η Harica._ [_https://www.harica.gr/el/Products/eSeal_|https://eur02.safelinks.protection.outlook.com/?url=https%3A%2F%2Fwww.harica.gr%2Fel%2FProducts%2FeSeal&amp;data=05%7C02%7CIoannis.SAVVIDIS%40netcompany.com%7C5709551eaa9b478ddf3008de68c7a564%7C8f9b88a73f3e4be3aae42006d4c42306%7C1%7C0%7C639063403886521092%7CUnknown%7CTWFpbGZsb3d8eyJFbXB0eU1hcGkiOnRydWUsIlYiOiIwLjAuMDAwMCIsIlAiOiJXaW4zMiIsIkFOIjoiTWFpbCIsIldUIjoyfQ%3D%3D%7C0%7C%7C%7C&amp;sdata=E8YLZC%2BgXVmRfTecgUZy2SwjnLk2TI1yRtd135CYee8%3D&amp;reserved=0] __ </t>
  </si>
  <si>
    <t>Implementing a *digital signature service integrated with BPMN workflows* will allow documents generated by the system to be *automatically and securely signed using configurations*_x000D_
_x000D_
This capability will:_x000D_
 * *Improve compliance and legal validity* of system-generated documents by supporting industry standards such as {*}PAdES for PDF digital signatures{*}._x000D_
_x000D_
 * *Increase process automation* by enabling BPMN workflows to trigger document signing without manual intervention._x000D_
_x000D_
 * *Enhance auditability and traceability* by maintaining audit logs for document generation, signing, and updates._x000D_
_x000D_
 * *Provide flexibility and configurability* by allowing administrators to configure multiple certificates and enabling workflows to dynamically select the appropriate signature._x000D_
_x000D_
 * *Improve user trust and document authenticity* by displaying visible digital signature stamps and ensuring documents remain verifiable in standard PDF readers._x000D_
_x000D_
 * *Support integration with enterprise document management systems (DMS)* through storage and synchronization of signed documents as attachments._x000D_
_x000D_
 * *Reduce operational effort and processing time* by eliminating manual signing steps and embedding signing directly into business processes._x000D_
_x000D_
Overall, this capability will *strengthen document governan*</t>
  </si>
  <si>
    <t>*Digital Signature service* _x000D_
 * Documents can be digitally signed when instructed by a step in a BPMN flow._x000D_
 * The system must expose an API or internal service or other method  for digital signing that can be called by bpmn processes._x000D_
 * The signing service must support the signature based on customers configurations and certificate._x000D_
 * Admin may configure several signatures.  (May be able to use more than one configurations and certificate/ different signatures and bpmn process should decide on which configurations and certificate to be used, but will not be any defaults available in the product).  _x000D_
 * Keep Audit log for the documents' updates._x000D_
_x000D_
*PDF* _x000D_
 * The digital signature must be embedded in the PDF according to industry standards (e.g., PAdES)._x000D_
 * The PDF must remain verifiable by standard PDF readers._x000D_
_x000D_
*Storage &amp; Metadata*_x000D_
 * Signed documents must be stored as attachments  (expected as per relevant integration to be synchronized with the DMS)._x000D_
_x000D_
 * Document generated is expected to be displayed with  the relevant signature stamp and document ID  (project will add this id via a reserve id method optionally to be used  in the upload)_x000D_
_x000D_
*Visual Elements on Document*_x000D_
Signed documents must display a visible digital signature stamp._x000D_
_x000D_
*Unhappy path :*_x000D_
 * Errors must be logged and be visible.   _x000D_
 ** Exceptions should be thrown if document generation or digital signature process not completed successfully. _x000D_
examples: Document generation fails, Template not found, Missing parameters, Digital signing fails, Timeouts_x000D_
_x000D_
 _x000D_
_x000D_
*Reference implementation:* _x000D_
 * At the end of the Busreg form, generate a document (operational report)  with all the details filled  per sections same as tabs_x000D_
Document will be digital signed and stored in attachments linked to the form _x000D_
Consideration: Create the signature as a reusable subflow </t>
  </si>
  <si>
    <t>As a revenue authority users and SS users, I need to be able to validate digital signatures of documents that I am attaching in entities in system (e.g. form) _x000D_
_x000D_
*Out of scope  :* _x000D_
The maintenance of trusted lists are part of the configurator resposibilities_x000D_
_x000D_
 _x000D_
_x000D_
*Functional requirements*_x000D_
 * Show case that user can validate documents that are attached in system entities digital signature. _x000D_
 * Admin should be able to define the trusted list of digital signatures providers and the apis needed to verify signatures. _x000D_
 * A visual sign is displayed when document is signed._x000D_
 * A visual sign is displayed when document is verified._x000D_
_x000D_
Reference implementation : _x000D_
 * While working with a form in SS and in RM  user may upload document and check to verify signature._x000D_
upload a document,  try to verify the document's digital signature , trusted lists , check checksum in the body ) _x000D_
_x000D_
 _x000D_
_x000D_
*Notes:* _x000D_
Need list of trusted providers and then check checksum in the body_x000D_
_x000D_
 </t>
  </si>
  <si>
    <t>Reference implementation for additional steps of user journey , when working with digital signed docuements.</t>
  </si>
  <si>
    <t>* Show case that user can validate documents that are attached in system entities digital signature. _x000D_
 * Admin should be able to define the trusted list of digital signatures providers and the apis needed to verify signatures. _x000D_
 * A visual sign is displayed when document is verified._x000D_
 * A Reference implementation to verify the above functionality (for at least one demo digital signature provider)  </t>
  </si>
  <si>
    <t>This feature is dependent on IRM-31284, and was extracted from IRM-28303._x000D_
_x000D_
Extracted from IRM-28303 to ensure the feature will manageable for a developer team to handle and also to simplify the dependency flow between features. </t>
  </si>
  <si>
    <t>-</t>
  </si>
  <si>
    <t>TBD</t>
  </si>
  <si>
    <t>This feature is dependent on IRM-31284 and contains enabling stories for the features IRM-31304._x000D_
_x000D_
This feature was extracted from IRM-28303.</t>
  </si>
  <si>
    <t>Extracted from IRM-28303 to ensure the feature will manageable for a developer team to handle and also to simplify the dependency flow between features. </t>
  </si>
  <si>
    <t>This feature contains enabling stories for the features IRM-31308 and IRM-31304._x000D_
_x000D_
 _x000D_
The feature was extracted from IRM-28303.</t>
  </si>
  <si>
    <t>As an delivery team and admin I need the ability to integrate 3rd-party components such as digital signature dialogs and embedded document/PDF previewers into the Solon UI, so that we can support customer-specific implementations._x000D_
As a revenue authority user, I want to preview forms and assist taxpayers in digitally signing documents directly within the Registration Module (RM), in order to comply with national requirements and improve support service at physical desks._x000D_
_x000D_
On these Solon will not provide any out of the self integration with these tools but will provide a widget to enable partners on that. _x000D_
_x000D_
*Introduction*_x000D_
_x000D_
According to the Lithuanian law, when signing documents electronically, the user should be able to preview the document in the Web page. Furthermore, the customers want to be able to preview signed or unsigned documents within the web app._x000D_
Moreover, there are user flows provided by the client, where users need to preview PDF documents directly within the application. However, the current UI/JSON schema system does not support rendering or embedding PDF viewers, making it impossible to include this functionality through the schema._x000D_
_x000D_
Currently, Solon's UI metadata schema (UI/JSON) does not support rendering embedded components like PDF viewers or signature popups. As a result, these features cannot be implemented declaratively through configuration alone. Similar components will be used in ISS by LT delivery teams  (using external portal platform). _x000D_
Relevant: _x000D_
[https://jira.intrasoft-intl.com/browse/PSD-11428]_x000D_
[https://jira.intrasoft-intl.com/browse/PSD-12028] _x000D_
_x000D_
Solon {*}will not deliver native integrations with specific 3rd-party signature providers or preview tools{*}. However, to support flexibility and enable integration at project level, Solon will provide a generic UI extension mechanism (widget) that can be configured to load and render such external components._x000D_
_x000D_
+Considerations+ _x000D_
 * _This widget/tag will allow embedding or linking to external components,  such as:__x000D_
 ** _PDF  document viewers (e.g. in form page preview form and attachments in a relevant preview mode)__x000D_
 *** _External digital signature modules.__x000D_
_WHAT IS/could be  INCLUDED IN THE iframe and the support of all its usages is Out of scope_ _x000D_
_In scope: Be able to add iframes in modals and pages._ _x000D_
 ** _The new tag if used in an appropriate widget that is expected to be implemented by delivery , it will be able to support_ _x000D_
 *** _rendering the embedded content inline_ _x000D_
 *** _or  opening it as a dialog/popup/modal. (such as receiving input request from digital signature app)__x000D_
 *** _being triggerable by actions of user (e.g. sign button)__x000D_
 *** _pass parameters  via urls or post messages_ _x000D_
 *** _return control to Solon tax ui on success of the process (e.g. sign properly) ._ _x000D_
_x000D_
 _x000D_
_x000D_
*Functional requirements*_x000D_
 * A new *custom widget framework  (i.e.*  *widget-based framework* *using* *secure iframe embedding)* will be introduced in the UI schema system._x000D_
 ** Product based on type of widget  (pdf viewer, digital signature)  the proper sandbox attributes should be used_x000D_
(iframes preferably should have the {{sandbox}} attribute to restrict the content of the embedded page. Any features that are needed (execute scripts, submit forms, etc.) can be explicitly enabled per case when needed)._x000D_
 ** Closing window callbacks may be functional. _x000D_
 ** Be agnostic to signature providers._x000D_
 ** Be reusable / configurable _x000D_
_x000D_
Out of scope : _x000D_
Ui interaction/ post messages _x000D_
Custom error messages _x000D_
_x000D_
 _x000D_
_x000D_
*Assumption* :_x000D_
Integration is {*}properly implemented{*}._x000D_
The delivery teams must ensure that the embedded solutions conform to {*}data protection{*}, {*}security policies{*}, and *access control rules* already applied in Solon._x000D_
_x000D_
 _x000D_
_x000D_
*Documentation*_x000D_
_x000D_
Document all the above adjustments and any suggestion on good usage of the iframe while posting messages. _x000D_
_x000D_
 _x000D_
_x000D_
*Non functional requirements*_x000D_
_x000D_
Performance and Security DODs should be fulfilled. _x000D_
----_x000D_
!image-2025-07-31-14-51-32-673.png!_x000D_
_x000D_
!image-2025-07-28-21-14-34-600.png|width=1146,height=625!_x000D_
_x000D_
 _x000D_
_x000D_
 _x000D_
----_x000D_
Flow :_x000D_
_x000D_
*E-Signature Workflow Overview*_x000D_
 # *User Initiates Signing* (frontend)_x000D_
_x000D_
The user clicks the *"Sign"* button._x000D_
 # *Signing Initialization Request* (backend)_x000D_
_x000D_
A request is sent to the {*}electronic signature service{*}, which:_x000D_
 * Uploads the files to the {*}signature provider{*}._x000D_
 * Initializes the signing process with a specified returnUrl, used to redirect the user back to our system after signing._x000D_
 * Returns an {*}external signing UID{*}._x000D_
_x000D_
 # *Popup with Embedded Signing UI* (frontend)_x000D_
_x000D_
A popup window is opened containing an iframe._x000D_
The iframe loads the signing page using the URL that includes the *external signing UID* as a query parameter._x000D_
_x000D_
*_[DASKALAKIS Ioannis] Please provide, if possible, some more details on the authentication and authorization scheme that may need to be followed to facilitate loading service’s provider URL for the given UID with  the User’s  browser session._*_x000D_
_x000D_
*_No authentication needs to be done from the browser. Only the backend IP needs to be whitelisted on the service provider and our service accepting the callback needs to be exposed and reachable by the service provider. We have started a discussion about this on another channel, still waiting for a response._*_x000D_
 # *User Signs Documents* (frontend)_x000D_
_x000D_
The user completes the signing process within the loaded iframe page._x000D_
 # *Callback and Document Handling* (backend)_x000D_
_x000D_
Our service receives a *callback* from the signature provider when the document status changes (e.g., signing completed)._x000D_
At this point, we:_x000D_
 * {*}Download{*}the signed version of the document from the provider._x000D_
 * {*}Validate{*}the signed document._x000D_
 * {*}Upload{*}it via the document-management_x000D_
_x000D_
*_[DASKALAKIS Ioannis] This, along with #3, suggests that any document exchange between our system and the signature provider will only take place via service API calls with an adapter implemented in the scope of the project. Please confirm._*_x000D_
_x000D_
*_Yes, that is correct._*_x000D_
 # *User Redirection and UI Update* (frontend)_x000D_
_x000D_
After signing, the user sees a *success message* on the provider's page and is *redirected to the* {*}returnUrl{*}._x000D_
If we are able to detect this redirect within the popup, we can:_x000D_
 * Automatically {*}close the popup{*}._x000D_
 * {*}Load the signed document{*}and its metadata in our system for the user to review._x000D_
_x000D_
*_[DASKALAKIS Ioannis] Is this required to be a document preview functionality, or it is a direct document download?_*_x000D_
_x000D_
*_Preview is required according to project requirements._*</t>
  </si>
  <si>
    <t>Introducing a configurable widget framework for embedding external components in iframe tag,  (e.g., PDF viewers, signature dialogs) will enable delivery teams and administrators to support customer-specific implementations without requiring native product development and_x000D_
provide a reusable, provider-agnostic mechanism that can adapt to different 3rd-party tools across jurisdictions.</t>
  </si>
  <si>
    <t>Fe developers of RM Solon tax may use iframe tag to include an iframe that can be used to deliver other components._x000D_
_x000D_
A widget will be available with agnostic iframe to be used. Closing window callbacks may be functional. _x000D_
_x000D_
 </t>
  </si>
  <si>
    <t>As a Revenue Authority Officer,  I need to be able to access, filter, search, and update flags on documents related to party,  party roles,   so that I can review, manage, and reuse documents that are system-generated, taxpayer-uploaded, or uploaded by the revenue authority._x000D_
_x000D_
 _x000D_
_x000D_
*Introduction*_x000D_
_x000D_
The system currently logs all attachments in the relevant microservices and may be integrated with a Document Management System (DMS)._x000D_
Notes: _x000D_
In development environments, integration with Alfresco is available as demo._x000D_
This feature depends on the  [https://jira.intrasoft-intl.com/browse/IRM-28301] where party role folder creation is defined._x000D_
_x000D_
Assumptions: _x000D_
The system is integrated with a DMS server that supports the necessary functions for document access, metadata management, and retrieval._x000D_
If a document is related with a party then it will be visible in all the related party roles.  _x000D_
Row level security on documents permissions will be a different subject that will be managed via flags category and topic. _x000D_
_x000D_
 _x000D_
_x000D_
*Functional Requirement* _x000D_
_x000D_
*Core*_x000D_
 - Revenue authority officer can *see* all taxpayer documents , and can *search* for the documents in a specific area in the application, plus when need to search and *upload* an existing as an attachment, e.g. form, case. _x000D_
 - Documents versions are maintained as per DMS functionality. _x000D_
_x000D_
*What is visible:* _x000D_
 - The documents Taxpayer uploads or the documents uploaded by the revenue officer and relevant to party roles revenue authority has access to (that will not be restricted by any row level access based on documents categorization - not a matter of this feature)._x000D_
_x000D_
Document {*}Metadata and Flags{*}:_x000D_
 - Each document is flagged by: _x000D_
 -- File name_x000D_
 -- Uploaded date_x000D_
 -- Uploaded by_x000D_
 - Each document may optionally_x000D_
 -- be related to other records in the system (Form, Case) , entity CL, Entity ID_x000D_
 -- be related to a DMS ID_x000D_
 - Each document is flagged by *optional* fields: _x000D_
 -- Source cl (the global cl to be used)_x000D_
 -- Type [Examples: - (Default),  Disclaimer,  Certificate,   (see in notes below for some examples)   ]_x000D_
 -- Status  [ Examples: Public (default), Obsolete ] _x000D_
 -- Document Category (CL)  [Examples: - (Default),  Taxpayer, External Party,  Authority]  (different than the Attachment Category)_x000D_
 -- -Topic  [Free text]-_x000D_
 -- -Subtopic [Free text]-_x000D_
 -- Document metadata : Created by , Created date, size, file type_x000D_
 -- (by system autogenerated or manually entered) Related party_x000D_
 -- (by system autogenerated or manually entered) Related party role_x000D_
 -- (by system autogenerated) Related user (ISS)_x000D_
 -- (By system autogenerated) related entity (!) More than one entity's record may be related. _x000D_
 - Permissions_x000D_
 -- Policy applied [Free text] (Note: the usability of this field will be discussed in another feature)_x000D_
 -- *Restricted to SS* (default OFF - used in special occasions - It will be considered ONLY if it is set as restricted, and the functionality will be not to be available in SS) _x000D_
_Note: The row level security per operation types is expected to apply additional security based on documents categorization. Not a matter for this feature._ _x000D_
_x000D_
*Navigation*_x000D_
 * _x000D_
 -- User has available a page :  All Documents  , listing all documents user has access. (Similarly admin may see a list of all documents available as per permissions )  (list page) _x000D_
 -- User can see the list of documents per party , in a list under party   (If a document is related with a party then it will be visible in all the related party roles but it is clear that are related to party , and the vise versa ) _x000D_
 -- User can see the list of documents per party role (documents may be linked to party or specific party role records - not a different party role))_x000D_
 -- User can see the list of documents per related entity attachments (e.g. Forms) _x000D_
_x000D_
*Search* / *Filter*_x000D_
 * _x000D_
 -- User may search in the list of documents using preselected filters as per above flags [ Name, Source,  Type, Status, Category, Topic, Subtopic, related item, Uploaded date, Uploaded by, User id)_x000D_
 -- User may see and search by party identifier or party role. When searching by party ALL party role related documents will appear. _x000D_
_x000D_
*Actions*_x000D_
 * _x000D_
 -- Admin can update _x000D_
 --- Source_x000D_
 --- Related entities plus if applicable related party, party role_x000D_
 --- Policy applied [Free text]_x000D_
 -- User can update _x000D_
 --- Status_x000D_
 --- Type_x000D_
 --- Category (CL)_x000D_
 --- -Topic-_x000D_
 --- -Subtopic-_x000D_
 --- Data Area  i.e. User define characteristics available_x000D_
 --- Related entity (Party , party role .. )_x000D_
 --- Comments_x000D_
 -- User can download the document._x000D_
 -- User can access and use the documents in the folder to upload them in other related records (e.g.  forms)_x000D_
_x000D_
Notes: _x000D_
[https://dev-docs.swpd/swpd-doc/docs-solon-tax/solon-tax/2.0.0/sad/partials/document_management_cmis.html] _x000D_
_x000D_
*Documentation*_x000D_
Document all the above adjustments. _x000D_
_x000D_
*Non functional requirements*_x000D_
Performance , Security, Accessibility, Usability  DODs should be fulfilled. _x000D_
_x000D_
!image-2025-10-13-08-55-14-941.png|width=755,height=426!_x000D_
_x000D_
 _x000D_
----_x000D_
!image-2025-10-13-08-50-26-426.png|width=734,height=414!_x000D_
_x000D_
 _x000D_
_x000D_
!image-2025-10-13-10-00-17-919.png|width=466,height=329!_x000D_
_x000D_
!image-2025-10-13-10-21-47-272.png|width=708,height=305!_x000D_
_x000D_
Notes: _x000D_
_x000D_
*Document Types*_x000D_
|*Κωδικός Τύπου Εγγράφου*|*Περιγραφή Τύπου Εγγράφου*|_x000D_
|1|ΠΛΗΡΕΞΟΥΣΙΟ ΕΙΔΙΚΟ|_x000D_
|3|ΔΙΚΑΣΤΙΚΗ ΑΠΟΦΑΣΗ|_x000D_
|2|ΠΛΗΡΕΞΟΥΣΙΟ ΓΕΝΙΚΟ|_x000D_
|4|ΛΗΞΙΑΡΧΙΚΗ ΠΡΑΞΗ ΓΑΜΟΥ|_x000D_
|5|ΔΙΑΖΕΥΚΤΗΡΙΟ|_x000D_
|6|ΛΗΞΙΑΡΧΙΚΗ ΠΡΑΞΗ ΘΑΝΑΤΟΥ|_x000D_
|0|ΑΓΝΩΣΤΟ ΕΙΔΟΣ ΕΓΓΡΑΦΟΥ|_x000D_
|7|ΚΑΤΑΣΤΑΤΙΚΟ|_x000D_
|99|ΜΕΤΑΠΤΩΣΗ|_x000D_
|8|ΔΙΑΘΗΚΗ|_x000D_
|9|ΠΙΣΤΟΠΟΙΗΤΙΚΟ ΕΓΓΥΤΕΡΩΝ ΣΥΓΓΕΝΩΝ|_x000D_
|11|ΛΗΞΙΑΡΧΙΚΗ ΠΡΑΞΗ ΣΥΜΦΩΝΟΥ ΣΥΜΒΙΩΣΗΣ|_x000D_
|12|ΑΠΟΠΟΙΗΣΗ ΚΛΗΡΟΝΟΜΙΑΣ|_x000D_
|13|ΠΙΣΤΟΠΟΙΗΤΙΚΟ ΓΕΝΝΗΣΗΣ|_x000D_
|14|ΥΠΕΥΘΥΝΗ ΔΗΛΩΣΗ|_x000D_
|10|ΠΙΣΤΟΠΟΙΗΤΙΚΟ ΟΙΚΟΓΕΝΕΙΑΚΗΣ ΚΑΤΑΣΤΑΣΗΣ|_x000D_
|15|ΛΗΞΙΑΡΧΙΚΗ ΠΡΑΞΗ ΓΕΝΝΗΣΗΣ|_x000D_
|16|ΕΞΟΥΣΙΟΔΟΤΗΣΗ|_x000D_
|17|ΚΛΗΡΟΝΟΜΗΤΗΡΙΟ|_x000D_
|18|ΔΗΛΩΣΗ ΚΛΗΡΟΝΟΜΙΑΣ|_x000D_
_x000D_
*Status*_x000D_
_x000D_
RESTRICTED_x000D_
_x000D_
AUTHORITY ONLY_x000D_
_x000D_
PUBLIC_x000D_
_x000D_
*Categories* _x000D_
_x000D_
TAXPAYER ORIGIN (taxpayer submitted the document i.e. ΛΗΞΙΑΡΧΙΚΗ ΠΡΑΞΗ ΙΔΡΥΣΗΣ ΕΤΑΙΡΙΑΣ)_x000D_
_x000D_
AUTHORITY ORIGIN (Authority created the document i.e. Βεβαίωση Απόδοσης ΑΦΜ)_x000D_
_x000D_
EXTERNAL PARTY ORIGIN (externally submitted document i.e. ΠΙΣΤΟΠΟΙΗΤΙΚΟ ΟΙΚΟΓΕΝΕΙΑΚΗ ΚΑΤΑΣΤΑΣΗΣ που πάρθηκε κατευθείας από τον Δήμο)_x000D_
 * Type : Disclaimer,  Certificate,  Identification, Will,  Statute, Authorization, Valuation ,  _x000D_
 * Document Category :  Taxpayer Details,  External Party,  Authority Paperwork , Cases Paperwork , Legal Paperwork , Financial Paperwork, Memos, Audit Reports , Licences _x000D_
_x000D_
Topic could be more open and ad a new dimension like what will be used for : _x000D_
Family status certificate_x000D_
Debt recovery Appointment -Authorization_x000D_
Licenses for new Activity _x000D_
Updated Property Valuation for the latest amendments _x000D_
Approval for write off memo_x000D_
Extrajudicial agreement Announcement_x000D_
 </t>
  </si>
  <si>
    <t>If revenue authority officers can effectively search, filter, and update metadata (flags) of documents related to party roles,_x000D_
then they will be able to streamline document review and reuse, leading to increased operational efficiency, reduced duplication, and improved audit traceability.</t>
  </si>
  <si>
    <t>*1. Core*_x000D_
 # Revenue authority officer can *see* all taxpayer documents , and can *search* for the documents in a specific area in the application, plus when need to search and *upload* an existing as an attachment, e.g. form, case. _x000D_
_x000D_
*2. What is visible:*_x000D_
 # The documents Taxpayer uploads or the documents uploaded by the revenue officer and relevant to party roles revenue authority has access to (that will not be restricted by any row level access based on documents categorization - not a matter of this feature)._x000D_
_x000D_
3. Document {*}Metadata and Flags{*}:_x000D_
 # Each document is flagged by: _x000D_
 ## File name_x000D_
 ## Uploaded date_x000D_
 ## Uploaded by_x000D_
 # Each document may optionally_x000D_
 ## be related to other records in the system (Form, Case) , entity CL, Entity ID_x000D_
 ## be related to a DMS ID_x000D_
 # Each document is flagged by *optional* fields: _x000D_
 ## Source cl (the global cl to be used)_x000D_
 ## Type [Examples: - (Default),  Disclaimer,  Certificate,   (see in notes below for some examples)   ]_x000D_
 ## Status  [ Examples: Public (default), Obsolete ] _x000D_
 ## Document Category (CL)  [Examples: - (Default),  Taxpayer, External Party,  Authority]  (different than the Attachment Category)_x000D_
 ## -Topic  [Free text]-_x000D_
 ## -Subtopic [Free text]-_x000D_
 ## Document metadata : Created by , Created date, size, file type_x000D_
 ## (by system autogenerated or manually entered) Related party_x000D_
 ## (by system autogenerated or manually entered) Related party role_x000D_
 ## (by system autogenerated) Related user (ISS)_x000D_
 ## (By system autogenerated) related entities/records_x000D_
_x000D_
4.  *Permissions*_x000D_
 # Policy applied [Free text] (Note: the usability of this field will be discussed in another feature)_x000D_
 # *Restricted to SS* (default OFF - used in special occasions - It will be considered ONLY if it is set as restricted, and the functionality will be not to be available in SS) _x000D_
_Note: The row level security per operation types is expected to apply additional security based on documents categorization. Not a matter for this feature.__x000D_
_x000D_
*5. Navigation*_x000D_
 # User has available a page :  All Documents  , listing all documents user has access. (Similarly admin may see a list of all documents available as per permissions )  (list page) _x000D_
 # User can see the list of documents per party , in a list under party   (If a document is related with a party then it will be visible in all the related party roles but it is clear that are related to party , and the vise versa ) _x000D_
 # User can see the list of documents per party role (documents may be linked to party or specific party role records - not a different party role))_x000D_
 # User can see the list of documents per related entity attachments (e.g. Forms)_x000D_
_x000D_
6. *Search* / *Filter*_x000D_
 # User may search in the list of documents using preselected filters as per above flags [ Name, Source,  Type, Status, Category, Topic, Subtopic, related item, Uploaded date, Uploaded by, User id)_x000D_
 # User may see and search by party identifier or party role. When searching by party ALL party role related documents will appear. _x000D_
_x000D_
*7. Actions*_x000D_
 # Admin can update _x000D_
 # Source_x000D_
 # Related entities plus if applicable related party, party role_x000D_
 # Policy applied [Free text]_x000D_
 # User can update _x000D_
 # Status_x000D_
 # Type_x000D_
 # Category (CL)_x000D_
 # -Topic-_x000D_
 # -Subtopic-_x000D_
 # Related entity -ies  (Party , party role , plus form case or other party child object or contact.. )_x000D_
 # Comments_x000D_
 # User can download the document._x000D_
 # User can access and use the documents in the view to upload them in other related records (e.g.  forms)</t>
  </si>
  <si>
    <t>As a ss user /taxpayer, I need to be able to access, search and update all of the documents I previously uploaded in the system for any usage (e.g. submitted to tax authority) or documents tax authority created for me in my personal view, all together in a location in the application environment in order to property manage all of my documents, search, sort, download, review etc. The documents I am uploading and other documents revenue authority officer uploads will be visible if not flagged otherwise. _x000D_
Additionally in this area :   I want to be able to attach documents in a request (e.g. form) submitted to the tax authority ,  so that I can provide the required information needed for my request.  I can upload and use in a request, or upload in the requested and see them in document management area related to me and the request I made. _x000D_
Similarly I can see all the documents I am permitted to see and related to me. _x000D_
 _x000D_
_x000D_
*Introduction*_x000D_
_x000D_
At that moment system logs all attachments in relevant ms and may be integrated with a DMS (in devs environments there is a connection with Alfresco). _x000D_
_x000D_
It depends on the  [https://jira.intrasoft-intl.com/browse/IRM-28301] where party role view creation is defined and it is related  with [https://jira.intrasoft-intl.com/browse/IRM-28303] where revenue authority can view and update the documents. _x000D_
_x000D_
Be sure that what is the SS and what is the RM applications is clear. _x000D_
Be sure that what is the ss-user and what accounts related as well as user rights is clear. _x000D_
_x000D_
*Functional Requirement* _x000D_
_x000D_
*Core*_x000D_
 - Taxpayer can *see* documents related to their accounts, and they can *search* for their related documents in a specific area in the application, plus they can locate already uploaded documents and use them when need to search and *upload* an existing as an attachment, e.g. form, human task_x000D_
 - Documents versions are maintained as per DMS functionality. _x000D_
_x000D_
*What is visible:* _x000D_
 - The documents Taxpayer uploads or the documents uploaded by the revenue officer and relevant to party roles ss-user have access to, and not restricted to SS should be available. _x000D_
 - If  "Restricted to SS" in a document is checked, then document will be not to be available in SS._x000D_
 - SS user (e.g. accountant)  that can see more than one accounts: *For each party role the views* will be visible. __ _x000D_
_(Account is the related party role with the user ,_ _See also functionality : User Right. A party role relationship between a a self-service user and an account can have rights. These rights characterize what the account owner has authorized the self-service user to do.)__x000D_
 - If a document is related to a party then it will be visible in all the related party roles._x000D_
In case I am an account viewing many party roles, the permission to see all documents should be defined in the system. _x000D_
 - The assumption is that the documents that are visible are documents related to records that are available in SS. (e.g. if Human tasks are not exposed to SS, then it is not expected the relevant documents to be visible). _x000D_
_x000D_
*Navigation*_x000D_
 - User can see the list of documents per party role (documents may be linked to party or specific party role records - not a different party role))_x000D_
 - User can see the list of documents per related entity attachments (e.g. Forms) that are related to specific party role or party (not a different party role) _x000D_
 - The relation column will state that this is related to a party or party role_x000D_
_x000D_
*Actions* _x000D_
 - User can access documents list :"My Documents"_x000D_
 - User may search in the list of documents using preselected filters as per above flags [ Name, Source,  Type, Status, Category, Topic, Subtopic, related item(s), Uploaded date, Uploaded by, user Id, submission date ]_x000D_
 - User can update _x000D_
 ** _x000D_
 --- Status_x000D_
 --- Type_x000D_
 --- Category (CL)_x000D_
 --- Topic_x000D_
 --- Subtopic_x000D_
 --- Comments_x000D_
 - User can download the document (as per existing validation- if available in this stage)_x000D_
 - User can access and use the documents in the view to upload them in other related records (e.g.  forms  party child objects , case, contact)_x000D_
 - In SS not all the entities are available. The documents related for the entities approved to be visible in SS will be visible to Taxpayers. _x000D_
 - Each document is flagged by *optional* fields: _x000D_
 -- Source cl (the global cl to be used)_x000D_
 -- Type [Examples: - (Default),  Disclaimer,  Certificate,   (see in notes below for some examples)   ]_x000D_
 -- Status  [ Examples: Public (default), Obsolete ] _x000D_
 -- Document Category (CL)  [Examples: - (Default),  Taxpayer, External Party,  Authority]  (different than the Attachment Category)_x000D_
 -- Topic  [Free text]_x000D_
 -- Subtopic [Free text]_x000D_
 -- Document metadata : Created by , Created date, size, file type_x000D_
 -- (by system autogenerated or manually entered) Related party_x000D_
 -- (by system autogenerated or manually entered) Related party role_x000D_
 -- (by system autogenerated) Related user (ISS)_x000D_
 -- (By system autogenerated) related entity (!) More than one entity's record may be related. _x000D_
 -- Policy applied [Free text] (Note: the usability of this field will be discussed in another feature)_x000D_
_x000D_
Notes: _x000D_
[https://dev-docs.swpd/swpd-doc/docs-solon-tax/solon-tax/2.0.0/sad/partials/document_entity.html] _x000D_
[https://jira.intrasoft-intl.com/browse/IRM-26708]_x000D_
_x000D_
 _x000D_
_x000D_
 _x000D_
_x000D_
*!image-2025-10-13-08-56-04-231.png|width=778,height=439!*_x000D_
_x000D_
*!image-2025-10-13-09-06-02-314.png|width=340,height=502!*_x000D_
_x000D_
*Documentation*_x000D_
Document all the above adjustments. _x000D_
_x000D_
*Non functional requirements*_x000D_
Performance , Security, Accessibility, Usability  DODs should be fulfilled. </t>
  </si>
  <si>
    <t>As a self-service (SS) user or taxpayer,_x000D_
I need access to all documents I’ve previously uploaded or received from the tax authority—organized in one location within the application environment,_x000D_
so that I can effectively manage, search, review, and reuse documents for future actions, including attaching them to new requests or forms submitted to the tax authority._x000D_
_x000D_
This unified document space enhances user autonomy, reduces duplicate uploads, and ensures that required documents are readily accessible for reuse or reference.</t>
  </si>
  <si>
    <t># SS user that can see more than one accounts: *For each party role the views* will be visible. _x000D_
 # User can view the list of documents per party role_x000D_
 # User can view the list of documents per related entity attachments (e.g. Forms)_x000D_
 # User can access documents list :"My Documents"_x000D_
 # User may search in the list of documents using preselected filters as per below mentioned flags [ Name, Source,  Type, Status, Category, Topic, Subtopic, related item, Uploaded date, Uploaded by)_x000D_
 # Each document is flagged by *optional* fields: _x000D_
 -- Source cl (the global cl to be used)_x000D_
 -- Type [Examples: - (Default),  Disclaimer,  Certificate,   (see in notes below for some examples)   ]_x000D_
 -- Status  [ Examples: Public (default), Obsolete ] _x000D_
 -- Document Category (CL)  [Examples: - (Default),  Taxpayer, External Party,  Authority]  (different than the Attachment Category)_x000D_
 -- Topic  [Free text]_x000D_
 -- Subtopic [Free text]_x000D_
 -- Document metadata : Created by , Created date, size, file type_x000D_
 -- (by system autogenerated or manually entered) Related party_x000D_
 -- (by system autogenerated or manually entered) Related party role_x000D_
 -- (by system autogenerated) Related user (ISS)_x000D_
 -- (By system autogenerated) related entity_x000D_
 -- Policy applied [Free text] (Note: the usability of this field will be discussed in another feature)_x000D_
 # User can update _x000D_
 ## Status_x000D_
 ## Type_x000D_
 ## Category (CL)_x000D_
 ## Topic_x000D_
 ## Subtopic_x000D_
 ## Comments_x000D_
 # User can download the document_x000D_
 # User can use the documents to upload them in other related records (e.g.  forms)</t>
  </si>
  <si>
    <t>As an admin and user, I need documents uploaded or generated  located under specific document views in the system in order to be able to easily access all of the documents available. _x000D_
_x000D_
 _x000D_
_x000D_
*Introduction*_x000D_
_x000D_
The system currently logs all attachments  and contacts,  in the relevant microservices and may be integrated with a Document Management System (DMS).  In development environments, integration with Alfresco is available._x000D_
_x000D_
Assumptions : _x000D_
 - The system is integrated with a DMS server that supports the necessary functions for document access, metadata management, and retrieval._x000D_
 - Autogenerated documents /attachments/contacts, integrated or manually uploaded can be relayed to a party role via related records or defined by user or process.  (see more details in functional requirements). _x000D_
 - Row level security on documents permissions will be a different subject that will be managed via flags category and type. ([https://jira.intrasoft-intl.com/browse/IRM-28522])_x000D_
_x000D_
 _x000D_
_x000D_
Feature will be needed in RM: [https://jira.intrasoft-intl.com/browse/IRM-28303] and SS: [https://jira.intrasoft-intl.com/browse/IRM-28302] _x000D_
_x000D_
Note: View mentioned below concerns/expresses a way to group documents per related records/entities.  _x000D_
_x000D_
 _x000D_
_x000D_
*Functional Requirement* _x000D_
 - Each party has a dedicated personal view (= grouping of records)._x000D_
 -- The system automatically creates this view when a party  is created._x000D_
 -- Files automatically generated by the system and related * to party , are placed under that view . _x000D_
 -- Files uploaded by users (ss or rm) and related* to party  are automatically placed under that view. _x000D_
 -- Files integrated and related* to party are automatically placed under that view. _x000D_
 - Each party role has a dedicated personal view  (= grouping of records)._x000D_
 -- The system automatically creates this view when a  party role is created._x000D_
 -- Files automatically generated by the system and related * to party role, are placed under that view. _x000D_
 -- Files uploaded by users (ss or rm) and related* to party role are automatically placed under that view. _x000D_
 -- Files integrated and related* to party role are automatically placed under that view. _x000D_
 - Permissions (securable objects and row level) _x000D_
 -- SS &amp; RM Users and Admins with access to party or  party role have access to view and to the related documents. (row level)_x000D_
 -- SS &amp; RM Users and Admins can see metadata of the view (creation date, size).   (securable objects) _x000D_
 -- Permission to -Processes and admins- users, that may access and upload documents generated by the system._x000D_
 --- SS users visibility is affected by user rights _x000D_
 --- If  "Restricted to SS" in a document is checked, then document will be not to be available in SS.  (row level additional filter) _x000D_
_Note: The row level security per operation types is expected to apply additional security based on documents categorization. Not a matter for this feature._ _x000D_
 - Apart of the specific restrictions all the documents are common in SS and RM._x000D_
 - Documents versions are maintained as per DMS functionality. _x000D_
 - All users can search ad filter documents as per available flags and details (se also [https://jira.intrasoft-intl.com/browse/IRM-28303] )_x000D_
_x000D_
 _x000D_
_x000D_
 ( *  ) Relation of a document, attachment , contact  to a specific party role may happen: a) because of the direct relation of the record (e.g.  form , case, human task , contact etc), to the party role, b) because manually the user or the process or the integration , defined the related party role for the document. _x000D_
In case of relation of the related record to more that one party roles, the document should be available to both views.  _x000D_
In case of relation of the related record to a party and not to party role,  the document should be available to both views._x000D_
_x000D_
!image-2025-10-13-09-19-20-232.png|width=584,height=442!_x000D_
_x000D_
!image-2025-10-13-10-23-07-054.png|width=605,height=261!_x000D_
_x000D_
 _x000D_
_x000D_
 _x000D_
_x000D_
 _x000D_
_x000D_
 _x000D_
_x000D_
Notes: _x000D_
Migration should be performed to the existing dev/test environments optionally, and relevant instructions should be suggested to the existing implementations. _x000D_
_x000D_
 _x000D_
_x000D_
 _x000D_
_x000D_
 _x000D_
_x000D_
 _x000D_
_x000D_
!image-2025-10-13-08-49-16-624.png|width=1018,height=574!_x000D_
_x000D_
*!image-2025-10-13-09-22-55-479.png|width=373,height=360!*_x000D_
*Documentation*_x000D_
Document all the above adjustments. _x000D_
_x000D_
*Non functional requirements*_x000D_
Performance , Security, Accessibility, Usability  DODs should be fulfilled. </t>
  </si>
  <si>
    <t># The system automatically creates this view when a party role is created._x000D_
 # Files automatically generated by the system and related to party role, are placed under that view._x000D_
 # Files uploaded by users (ss or rm) and related to party role are automatically placed under that view. _x000D_
 # Files integrated and related to party role are automatically placed under that view. _x000D_
 # SS &amp; RM Users and Admins with access to party role have access to view and related documents._x000D_
 # SS &amp; RM Users and Admins can see metadata of the views (creation date, size). _x000D_
 # Processes and admins with permissions may access views to upload documents generated by the system _x000D_
 # SS users visibility is affected by user rights_x000D_
 # If  "Restricted to SS" in a document is checked, then document will be not to be available in SS._x000D_
 # Apart of the exceptions, documents are common in SS and RM._x000D_
 # Documents versions are maintained as per DMS functionality. _x000D_
 # All users can search and filter documents as per available flags and details</t>
  </si>
  <si>
    <t>UI Configuration Enhancements (2026)</t>
  </si>
  <si>
    <t>As a user I need when a codelist is mandatory and only one item is available and no default value , system to autofill the existing value. _x000D_
_x000D_
As a user I need when 2 codelist  1 (parent) , 2 (child) via codelist items are related (e.g.   codelist 1, A item  -as parent - ,  when selected,  result to codelist 2,  B item - as child  ) and user selects parent value A when for B only the value B is available , the value b to be auto selected and prefilled. _x000D_
_x000D_
As a configurator I need to be able to set in the codelists an optional to be used  attribute , that may instruct  the prefill  of codelist item value in this codelists, if one value is available based on filters._x000D_
_x000D_
*Functional requirements*_x000D_
_x000D_
Configurator may set in codelist fields an optionally used attribute/metadato , e.g. "AutofillIfUnique"_x000D_
which attribute will enable in UI the autofill of value in codelist, when only one  codelist item value is available based on filters and related codelist items._x000D_
 * Examples/ Cases : _x000D_
 ** +Mandatory items case+_x000D_
In a Mandatory Codelist "C3"  , Non default value is defined _x000D_
The only available value is the "C Value" _x000D_
When use this field in forms, autoselect and prefil "C Value". _x000D_
 ** +Related codelist items case+_x000D_
Codelist "C1 parent"  ,  Values A1, A2 _x000D_
Codelist "C2 child"  ,  Values B1, B2 , B3_x000D_
Relations : _x000D_
C1 parent  -&gt; A1 with  C2 child -&gt; B2 (ONLY) _x000D_
user selects A1 _x000D_
Autoselect and prefil B2  value in C2 _x000D_
_x000D_
 _x000D_
_x000D_
*Documentation*_x000D_
Document all the above adjustments. _x000D_
_x000D_
 _x000D_
_x000D_
*Non functional requirements*_x000D_
It is expected to reassure that relevant NFRs (Performance , Security, Accessibility, Usability ) are tested and are not negatively affecting the product.  _x000D_
DODs should be fulfilled. </t>
  </si>
  <si>
    <t>As a configurator I need to be able to add fields  in forms that change text to capitals and store then in db string in capitals_x000D_
_x000D_
 _x000D_
_x000D_
*Functional requirements*_x000D_
_x000D_
Widget/component to  used in forms' fields when needed to  automatically convert what is typed by used  to capitals letters. _x000D_
Example: _x000D_
_x000D_
typing :  tEst_x000D_
_x000D_
displaying:  TEST_x000D_
_x000D_
Saving : TEST</t>
  </si>
  <si>
    <t>Widget/component to  used in forms' fields when needed to  automatically convert what is typed by used  to capitals letters. </t>
  </si>
  <si>
    <t>As a configurator, I can define in UI schemas whether to highlight required or optional fields in Solon Tax Revenue Management, so that I can provide flexibility to projects to use as needed._x000D_
_x000D_
*Introduction*_x000D_
_x000D_
This feature is the result of a request from LT Project, however similar request exists from GR project since Tax officers currently can see highlighted required fields.  _x000D_
_x000D_
*Functional Requirements*_x000D_
Enhance the UI configuration to support a visual indicator for specific fields. Example use case:_x000D_
 * Configurator may set the required items to be displayed with {color:#ff0000}*{color} ({color:#ff0000}red asterisk{color})._x000D_
 * Optional items displayed in normal text. No (Optional) label needed next to each field. _x000D_
 * Styling approach could be configurable to support different use cases (e.g., icons, color)._x000D_
 * This change should be generic so it can be reused across forms and modules. _x000D_
 * Existing functionality should be maintained as an option for *projects .* I.e., highlight Optional with text next to the fields. _x000D_
_x000D_
_x000D_
_x000D_
_x000D_
_x000D_
*Notes:* _x000D_
Requirement from AADE_x000D_
 * Σε όλες τις φόρμες συμπλήρωσης, θα πρέπει να επισημαίνονται με σαφή και διακριτό τρόπο (π.χ. μέσω χρωματικής διαφοροποίησης ή έντονου πλαισίου/bold) τα πεδία που είναι υποχρεωτικά προς συμπλήρωση. Ο διαχωρισμός των υποχρεωτικών από τα προαιρετικά πεδία δεν θα πρέπει να γίνεται με λεκτική περιγραφή.</t>
  </si>
  <si>
    <t>UX Enhancement for required fields </t>
  </si>
  <si>
    <t>&gt; Required items are visually distinguished from optional ones (example: ({color:#ff0000}*Red{color}) for {color:#FF0000}required{color}, normal text for optional)._x000D_
_x000D_
&gt; Visual styling is consistent across all modules using the dropdown widget._x000D_
_x000D_
&gt; The change is implemented in a configurable way, allowing an implementation to select *either* to highlight optional fields *or* highlight required fields (Not both). ie keep existing functionality.  </t>
  </si>
  <si>
    <t>We would like as a user to click on a card's button to open a modal._x000D_
From this modal, as we will fill specific input fields and clicking on a corresponding "CONFIRM" button (and modal closes), the values of these filled inputs needs to be displayed on specific fields on the card.</t>
  </si>
  <si>
    <t>Values from a modal input fields correctly rendered on equivalent card's fields.</t>
  </si>
  <si>
    <t>When using CustomObjectField, we want the UI to display the description of the object rather than the internal code, based on the backend response and the configuration attributes available._x000D_
_x000D_
Currently, we have set isFlat = true in order to display the object data correctly. However, this configuration seems to interfere with how the label is rendered — instead of showing the user-friendly description, it displays the raw code. This is not the expected behavior and leads to a poor user experience.</t>
  </si>
  <si>
    <t>When CustomObjectField is configured with isFlat = true and entityFields includes description, the UI must render the description for the selected value._x000D_
_x000D_
The code value is used only internally or for submission, but never shown in the visible label when description is specified._x000D_
_x000D_
Behavior must remain consistent across create, edit, and view modes._x000D_
_x000D_
Must support rollback without data loss or schema modification._x000D_
_x000D_
Must be compatible with existing back-end responses (no schema change required)._x000D_
_x000D_
Should not affect unrelated forms or widgets.</t>
  </si>
  <si>
    <t>*RM Home page  {color:#c1c7d0}_- not discussed with customers:_{color}* _x000D_
Home page may be customizable by user (or per groups) . Several widgets may be available and can be docked in the page as per user preferences. _x000D_
The home page acts as a central command center, letting a tax officer or user quickly see tasks, deadlines, notifications, and insights without navigating through multiple screens._x000D_
_x000D_
_Examples of widgets:_ _x000D_
 * _My Calendar, My team calendar, My Pending tasks, Overdue tasks,_ _Unassigned tasks, &lt;status&gt; tasks__x000D_
 * _Summary of pending approvals, or submissions.__x000D_
 * _Quick Search in Registry  (TBC due to complexity)_ _x000D_
 * _Quick search taxpayers__x000D_
 * _Create shortcuts / Quick links to usually used tabs/records/other links  (other apps, to taxpayers, cases, documents, easily access payplans, or form list page with predefine filter etc)_ _x000D_
 * _Notifications / Alerts /   (deadlines, system messages, process completions/errors... )__x000D_
_x000D_
 _x000D_
_x000D_
Complex in BE or not ready in BE or by examples _x000D_
 * _My Recent Items (Accessed records)_ _x000D_
 * _Announcements from the company (TBD) or Integration with other internal used messaging systems__x000D_
_x000D_
 * _Other  Dashboards and KPIs /reports and quick metrics  (e.g. Team allocation for managers,  returned payouts , collection rates, or workload by officer , new registration forms, total taxpayers managed, open cases, or recent filings.  )_ _x000D_
_x000D_
Prerequisites :_x000D_
I can see my calendar or my team calendar, quick search available , recent records accessed </t>
  </si>
  <si>
    <t>Traceability Enhancements (2026)</t>
  </si>
  <si>
    <t>Leftover from [https://jira.intrasoft-intl.com/browse/IRM-29504] _x000D_
_x000D_
In some situations (no parent child relationship) , the audit log entries don’t include the information needed to display them in a single, unified list under the parent item or under each related entity._x000D_
Example: _x000D_
In practice, this means that a codelist can have multiple versions, and each codelist item can also have multiple versions. However, the audit log records for a codelist item are not grouped under one codelist version (or live record). Instead, they are distributed across the various versions, depending on when (version of codelist)  each event was logged._x000D_
_x000D_
In scope: _x000D_
_x000D_
Codelists_x000D_
_x000D_
 _x000D_
_x000D_
*Functional Requirements*_x000D_
1) I can display all Audit log of the related items under the live record of parent items for the areas: _x000D_
 * Reference data (under Codelists)  i.e. Codelists, Codelist items, attributes_x000D_
_x000D_
2) I can see the history under codelist for all codelist related changes as well as all codelists items related changes. _x000D_
_x000D_
 _x000D_
_x000D_
*Documentation*_x000D_
Document all the above adjustments. _x000D_
_x000D_
 _x000D_
_x000D_
*Non functional requirements*_x000D_
Performance , Security, Accessibility, DODs should be fulfilled. </t>
  </si>
  <si>
    <t>1) I can display all Audit log of  Codelists, Codelist items, attributes_x000D_
_x000D_
2) I can see in UI the history under codelist for all codelist related changes as well as all codelists items related changes. </t>
  </si>
  <si>
    <t>Leftover from [https://jira.intrasoft-intl.com/browse/IRM-29504] _x000D_
_x000D_
In some situations (no parent child relationship) , the audit log entries don’t include the information needed to display them in a single, unified list under the parent item or under each related entity._x000D_
_x000D_
In scope: _x000D_
*registration MS*_x000D_
_x000D_
    c_resource_calendar_related_exception_calendar_x000D_
_x000D_
 _x000D_
_x000D_
*Functional Requirements*_x000D_
1) I can display Audit logs  for Resource Calendars (Time offs, assigned calendars, , caledars details , Calendar exceptions)_x000D_
_x000D_
2) I can see in the UI the related details._x000D_
_x000D_
_x000D_
_x000D_
*Documentation*_x000D_
Document all the above adjustments. _x000D_
_x000D_
 _x000D_
_x000D_
*Non functional requirements*_x000D_
Performance , Security, Accessibility, DODs should be fulfilled. </t>
  </si>
  <si>
    <t>1) I can display Audit logs  for Resource Calendars (Time offs, assigned calendars, , caledars details , Calendar exceptions)_x000D_
_x000D_
2) I can see in the UI the related details.</t>
  </si>
  <si>
    <t>Leftover from [https://jira.intrasoft-intl.com/browse/IRM-29504] _x000D_
_x000D_
In some situations (no parent child relationship) , the audit log entries don’t include the information needed to display them in a single, unified list under the parent item or under each related entity._x000D_
Example: _x000D_
In practice, this means that a codelist can have multiple versions, and each codelist item can also have multiple versions. However, the audit log records for a codelist item are not grouped under one codelist version (or live record). Instead, they are distributed across the various versions, depending on when (version of codelist)  each event was logged._x000D_
_x000D_
This affects the following: _x000D_
_x000D_
*authorization-management MS*_x000D_
    c_object_access_group_included_entity_x000D_
    c_role_securable_object _x000D_
    c_role_user _x000D_
    c_skill_user_x000D_
    c_user_access_group_user  _x000D_
_x000D_
 _x000D_
_x000D_
*Functional Requirements*_x000D_
1) I can display all Audit log of the related items under the live record of parent items for the areas: _x000D_
 * Authorization management    (Under securable objects)_x000D_
_x000D_
2) I can see in the UI the related details_x000D_
_x000D_
_x000D_
_x000D_
*Documentation*_x000D_
Document all the above adjustments. _x000D_
_x000D_
 _x000D_
_x000D_
*Non functional requirements*_x000D_
Performance , Security, Accessibility, DODs should be fulfilled. </t>
  </si>
  <si>
    <t>1) I can display all Audit log of the related items under the live record of parent items for the areas: _x000D_
 * Authorization management objects _x000D_
_x000D_
2) I can see in the UI the related details</t>
  </si>
  <si>
    <t>*Problem Statement*_x000D_
_x000D_
The current observability solution for SolonTax has several significant limitations:_x000D_
 * *Intrusive Instrumentation:* Backend microservices require a built-in {{elastic-apm}} Java dependency, which tightly couples the application code to a specific monitoring tool._x000D_
 * *Incomplete Coverage:* The existing setup provides no mechanism to instrument and gather telemetry from critical auxiliary components like Kafka or Keycloak, creating visibility gaps in the system._x000D_
 * *Inflexible Architecture:* The system is hard-wired to use Elasticsearch as the sole destination for telemetry data (logs, traces, metrics). This prevents integration with other modern observability platforms or routing data to different sinks based on need._x000D_
_x000D_
The current approach is not aligned with modern best practices, where OpenTelemetry has emerged as the industry standard for vendor-neutral telemetry collection._x000D_
_x000D_
*Proposed Solution*_x000D_
_x000D_
This feature will modernize the SolonTax observability stack by adopting OpenTelemetry as the new standard. This will be achieved by leveraging the OpenTelemetry Operator for Kubernetes to enable non-intrusive, comprehensive data collection._x000D_
_x000D_
The key changes include:_x000D_
 # *Introduce OpenTelemetry Components:* The OpenTelemetry Operator (providing the necessary CRDs) and the OpenTelemetry Collector will be added as standard components to a vanilla SolonTax installation._x000D_
 # *Enable Non-Intrusive Instrumentation:* The existing {{elastic-apm}} dependency usage will be deprecated. Instead, instrumentation will be applied automatically at runtime using the OpenTelemetry {{Instrumentation}} Custom Resource Definition (CRD), which injects the agent without requiring code changes._x000D_
 # *Centralize Telemetry Collection:* The OpenTelemetry Collector will be configured as the central hub for all telemetry data. It will receive logs, metrics, and traces from SolonTax services and will be architected to support receiving data from auxiliary components in the future. It will then process and forward this data to the appropriate backend, such as Elasticsearch._x000D_
_x000D_
This aligns with the findings of the proof-of-concept from {*}IRM-20971{*}, which validated the feasibility of this approach._x000D_
_x000D_
*Acceptance Criteria*_x000D_
 # *OTel Operator and Collector Installation:* The OpenTelemetry Operator and a default OpenTelemetry Collector instance are successfully deployed as part of the standard SolonTax installation process._x000D_
 # *Default Auto-Instrumentation:* The SolonTax and Auxilliary components are automatically instrumented via the OpenTelemetry {{Instrumentation}} CRD by default in a new installation._x000D_
 # *APM Dependency Deprecation:* The {{elastic-apm}} JAR dependency is flagged as deprecated ._x000D_
 # *End-to-End Telemetry Flow:* Traces, metrics, and logs generated by the SolonTax services are successfully collected by the OpenTelemetry Collector and correctly forwarded to and indexed in the configured Elasticsearch backend._x000D_
 # *Architectural Adherence:* The observability topology is updated to reflect OpenTelemetry best practices, with the Collector serving as the primary entry point for all telemetry data._x000D_
_x000D_
*Out of Scope*_x000D_
 * The configuration of telemetry sinks other than Elasticsearch is not included in this scope. The primary goal is to replace the collection mechanism while maintaining the existing data backend.</t>
  </si>
  <si>
    <t>As per description.</t>
  </si>
  <si>
    <t>As a revenue authority, I need to be able to support Registration updates process in a way that full traceability is supported and audit readiness from the request to system updates, to do so, need to log records with the declaration ID of the change. _x000D_
_x000D_
*Introduction* _x000D_
_x000D_
*Registry Declaration forms* (like taxpayer filings or change requests) often serve as the legal trigger to update registry data (e.g., taxpayer details, business activities, addresses, exemptions, etc.)._x000D_
(Example in AADE: GEMI declarations to start and end a Boarding member from an SA. In this case each adjustment received from GEMI may have start and end date regarding the relationship, but also the date that was registered this adjustment in GEMI) ._x000D_
_x000D_
*Entity*    :  Root / Party  _x000D_
*Record*  : Child Party or Party Role Or Party Role Child record_x000D_
*Assumptions :* _x000D_
All registry updates will happen via a linked declaration record. _x000D_
Forms process may need to rollback and the assumption is that the context record should be rolled back as well._x000D_
_x000D_
Depends on [https://jira.intrasoft-intl.com/browse/IRM-31733] _x000D_
----_x000D_
 _x000D_
_x000D_
*Functional Requirements*_x000D_
_x000D_
*Context records* _x000D_
 * Solon will give the ability to *keep*  the relationship of changes to declaration record  (form vs change - see also the new solution schema) as said above. i.e.,  *Relate Registry* changed records (Party + child records, Party Role + Child Records)_x000D_
*with the Declaration* records that trigger the change (e.g. a Change registry record request Form) capturing details needed from declaration record. _x000D_
Note that for registry the update happens in child record or parent record level. (Party, Child Party , Party Role , Party Role Child record)  _x000D_
One declaration record may trigger several changes (one new record of child object , updates to several child objects, etc)._x000D_
Suggestion : Context record will be generated with a unique ID that may be the same as the form id, that will be related to user, create/update registry transaction of cdc, Data Area (as described below) field to capture additional details. _x000D_
 * Users will be  able to *search* for registry records based on these relations (e.g. search for all changes sourced by a form , search for the form result on a change).  _x000D_
 * Admin is able to report all context records as per transaction record, declaration id, registry record id, and other registry record criteria.  _x000D_
_x000D_
*Extensibility* _x000D_
 * Allow customer to keep *additional details* in this log (data area will be available in context table to be able to log details from the declaration records)_x000D_
         Data Area availability for Implementation teams to add details they need to log in the context table. _x000D_
         _Note: The below details are expected to be defined/captured by delivery teams/customers using where needed the available Data Area:_ _x000D_
_x000D_
 * _x000D_
 ** _x000D_
 *** _Source system timestamp of change (Expected to be declared by user in ui or via the declaration record. The Audit log and timestamps will keep the time of change in Solon system  Also see IRM-31583 , [https://jira.intrasoft-intl.com/browse/IRM-30498] )_ _x000D_
 *** _Details on the reason of the change (Expected to be declared by user in ui or via the declaration record)__x000D_
 *** _Details on the Origin__x000D_
 *** _The status of the declaration record__x000D_
_x000D_
 * The solution will provide flexibility to be used by custom implementations of delivery teams. _x000D_
_x000D_
 _x000D_
_x000D_
*UI*_x000D_
 * User is able to see the related declarations (e.g. forms) under the party and party role. _x000D_
 * -User is able to search for Parties and party roles the records that are have at least one modification based on a declaration/form ID.-  _x000D_
_x000D_
 _x000D_
_x000D_
*Considerations:*_x000D_
Same design may be used for other microservices as well - Implementation for these will be depicted in other features.  _x000D_
_x000D_
*Documentation*_x000D_
Document all the above adjustments. _x000D_
_x000D_
 _x000D_
_x000D_
*Non functional requirements*_x000D_
Performance , Security, Accessibility, Usability  DODs should be fulfilled. _x000D_
_x000D_
 _x000D_
----_x000D_
+Details on the discussed solution+_x000D_
||Data Model||Details||_x000D_
|!image-2025-11-23-17-38-42-277.png!|*A)*_x000D_
*Table : Change context* _x000D_
Keep information of the Change requested and timestamp_x000D_
*Relate Registry and Reference Data tables*_x000D_
Keep context ID to each related parent and child tables. _x000D_
One record may be related to MORE than one Context ID. _x000D_
 _x000D_
 _x000D_
*B) Create Context record*_x000D_
     1. Created by migration and Integrations when a record in Registry or Reference data needs to be created or changed. _x000D_
     2. Create automatically by system processes_x000D_
*C)* Context ID is logged in Audit log records|_x000D_
_x000D_
 _x000D_
_x000D_
 </t>
  </si>
  <si>
    <t>*A. Relate Change with source declaration of change*_x000D_
 # *Relate Registry* changed records (Party + child records, Party Role + Child Records)_x000D_
*with the Declaration* item that trigger the change (e.g. a Change registry record request Form) capturing details needed from declaration record._x000D_
One declaration record may trigger several changes (one new one update several child objects)_x000D_
_x000D_
*B. Extensibility*_x000D_
 # Allow customer to keep additional details in this log (data area will be available in context table to be able to log details from the declaration records)_x000D_
 # Allow customer to apply the solution to their custom registry objects. </t>
  </si>
  <si>
    <t>Solon Tax needs to provide additional logging capabilities covering the following areas:_x000D_
_x000D_
 _x000D_
_x000D_
DB queries:_x000D_
 * Log prepared statements before execution_x000D_
 * Log row query result (only in debug mode)_x000D_
_x000D_
Business logic_x000D_
 * Create aspect for logging Service layer execution._x000D_
_x000D_
Masked data:_x000D_
 *  Evaluate and apply if feasible a configurable log sanitizer that can sanitize log (e.g. mask sensitive data) by a configurable list, similar to  [https://www.elastic.co/docs/reference/apm/agents/java/config-core#:~:text=ELASTIC_APM_LONG_FIELD_MAX_LENGTH-,sanitize_field_names%20(security),www%2Dform%2Durlencoded%20data]._x000D_
_x000D_
 </t>
  </si>
  <si>
    <t>Solon Tax should have the configurabity for very granular application logs for debugging purposes.</t>
  </si>
  <si>
    <t>AC1: Items in description are met.</t>
  </si>
  <si>
    <t>As an IRM Admin I should be able to support audit trail functionality on the Statute of Limitation period in IRM defined in IRM, so that a revenue authority can comply with  requirement established by law. 
*Introduction* 
As a result of the feature IRM-746 for the support of statute of limitation date, audit trail functionality of this date is essential for a revenue authority to be able to comply with legal requirements. 
*Functional Requirements*
The admin should be able to identify on which events an instance of statute of limitation date was altered, and whether this was done via an automatic process or manual (by which user). The aim is to be able to provide details of the modifications on a statute of limitation date. </t>
  </si>
  <si>
    <t>Support Audit Trail for Statute of Limitation Date in IRM</t>
  </si>
  <si>
    <t>Case Management Enhancements (2026)</t>
  </si>
  <si>
    <t>* Improve *integration* with Lumenus BRA / Contractual_x000D_
   Candidate list to generate cases flow (batch) _x000D_
   SSO, traceability of source steps and criteria/valuation _x000D_
 * Establish  *integration* with Lumenus Audit Support  (?) / Contractual_x000D_
   Audit cases integrated with Audit cases in Lumenus and sync statuses</t>
  </si>
  <si>
    <t>As an admin, I want to use the case worker’s availability as a criterion in a case worker’s profile. So that only case workers that have a certain availability can be assigned to cases for which this case worker’s profile is applicable.
*Introduction*
This feature extends IRM-702 in which requirements have been documented to define what case worker’s profiles are required to perform a certain type of case.
*Functional Requirements*
 * Admin can use the following matching criteria when defining profiles for the most suitable case workers for a specific type of case:
 ** Average Allocation: can be calculated by dividing the sum of the allocated effort of a worker within a given period (from the start date up until the end date of a case) by the sum of the available man-hours in that same period based on the resource calendars that are effective for the case worker in that period. Admin can for example define that the average allocation should be equal to or less than 0.8.
 ** Available man-hours: can be calculated by subtracting the sum of the allocated effort of a case worker within a given period (from the start date up until the end date of a case) from the sum of the available man-hours in that same period based on the resource calendars that are effective for the case worker in that period. Admin can for example define that a worker should at least have 8 hours unallocated man-hours within a period.</t>
  </si>
  <si>
    <t>See functional and non-functional requirements</t>
  </si>
  <si>
    <t>As a revenue official, I want to assign case workers (user) that have a required profile (e.g. skills, experience and part of a certain organizational unit) to a case while also considering the availability of the suitable candidates, so that a capable worker (user) with sufficient availability can work on and complete the case. Also, I want to see how much effort is involved for each assigned case worker and for the case in total.
*Introduction*
This feature extends IRM-680 in which requirements have been documented to assign and unassign a worker to/from a case. IRM-680 includes a requirement that the user can specify the expected allocation of a case worker for a case.
This feature is related to IRM-12459 in which requirements have been documented to assign and unassign one or more resource calendars to a worker.
*Functional Requirements*
 * Eligible Workers
 ** User can see the average allocation from the case start date up until the case end date for each case worker that meets any of the worker’s profiles for the case. Average allocation can be calculated by dividing the sum of the allocated effort of a case worker from the start date up until the end date of a case by the sum of the available man-hours in that same period based on the resource calendars that are effective for the case worker in that period
 ** User can see the availability in man-hours from the case start date up until the case end date for each case worker that meets any of the case worker’s profiles for the case. Available man-hours can be calculated by subtracting the sum of the allocated effort for a case worker from the start date up until the end date of a case from the sum of the available man-hours in that same period based on the resource calendars that are effective for the case worker in that period.
 * Worker’s Assignment
 ** User can see what effort has been calculated based on the provided expected allocation for the case worker’s assignment and the resource calendar(s) that are effective for this worker from the case start date up until the case end date. Effort can only be calculated if (1) a start date and end date have been defined for the related case, and (2) an expected allocation has been provided. Period(s) within the start and end date of the case for which no effective resource calendar has been defined for the case worker are considered non-working periods. Assumption is that the effort will be recalculated if (1) the case start or end date are updated, (2) the expected allocation for that case worker for that case is updated, and/or (3) a resource calendar of an assigned case worker that falls within the period in which the case has been scheduled, is updated.
 * User can see the total calculated effort for the case. Total effort is equal to the sum of the effort that was calculated for each case worker that was assigned to the case.</t>
  </si>
  <si>
    <t>Registration Enhancements (2026)</t>
  </si>
  <si>
    <t>A)  *New Fields* _x000D_
 # For all the above mentioned Party child objects, add Optional fields _x000D_
Valid State? , Boolean _x000D_
State Reason, Free text _x000D_
 # Make fields searchable_x000D_
 # Make fields visible in the UI_x000D_
 # Make fields updatable as/where the Valid from /to fields are_x000D_
 # Move the information to relevant Party role sections (as Valid from/to) _x000D_
 # Default value of valid_state = true (e.g. when creating a record)_x000D_
 # All existing records are migrated with valid_state = true_x000D_
 # Define if a record type should be checked for uniqueness or not _x000D_
Field: Check if unique?  /Boolean_x000D_
 # All existing records are migrated with valid_state = true_x000D_
_x000D_
 _x000D_
_x000D_
B) *Uniqueness Rules*_x000D_
 # Then only records with valid state = true participate in uniqueness checks.  Records with valid state = false are ignored._x000D_
 # If two records of the same type,  and both have Valid state = true, when their validity periods overlap, the system rejects the change due to overlapping validity periods._x000D_
 #  Record start date = end date is not considered overlap as explained in functional requirements. On date X, the valid record is the record with start date X._x000D_
 # If stat date= end date , record considers valid if valid state is true._x000D_
 # Only one primary valid state = true  record can exist per date (same rules with same date as above)_x000D_
_x000D_
C) *UI* _x000D_
 # The history records are sorted by start date_x000D_
 #  If valid state = false , state reason must be populated</t>
  </si>
  <si>
    <t>As a revenue officer I need to describe with more details revenue type and related tax as to be able to use this categorization in decisions in flows and journal entries creation in system. _x000D_
_x000D_
*Functional Requirements*_x000D_
_x000D_
*A)* New OPTIONAL fields in Revenue Type:  _x000D_
 * Checkbox: Actively used_x000D_
Default value = Checked_x000D_
 * New cl field  : *Revenue Domain*_x000D_
 ** Demo values: _x000D_
VAT _x000D_
Income _x000D_
Direct Taxes_x000D_
Indirect Taxes_x000D_
Withholding_x000D_
Fees_x000D_
Non-tax revenues_x000D_
List_x000D_
Other_x000D_
 ** Examples: All Rts check by default_x000D_
Mark demo values accordinly_x000D_
 _x000D_
 * New cl field  : *Declaration Mechanism*_x000D_
 ** Demo values:_x000D_
Fee_x000D_
Certification_x000D_
Personal Income tax_x000D_
Company Income Tax_x000D_
Other_x000D_
 ** Examples: _x000D_
mark demo values accrondinly_x000D_
_x000D_
 * Enable {*}Data Area{*}/ User details characteristics_x000D_
 ** Example:  Comments field_x000D_
_x000D_
*B)* User can search Revenue types using (BE &amp; UI) :_x000D_
 * Revenue type: Actively used_x000D_
 * Revenue type: Revenue Category_x000D_
 * Revenue type: Revenue Type class_x000D_
 * Revenue type: Priority_x000D_
 * Revenue type: Revenue Domain  (new field)_x000D_
 * Revenue type: Declaration Mechanism  (new field)_x000D_
 * Search by relevant calendars_x000D_
 * Claimants related (at least one claimant is related) _x000D_
_x000D_
_x000D_
_x000D_
*C)*  Admin/process can get the following info when creating , reading a financial transaction :_x000D_
 * Revenue type: Revenue Category_x000D_
 * Revenue type: Revenue Type class_x000D_
 * Revenue type: Revenue Domain_x000D_
 * Revenue type: Declaration Mechanism_x000D_
 * Revenue type: Revenue Type Registration Data Area_x000D_
 * Revenue type: Bill segment Data Area_x000D_
_x000D_
No need to see details in Ui, but in BE processes. The goal is to be able to retrieve this info when drools for GL decision table are generated. _x000D_
_x000D_
*Documentation*_x000D_
Document all the above adjustments. _x000D_
_x000D_
 _x000D_
_x000D_
*Non functional requirements*_x000D_
It is expected team to get aligned with respective teams and reassure that is not creating issues or the related NFRs will be tested :_x000D_
Performance , Security, Accessibility, Usability _x000D_
DODs should be fulfilled.</t>
  </si>
  <si>
    <t>More details will support customers to segment revenue types and use these details in flows and gl decision table if needed.  </t>
  </si>
  <si>
    <t>*A)* New OPTIONAL fields in Revenue Type:  _x000D_
 * Checkbox: Actively used_x000D_
Default value = Checked_x000D_
 * New cl field  : *Revenue Domain*_x000D_
 ** Demo values: _x000D_
VAT_x000D_
Income_x000D_
Direct Taxes_x000D_
Indirect Taxes_x000D_
Withholding_x000D_
Fees_x000D_
Non-tax revenues_x000D_
List_x000D_
Other_x000D_
 ** Examples: All Rts check by default_x000D_
Mark demo values accordinly_x000D_
 _x000D_
 * New cl field  : *Declaration Mechanism*_x000D_
 ** Demo values:_x000D_
Fee_x000D_
Certification_x000D_
Personal Income tax_x000D_
Company Income Tax_x000D_
Other_x000D_
 ** Examples: _x000D_
mark demo values accrondinly_x000D_
_x000D_
 * Enable {*}Data Area{*}/ User details characteristics_x000D_
 ** Example:  Comments field_x000D_
_x000D_
*B) (RTs search)*  User can search Revenue types using (BE &amp; UI) :_x000D_
 * Revenue type: Actively used_x000D_
 * Revenue type: Revenue Category_x000D_
 * Revenue type: Revenue Type class_x000D_
 * Revenue type: Priority_x000D_
 * Revenue type: Revenue Domain  (new field)_x000D_
 * Revenue type: Declaration Mechanism  (new field)_x000D_
 * Search by relevant calendars_x000D_
 * Claimants related (at least one claimant is related) _x000D_
_x000D_
_x000D_
_x000D_
*C)*  *(FTs search)* Admin/process can get the following info when creating , reading a financial transaction :_x000D_
 * Revenue type: Revenue Category_x000D_
 * Revenue type: Revenue Type class_x000D_
 * Revenue type: Revenue Domain_x000D_
 * Revenue type: Declaration Mechanism_x000D_
 * Revenue type: Revenue Type Registration Data Area_x000D_
 * Revenue type: Bill segment Data Area_x000D_
_x000D_
No need to see details in Ui, but in BE processes. The goal is to be able to retrieve this info when drools for GL decision table are generated. </t>
  </si>
  <si>
    <t>If revenue officials can view a graphical representation (tree structure) of organizational units they will better understand structural relationships, reporting lines, and operational responsibilities, which will improve navigation efficiency, reduce misrouting  and enhance experience. </t>
  </si>
  <si>
    <t>As an admin/user I need to be able to set an hierarchy relation between parties (as it is now available in Organizational Units) in order to be able to gather several parties under one parent party._x000D_
_x000D_
*Functional Requirements*_x000D_
 - Admin may optionally assign a Parent Party to a Party._x000D_
(Enable the usage of Parent party for taxpayers, similarly as now available for Organizational units) _x000D_
 -- A party may be related to one parent party._x000D_
 -- A party may have several child parties._x000D_
 -- Circular hierarchies must be prevented (A&gt;B&gt;A)_x000D_
 -- Multi-level hierarchies are supported (Parent &gt;Child &gt; Grandchild)_x000D_
 -- No limit on the depth_x000D_
 -- Existing Parties without a Parent remain unchanged_x000D_
 - Search_x000D_
 -- Users may search for parties based on parent party 1st hierarchy (Parent -Child)_x000D_
 -- Users may search for parties based on parent party in any hierarchy  (Parent &gt;Child &gt; Grandchild&gt; ... )_x000D_
 -- Users may search for party roles based on relevant party's parent party._x000D_
 - UI (more ui enchancements in [https://jira.intrasoft-intl.com/browse/IRM-11539]) _x000D_
 -- -On the Party Details page, users may view:-_x000D_
 --- -The assigned Parent Party (if any)-_x000D_
 --- -A list of Child Parties :  IL, stage- _x000D_
 --- -Navigate from Child&gt;Parent and Parent&gt; Child &gt;child ...- _x000D_
 -- -In list page I can optionally see the column of parent party-_x000D_
 - Deleting a Parent Party:_x000D_
 -- Must be blocked if Child Parties exist, or_x000D_
 -- Must require reassignment of Child Parties first_x000D_
_x000D_
 - Security &amp; Permissions_x000D_
 -- Specific users may create or modify Parent Party relationships_x000D_
 -- All readability of parent and child records respect row level security _x000D_
_x000D_
 _x000D_
_x000D_
!image-2026-02-19-13-37-06-177.png|width=632,height=378!_x000D_
_x000D_
*Documentation*_x000D_
Document all the above adjustments. _x000D_
_x000D_
 _x000D_
_x000D_
*Non functional requirements*_x000D_
It is expected team to get aligned with respective teams and reassure that is not creating issues or the related NFRs will be tested : _x000D_
Performance , Security, Accessibility, Usability  _x000D_
DODs should be fulfilled. _x000D_
_x000D_
 </t>
  </si>
  <si>
    <t># Admin may optionally assign a Parent Party to a Party._x000D_
(Enable the usage of Parent party for taxpayers, similarly as now available for Organizational units) _x000D_
 ## A party may be related to one parent party._x000D_
 ## A party may have several child parties._x000D_
 ## Circular hierarchies must be prevented (A&gt;B&gt;A)_x000D_
 ## Multi-level hierarchies are supported (Parent &gt;Child &gt; Grandchild)_x000D_
 ## No limit on the depth_x000D_
 ## Existing Parties without a Parent remain unchanged_x000D_
 # Search_x000D_
 ## Users may search for parties based on parent party 1st hierarchy (Parent -Child)_x000D_
 ## Users may search for parties based on parent party in any hierarchy  (Parent &gt;Child &gt; Grandchild)_x000D_
 ## Users may search for party roles based on relevant party's parent party._x000D_
 # Deleting a Parent Party:_x000D_
 ## Must be blocked if Child Parties exist, or_x000D_
 ## Must require reassignment of Child Parties first_x000D_
 # Security &amp; Permissions_x000D_
_x000D_
 # _x000D_
 ## Specific users may create or modify Parent Party relationships_x000D_
 ## All readability of parent and child records respect row level security </t>
  </si>
  <si>
    <t>As an Admin I need to be able to use longer strings in Name related containers and use the new created name standards._x000D_
This should be depicted in RM and SS. _x000D_
_x000D_
*Functional Requirements*_x000D_
 * Update the supported characters for Party Name fields _x000D_
full_name varchar(255)  -&gt; varchar(2500)_x000D_
first_name varchar(50)  -&gt; varchar(300)_x000D_
middle_name varchar(50)   -&gt; varchar(300)_x000D_
last_name varchar(50)   -&gt; varchar(300)_x000D_
name_prefix varchar(50)   -&gt; varchar(300)_x000D_
name_suffix varchar(50)   -&gt; varchar(300)_x000D_
custom_name1 varchar(50)   -&gt; varchar(300)_x000D_
custom_name2 varchar(50)   -&gt; varchar(300)_x000D_
custom_name3 varchar(50)   -&gt; varchar(300)_x000D_
_x000D_
 * Additional 5 elements as per name standards to available in Party Name and in relevant apis as other name standards (?) _x000D_
_x000D_
Custom Name 4  , 300 characters_x000D_
Custom Name 5 , 300 characters_x000D_
Custom Name 6 , 300 characters_x000D_
Custom Name 7 , 300 characters_x000D_
Custom Name 8 , 300 characters_x000D_
_x000D_
 _x000D_
_x000D_
(relevant [https://jira.intrasoft-intl.com/browse/IRM-30371] ) _x000D_
_x000D_
*Documentation*_x000D_
_x000D_
Document all the above adjustments</t>
  </si>
  <si>
    <t>* Update the supported characters for Party Name fields _x000D_
full_name varchar(255)  -&gt; varchar(2500)_x000D_
first_name varchar(50)  -&gt; varchar(300)_x000D_
middle_name varchar(50)   -&gt; varchar(300)_x000D_
last_name varchar(50)   -&gt; varchar(300)_x000D_
name_prefix varchar(50)   -&gt; varchar(300)_x000D_
name_suffix varchar(50)   -&gt; varchar(300)_x000D_
custom_name1 varchar(50)   -&gt; varchar(300)_x000D_
custom_name2 varchar(50)   -&gt; varchar(300)_x000D_
custom_name3 varchar(50)   -&gt; varchar(300)_x000D_
_x000D_
 * Additional 5 elements as per name standards to available in Party Name and in relevant apis as other name standards _x000D_
_x000D_
Custom Name 4  , 300 characters_x000D_
Custom Name 5 , 300 characters_x000D_
Custom Name 6 , 300 characters_x000D_
Custom Name 7 , 300 characters_x000D_
Custom Name 8 , 300 characters</t>
  </si>
  <si>
    <t>As a revenue officer to be able to upload attachments related to party identifiers.  _x000D_
_x000D_
*Functional Requirements*_x000D_
 * Documents/Attachments for Party Identifiers table (not party role)_x000D_
 ** User can relate attachments to Identifier records._x000D_
 ** User can see/search for these documents under Party via Document management module_x000D_
 ** User can see/search for these documents under Party Role if eligible identifier via Document management module. _x000D_
_x000D_
_x000D_
Notes: _x000D_
Manage the relation of party identifier via new schema of document management introduced in IRM-28301 , IRM-28302_x000D_
_x000D_
_x000D_
_x000D_
*Documentation*_x000D_
Document all the above adjustments. _x000D_
_x000D_
 _x000D_
_x000D_
*Non functional requirements*_x000D_
Performance , Security, Accessibility, Usability  DODs should be fulfilled. </t>
  </si>
  <si>
    <t># User can relate attachments to Identifier records._x000D_
 # User can see/search for these documents under Party via Document management module_x000D_
 # User can see/search for these documents under Party Role if eligible identifier via Document management module. </t>
  </si>
  <si>
    <t>The get API api-gateway/registration/parties (Get Parties by criteria and pagination) doesn't support search with source_cl field. _x000D_
_x000D_
This criterion is mandatory in order to retrieve parties created by each source._x000D_
_x000D_
This functionality is critical for highly critical for LT project and needs to be delivered within November release i.e 2.2_x000D_
_x000D_
This criterion is needed in order the tax officers to be able to search and retrieve parties created by external systems. </t>
  </si>
  <si>
    <t>Enable searching Parties by criterion of source_cl provides flexibility to implementatiion teams.</t>
  </si>
  <si>
    <t>The get API api-gateway/registration/parties (Get Parties by criteria and pagination) should support search with source_cl field. </t>
  </si>
  <si>
    <t>As a Revenue Officer, I need the ability to view Party and Party Role information in two different ways, depending on the situation I am handling. To support this, the system must provide two distinct viewing modes:_x000D_
_x000D_
*1. Default View -&gt; “Party as Today” (current)*_x000D_
This screen shows only the information that is valid right now._x000D_
It includes all Party and Party Role details (and their child objects) where the valid-from / valid-to date range includes today._x000D_
This allows me to quickly see the latest, active, and legally applicable data for a Party at this moment in time._x000D_
-The need should be applicable to data areas as well.- This should be further extended by customers' when need to add additional custom entities and fields. _x000D_
_x000D_
*2. History View -&gt; “Party Details in Time”*_x000D_
This screen shows the complete historical record, regardless of whether the data is still valid._x000D_
It includes all past versions, with any valid-from and valid-to values._x000D_
This allows me to review how Party and Party Role information has changed over time, which is necessary for auditing, investigations, and supporting different operational needs._x000D_
-The need should be applicable to data areas as well.- This should be further extended by customers' when need to add additional custom entities and fields. _x000D_
_x000D_
   *a)* Show them all in chronological order_x000D_
   *b)* Select the date of from to to be displayed.  _x000D_
_x000D_
 _x000D_
_x000D_
*Introduction*_x000D_
_x000D_
This ticket is based on a requirement from GR AADE Solon project. _x000D_
AADE when mention history means all the details of Party and Party roles (plus child objects) that may have any valid from, values. _x000D_
Current values are the values that are valid today i.e. From-To duration includes today. _x000D_
_x000D_
(This feature will be enriched with the details after the implementation of declaration id links to detail the reason of change).  _x000D_
_x000D_
 _x000D_
----_x000D_
*Functional Requirements*_x000D_
_x000D_
*A)* User can toggle UI to show me  *only the Valid for today* items :_x000D_
{*}“Party as Today” , "{*}{*}Party Role as Today”{*}_x000D_
 * See The Party page as is today with only the valid items. _x000D_
 * See The Party Role page as is today with only the valid items. _x000D_
 * In Party Role, we implying the Valid-from, Valid-to dates of the of Party related items (except stage). (Relevant : [https://jira.intrasoft-intl.com/browse/IRM-31560] )_x000D_
 * View will be RO_x000D_
_x000D_
*B)* User can toggle UI to show me all the valid items *historically* / *“Party Details in Time” ,* *“Party Role Details in Time”*_x000D_
 * User can select to see all history data or select a date_x000D_
 * Items are listed in chronological order per child item list (sorted)_x000D_
 * When previewing a past date the record page will be RO. The page will be Editable only when viewing the whole history.  _x000D_
_x000D_
*C)* The default view for the customer when opening a party (today or history)  will be parametrized_x000D_
_x000D_
*D)* Apply toggle view to *Claimants*_x000D_
_x000D_
 _x000D_
_x000D_
*Considerations:* _x000D_
The logic  on filtering and displaying items, should be able to be followed by customers as well, applying same filters in party and party role pages for their custom objects.  The "&lt;&gt;as {*}today{*}" details as well as "&lt;&gt;{*}Details in Time"{*}  may be produced in Operational reports along with other filters._x000D_
_x000D_
The views filtering as today and history or selected date will not be applied to data areas. _x000D_
_x000D_
 _x000D_
_x000D_
*Documentation*_x000D_
Document all the above adjustments. _x000D_
_x000D_
 _x000D_
_x000D_
*Non functional requirements*_x000D_
Performance , Security, Accessibility, Usability  DODs should be fulfilled. _x000D_
_x000D_
 _x000D_
----_x000D_
 _x000D_
_x000D_
*How details are logged:* _x000D_
Valid From To fields are available in :_x000D_
|*Address*| | | |_x000D_
|*Party*| |*Party_role*| |_x000D_
|-{color:#505f79}*Party Data Area*{color}-| |-{color:#505f79}*Party Role Data Area*{color}-| |_x000D_
|{color:#4c9aff}_Party child objects :_{color}| |{color:#4c9aff}_Party role , child objects_{color}| |_x000D_
|Party Details - Party Data Area| |-Party Role Details - Party Role Data Area-| |_x000D_
|Individual| |Party role relationship | |_x000D_
|Party state| |{color:#c1c7d0}_Party role eligible address (indirectly)_{color}| |_x000D_
|Party Address| |{color:#c1c7d0}_Party role eligible bank account (indirectly)_{color}| |_x000D_
|Party Identifier| |{color:#c1c7d0}_Party role eligible contact (indirectly)_{color}| |_x000D_
|Party Name| |Party role eligible identifier| |_x000D_
|Party Bank Account| |Party role state| |_x000D_
|Party Classification| |Bank account included action type| |_x000D_
|Party Contact, Party Contact label| |Bank account included entity| |_x000D_
|Party preference| |Organizational unit member| |_x000D_
|Asset to Asset relationship| | | |_x000D_
|Asset to party role relationship, | | | |_x000D_
|user right| | | |_x000D_
|Valuation| | | |_x000D_
| | | | |_x000D_
_x000D_
 _x000D_
|Other type of valid from to are available in : |_x000D_
| |_x000D_
|Revenue type registration, |_x000D_
|RTR Calendar,  RTR relationship , RTR reconciliation calendar|_x000D_
|Obligation, Obligation action, |_x000D_
|resource_calendar_assignment|_x000D_
_x000D_
Not available in :_x000D_
party_x000D_
individual (will not be used in GR) _x000D_
Valuation detail  (it is dependent to Valuation)_x000D_
 RTR reconciliation period (dependent) _x000D_
party role_x000D_
Obligation calendar (depended on registrations)_x000D_
For Party roles: _x000D_
bank_account_included_action_type_x000D_
bank_account_included_entity_x000D_
party_role_eligible_address (expected to inheriting party details)_x000D_
party_role_eligible_bank_account_x000D_
party_role_eligible_contact_x000D_
party_role_eligible_identifier_x000D_
_x000D_
and expected to be visible as well directly for party roles ([https://jira.intrasoft-intl.com/browse/IRM-31560]) _x000D_
_x000D_
[Registration_BackdateChanges_Discussion.pptx|https://netcompany-my.sharepoint.com/:p:/p/isiampou/EXlqNWTYvCVLs1O7V7SM4BUBLp_7Sp_MWQN-ETyKClVp1w?e=9zR46V]</t>
  </si>
  <si>
    <t>Different tasks require different types of information. Sometimes I need only what is effective today; other times I need the full change history. By providing a simple toggle between:_x000D_
 * {*}A) Party as Today{*}, and_x000D_
_x000D_
 * {*}B) Party Details in Time{*},_x000D_
_x000D_
the system ensures that I can quickly switch to the view that supports the task I'm performing at that moment.</t>
  </si>
  <si>
    <t>*A)* I can toggle UI to show me  *only the Valid today* items.  / {*}“Party as Today” , "{*}{*}Party Role as Today”{*}{*}{{*}}_x000D_
 # See The Party page as is today with only the valid items. _x000D_
 # See The Party Role page as is today with only the valid items._x000D_
 # In Party Role, we implying the Valid-from, Valid-to dates of the of Party related items (except stage). (Relevant : [https://jira.intrasoft-intl.com/browse/IRM-31560] )_x000D_
 # View will be RO_x000D_
_x000D_
*B)*  I can toggle UI to show me all the valid items *historically* / *“Party Details in Time” ,* {*}“Party Role Details in Time”{*}{*}{{*}}_x000D_
 # User can select to see all history data or select a date_x000D_
 # Items are listed in chronological order._x000D_
 # When previewing a past date the record page will be RO. The page will be Editable only when viewing the whole history.  _x000D_
_x000D_
*C)* The default view for the customer when opening a party (today or history)  will be parametrized_x000D_
*D)* Apply toggle view to *claimants* </t>
  </si>
  <si>
    <t>As a revenue authority user, I need to be able to see the Validity dates in the Party Roles related eligible tables._x000D_
Make sure it is easily readable that the valid from to filters are searched by the info from party or info from party role_x000D_
Some search criteria may be fixed by  [https://jira.intrasoft-intl.com/browse/IRM-29482] and the labels should be fixed_x000D_
_x000D_
+*Functional requirements*+_x000D_
_x000D_
 *Updates For Party role searchable valid from to*_x000D_
 * Make *Visible -and searchable- the related Valid From /To details from Party* when viewing or querying a party Role. _x000D_
Related entities are: _x000D_
party_role_eligible_address_x000D_
party_role_eligible_contact_x000D_
party_role_eligible_identifier_x000D_
party_role_eligible_bank_account (to be managed byhttps://jira.intrasoft-intl.com/browse/IRM-31560)_x000D_
_x000D_
 * Name/ Rename in Party Role page and Ui page,  filters {*}Start /End date{*}, from party that are visible in party role child records,  to  "Start Date (Party)", "End Date (Party)" to fix the confusion from  [https://jira.intrasoft-intl.com/browse/IRM-29482] _x000D_
_x000D_
 * Rename filters Start /End date, to *Party Role State* that are related only to party role details and call them  "Start Date (Party Role)" "End Date (Party Role)"_x000D_
*Notes :*  State has valid from to related to Party role and not party._x000D_
_x000D_
 _x000D_
_x000D_
*Flag and Warning*_x000D_
 * When creating a new eligible records (by ui or any BE process) , system will suggest not to {*}use expired details in party role{*}. Example: Display the Valid from to values or "Expired" flag._x000D_
 * *Flag* in UI party_role_eligible_identifier,  -party_role_eligible_bank_account- -, party_role_eligible_contact-   that are primary and no longer valid,  (e.g.  "Expired Value" ). _x000D_
example: Mark expired values with red marking next to primary value marking. _x000D_
 * When expiring a *Party record* that is used as eligible record as primary : party_role_eligible_identifier,  -party_role_eligible_bank_account- , -party_role_eligible_contact ,- display a *warning* - not validation, in Party Page. _x000D_
_x000D_
*Suggestions in Documentation*_x000D_
 * Explain/ Suggest in the documentation that it is expected from customers to run clearing processes regarding expired eligible information as product is not supporting by default validation on not using expired eligible details. _x000D_
_x000D_
*UI Improvements*_x000D_
 * Eligible state as label  rename to "Party Role State" '_x000D_
 * Optional UI filter: When creating a new eligible records (by ui or any be process) , {*}cannot use expired details in party role. ({*}Filter valid items)_x000D_
_x000D_
 _x000D_
_x000D_
-*Reference implementation (TBC)*- _x000D_
 * -When expiring a Party record that is used as eligible record as primary : party_role_eligible_identifier,  party_role_eligible_bank_account , party_role_eligible_contact, log a human task (Assume maintenance Batch process?)- _x000D_
_x000D_
 _x000D_
_x000D_
*Documentation*_x000D_
Document all the above adjustments. _x000D_
_x000D_
 _x000D_
_x000D_
*Non functional requirements*_x000D_
Performance , Security, Accessibility, Usability  DODs should be fulfilled. </t>
  </si>
  <si>
    <t>*A. Updates For Party role* _x000D_
 # Make *Visible  the related Valid From /To details from Party* when viewing or querying a party Role. _x000D_
Related entities are: _x000D_
party_role_eligible_address_x000D_
party_role_eligible_bank_account _x000D_
party_role_eligible_contact_x000D_
party_role_eligible_identifier_x000D_
 # Display in *UI Party Role page* , the *Party Valid From , Party Valid To*  (for each eligible item)_x000D_
 # Rename in Party Role page and Ui page,  filters {*}Start /End date{*}, taken from party that are visible in party role child records and search filters,  to  "Start Date (Party)", "End Date (Party)"_x000D_
 # Rename filters Start /End date, to *Party Role State* that are related only to party role details (not to party) and call them  "Start Date (Party Role)" "End Date (Party Role)"_x000D_
 # Eligible state as label  rename to "Party Role State" _x000D_
 # Optionally in UI,  when creating a new eligible records (by ui ), user *can see which values are expired* _x000D_
_x000D_
*B. Flag and Warning*_x000D_
 # *Flag* in UI party_role_eligible_identifier   that are primary and no longer valid._x000D_
 # When expiring a Party record that is used as eligible record as primary : party_role_eligible_identifier  display a *warning* - not validation. </t>
  </si>
  <si>
    <t>As a revenue authority user, when I search for party roles,  to be able to filter based on party role specific details. and I need to easily separate which are filters considering party details and which are party role details filters._x000D_
_x000D_
*Functional Requirements*_x000D_
_x000D_
Additionally to [https://jira.intrasoft-intl.com/browse/IRM-29482]  make the following additions to be clear to user regarding the filters to be used. The missing points were that it is not clear which items consider all related to party role, party details and how I can search only the eligible details. _x000D_
 _x000D_
_x000D_
-*Alignment and Labels:*-_x000D_
 * -Tab Main Filters| "Other Filters" -&gt; "Other Party Role Filters"-_x000D_
 * -Tab Main Filters| Other Filters : "Type" -&gt; "Party Role Type"-_x000D_
 * -Tab Main Filters|| For existing filters add parenthesis (Party) e.g.  Identifiers (Party) , State (Party) , Name(Party)-_x000D_
 * -Bank Account | Add section label to Bank accounts and add there the title Bank Account (Party)-_x000D_
 * -Contact| Add section label to Contacts and add there the title Contacts (Party)-_x000D_
 * -Address| Add section label to Addresses and add there the title Address (Party)-_x000D_
 * -Put together Identifiers (Party) , State (Party) , Name(Party) ,Contacts (Party) , Bank Account (Party) , Address (party)-_x000D_
 * -Other:  "Organizational Unit" if the search is only on user, remove it from party role, leave it only for users-_x000D_
_x000D_
*Filters and Tab:*_x000D_
 * A new Tab will be created "Eligible Detsails" with new filters :_x000D_
 ** (new filter) Search by *Eligible address* _x000D_
 ** (new filter) Search by *Eligible bank accounts*_x000D_
 ** (new filter) Search by  *Eligible Contact*_x000D_
 ** (new filter) Search by  *Eligible Identifiers*_x000D_
 ** *(existing filter) Party Role State*_x000D_
 * Add in the main tab , the existing filter  _x000D_
 ** Search by *Party State* (note that Party Role State is already available)_x000D_
_x000D_
The goal is the search results to return party roles only via party role details and not based on all the details of the party. _x000D_
----_x000D_
!image-2026-01-12-08-21-43-599.png!</t>
  </si>
  <si>
    <t>*Filters and Tab:*_x000D_
 * A new Tab will be created "Eligible Detsails" with new filters :_x000D_
 ** (new filter) Search by *Eligible address* _x000D_
 ** (new filter) Search by *Eligible bank accounts*_x000D_
 ** (new filter) Search by  *Eligible Contact*_x000D_
 ** (new filter) Search by  *Eligible Identifiers*_x000D_
 ** *(existing filter) Party Role State*_x000D_
 * Add in the main tab , the existing filter  _x000D_
 ** Search by *Party State* (note that Party Role State is already available)</t>
  </si>
  <si>
    <t>As an Admin I need to support migrations of existing dbs for registration additional Name elements. _x000D_
Right now there are 8 elements in Name standards. Customer asked for 4 new elements. _x000D_
_x000D_
*Functional Requirements*_x000D_
 * Additional 5 elements to be available named as "Custom Detail" or "Custom Name" +&lt;number&gt; , to be ready to be used  in Party Name standards. _x000D_
_x000D_
Custom Name 4 _x000D_
Custom Name 5_x000D_
Custom Name 6_x000D_
Custom Name 7_x000D_
Custom Name 8_x000D_
_x000D_
In these elements other than name details will be stored that characterize /perhaps needed to make unique the name  such as Father name._x000D_
_x000D_
 _x000D_
_x000D_
*Documentation*_x000D_
_x000D_
Document all the above adjustments</t>
  </si>
  <si>
    <t>Extent customization of how many details make unique or characterize a name</t>
  </si>
  <si>
    <t>Additional 5 elements to be available named as "Custom Name" +&lt;number&gt; (cont. existing naming) , to be ready to be used  in Party Name standards. </t>
  </si>
  <si>
    <t>As a revenue officer to define the country code per Identifier. _x000D_
_x000D_
*Functional Requirements*_x000D_
 * User has available in Party Identifiers a country cl field, to define the country that this Identifier is related with_x000D_
 ** Field is optional and Values are flagged by countries cl in a way that we can have an id of same type per country (e.g. vat per country) or not _x000D_
 * Validations for uniqueness should include country parameter as well.  (e.g., one per id +country + party type + validity period)  _x000D_
 * Country value is visible in Party identifiers records_x000D_
 * Country value is visible in Party Role eligible identifiers records. _x000D_
 * Search_x000D_
 ** Be able to search Parties using country of Identifier (extend [https://jira.intrasoft-intl.com/browse/IRM-26772] ) _x000D_
 ** Be able to search Party roles  using country of Identifier_x000D_
_x000D_
 _x000D_
_x000D_
*Documentation*_x000D_
Document all the above adjustments. _x000D_
_x000D_
 _x000D_
_x000D_
*Non functional requirements*_x000D_
Performance , Security, Accessibility, Usability  DODs should be fulfilled. </t>
  </si>
  <si>
    <t># User has available in Party Identifiers a country cl field, to define the country that this Identifier is related with. Field is optional and Values are sourced by countries cl_x000D_
 # Country value is visible in Party identifiers records_x000D_
 # Country value is visible in Party Role eligible identifiers records. _x000D_
 # Be able to search Parties using country of Identifier (extend [https://jira.intrasoft-intl.com/browse/IRM-26772] ) _x000D_
 # Be able to search Party roles  using country of Identifier</t>
  </si>
  <si>
    <t>As a revenue official, I want to view a graphical representation of the organizational structure, so that I can see what organizational units are part of the organizational structure and see how these organizational units are related to one another._x000D_
_x000D_
Similarly for party to party hierarchy, I need to be able to see similar representation. _x000D_
a) Org units : Revenue department itself is structured (e.g., Head Office -&gt; Regional Office -&gt; Local Branch)._x000D_
b) Taxpayers:  relationships between legal entities, such as a Holding Company and its subsidiaries, or a franchisor and franchisees or main brand with branches -WHEN THESE FOR A BUSINESS REASON are not expresses in the system as party roles (that is recommended) _x000D_
_x000D_
Dependency:  IRM-36002 _x000D_
_x000D_
*SCOPE : View hierarchy is details page* _x000D_
_x000D_
 _x000D_
_x000D_
*Functional Requirements*_x000D_
_x000D_
Organizations / Taxpayers (Parties)_x000D_
 * -In list page: User may see parent party in list views as link. User may click the link to open the parent party.- _x000D_
 * -In Party page: User may see the parent party as a link. User can click to open parent party.  (implemented in [https://jira.intrasoft-intl.com/browse/IRM-36002] )- _x000D_
 * In Party parent page: User can click a button see an parties tree where each node in the tree represents an party For each party the user can see information that uniquely identifies a party. _x000D_
 * Displayed information on each node are Primary Full Name, Primary Identifier and Party Type. _x000D_
 * User can open an party unit to see more details._x000D_
 * -User may search by parent party a party.-_x000D_
 * -The list should contain only parties (all party types)-_x000D_
_x000D_
+Example :+ _x000D_
A button available in Level 1 Taxpayer  "Show Hierarchy" _x000D_
When click a modal with tree format appears: _x000D_
_x000D_
Level 1 Taxpayer A (Business account/ Brand HQs  &amp; Accounting unit)_x000D_
_x000D_
            Level 2 TaxpayerA1 (branch) _x000D_
            Level 2 TaxpayerA2 (branch) _x000D_
            Level 2 TaxpayerA3 (branch) _x000D_
            Level 2 TaxpayerA4 (branch) _x000D_
_x000D_
 _x000D_
_x000D_
 _x000D_
_x000D_
 _x000D_
_x000D_
 _x000D_
_x000D_
 _x000D_
_x000D_
!image-2026-02-15-12-23-57-978.png!_x000D_
_x000D_
*Documentation*_x000D_
Document all the above adjustments. _x000D_
_x000D_
 _x000D_
_x000D_
*Non functional requirements*_x000D_
It is expected team to get aligned with respective teams and reassure that is not creating issues or the related NFRs will be tested :_x000D_
Performance , Security, Accessibility, Usability _x000D_
DODs should be fulfilled.</t>
  </si>
  <si>
    <t># In Party parent page: User can click a button see an parties tree where each node in the tree represents an party For each party the user can see information that uniquely identifies a party._x000D_
 # User can open an party unit to see more details.</t>
  </si>
  <si>
    <t>Taxpayer Accounting Enhancements (2026)</t>
  </si>
  <si>
    <t>As a revenue officer I need to be able to log financial transactions under Organization units related party roles and Claimants related party roles, as to be able to log into the system transactions that are related to offset vouchers , Revenue officer departments transfer orders (that are logged as org units) , Performing settlements and transfers with third parties (that are logged as claimants). _x000D_
_x000D_
This requirement is requested by GR AADE project. _x000D_
_x000D_
 _x000D_
_x000D_
*Functional Requirements*_x000D_
_x000D_
 _x000D_
_x000D_
*Revenue type Administration*_x000D_
 * Admin may define that a revenue type can be used for Organizational Units._x000D_
 * Admin may define that a revenue type can be used for Claimants (that will be the "debtors" or" "creditors" and it is not the same as how claimants are now related with revenue type registrations). _x000D_
_x000D_
*Revenue Type Registration*_x000D_
 * The Organizational units (related party roe) may be used as party roles when creating Revenue type Registrations_x000D_
 * The Claimants may be used as party roles when creating Revenue type Registrations_x000D_
_x000D_
*Party Role Relationships For Org units*_x000D_
_x000D_
- I can relate Org units _x000D_
_x000D_
*Financial transactions*_x000D_
 * Revenue type registrations, Obligations, Segments and Financial transactions may be logged under Organizational units._x000D_
 * Revenue type registrations, Obligations, Segments and Financial transactions may be logged under Claimants._x000D_
 * I can see balances under Party role overview page,  Obligations and Bill segments as in relevant pages of Parties as Taxpayers_x000D_
 * Demo Party Role Types : Organization Unit , Claimant _x000D_
_x000D_
_x000D_
*Demo items:* _x000D_
Party role type for Organizational Units_x000D_
Party role type for Claimants_x000D_
Revenue Type for Organizational Units _x000D_
Relationships Type : Org Type Relation_x000D_
_x000D_
------------------------------------------------------------------------------------_x000D_
_x000D_
*Documentation*_x000D_
_x000D_
All configuration options, split strategies, and rule evaluation logic must be fully documented._x000D_
_x000D_
Documentation must include:_x000D_
 * Usage and Configuration examples_x000D_
 * Reference implementations_x000D_
 * Operational guidelines , Performance considerations_x000D_
_x000D_
 _x000D_
_x000D_
*Non functional requirements*_x000D_
_x000D_
The solution must maintain or improve the product’s:_x000D_
_x000D_
*Performance* – large datasets and multi-sheet evaluation must not degrade processing times_x000D_
*Security* – no exposure of sensitive configuration data_x000D_
*Accessibility* – configuration screens and documentation must remain accessible_x000D_
*Usability* – splitting logic must be understandable and maintainable by admins_x000D_
Additionally:_x000D_
The team must collaborate with domain specialists to validate the above._x000D_
_x000D_
All Definition of Done ({*}DoD{*}) criteria must be met.</t>
  </si>
  <si>
    <t>* Revenue type registrations, Obligations, Segments and Financial transactions may be logged under Organizational units._x000D_
 * Revenue type registrations, Obligations, Segments and Financial transactions may be logged under Claimants._x000D_
 * I can see balances under Party role overview page,  Obligations and Bill segments as in relevant pages of Parties as Taxpayers_x000D_
 * Demo Party Role Types, Revenue Type, Relationship type for Organization Unit , Claimant </t>
  </si>
  <si>
    <t>As an administrator responsible for defining the Accountant table details, I need to introduce additional parameters that determine how GL accounts are selected based on the accounting rules of FT types. Specifically, I need to support differentiating GL accounting rules according to the claimant, revenue type, and bill segment type categorization. _x000D_
_x000D_
These new parameters will enable the system to efficiently handle the many hundreds of special cases that must be supported, reduce the size of the GL decision table and the number of FT types, and overall improve the system’s maintainability and administration._x000D_
_x000D_
 _x000D_
_x000D_
*Functional Requirements* _x000D_
_x000D_
 _x000D_
_x000D_
*Valid From/To columns*_x000D_
 * Add columns Valid from / Valid to (as Datetime ) in GL Decision Table(s)_x000D_
 * if empty valid from to is empty , consider line as valid._x000D_
 * Rules should consider the validity based on these fields._x000D_
 * Advise in documentation and code the format of the field. _x000D_
_x000D_
 _x000D_
_x000D_
*Multilines* _x000D_
_x000D_
In several situations one FT may be detailed in several gl accounts i.e., several journal entries lines. _x000D_
Similarly to what is implemented in Assessments calculation lines, because of different cost centers , several gl accounts should be changed in one transaction based on a rule on how to split these amounts.  _x000D_
 * In GL decision spreadsheets, Define of an Accounting rule included many lines to finally define the journal entries needed. _x000D_
 * Add an indication per line like line 1,2,3_x000D_
 * Define the rule on how to split the amount (e.g. per percentage to original FT amount. the total amount should be same as FT amount or an error will block the journal entries creation because of FT validation rules ) ._x000D_
_x000D_
!image-2026-03-02-23-45-16-740.png|width=688,height=278!_x000D_
_x000D_
*Rules logic*_x000D_
 * If the parameter/condition is empty, it should be ignored by the rules. _x000D_
 * Rules should search for all the lines that the conditions are fulfilled and check the valid from to._x000D_
 * GL Account Code for Gain/loss may be null and should be ignored in primary currency mode. _x000D_
_x000D_
 _x000D_
_x000D_
*Customers may add new parameters as columns in gl decision tabels and use in drools*_x000D_
 * Customers should know based on documented instructions,  how to add their own parameters in the Gl_decision drools sheets and use them in relevant drools rules._x000D_
 *  *Reference implementation* /example columns_x000D_
 ** Revenue Type,_x000D_
 ** Accounting Date_x000D_
 ** Claimant? (Yes /No)  ,  Claimant type/ID    _x000D_
 ** Segment Type (Bill segment, Payment, Allocation) , Segment Category     Segment Subcategory    _x000D_
 ** (as -is) FT Type Category  , Financial Transaction Accounting Date _x000D_
 ** Action (Create . Cancel)_x000D_
 ** Add a no functional logic "Notes" column_x000D_
 * Customers should be able to add their own parameters and get the parameters from FT record._x000D_
 ** Columns for  Custom Parameter A (e.g. Reference year), Custom Parameter B  (e.g. DOY) , Custom Parameter C    (these may be ignored if customers can add their columns if/when needed.  _x000D_
 ** Considerations : Customers may need to add conditions/Parameters on FT details, or Party details, or RTR details and these details may be also captured in data areas.  _x000D_
_x000D_
 _x000D_
_x000D_
*Correction future proof for multicurrency*_x000D_
Replace the one column GL Account Code for Gain/loss with 2 _x000D_
GL Account Code for Gain/loss/ CREDIT (MAKE IT NULLABLE)    _x000D_
GL Account Code for Gain/loss/ DEBIT (MAKE IT NULLABLE) , leave it null in reference implementation sheet. _x000D_
_x000D_
 _x000D_
_x000D_
 _x000D_
_x000D_
*Documentation*_x000D_
Document all the above adjustments. _x000D_
_x000D_
*Non functional requirements*_x000D_
Performance , Security, Accessibility, Usability  DODs should be fulfilled. </t>
  </si>
  <si>
    <t>Introducing additional parametersfor GL account selection will significantly reduce the complexity and size of the GL Decision Table, decrease the number of FT types required, and improve system maintainability. By automatically selecting GL accounts based on these contextual parameters, administrators will spend less time configuring and managing special cases, resulting in faster setup, fewer errors, and improved scalability for handling hundreds of accounting variations.</t>
  </si>
  <si>
    <t>*A) Valid From/To columns*_x000D_
 # Add columns Valid from / Valid to (as Data time) in GL Decision Table(s)_x000D_
 # if empty valid from to is empty , consider line as valid._x000D_
 # Rules should consider the validity based on these fields._x000D_
 # Advise in documentation and code the format of the field._x000D_
_x000D_
*B) Multilines* _x000D_
_x000D_
In several situations one FT may be detailed in several gl accounts i.e., several journal entries lines. _x000D_
Similarly to what is implemented in Assessments calculation lines, because of different cost centers , several gl accounts should be changed in one transaction based on a rule on how to split these amounts.  _x000D_
 # In GL decision spreadsheets, Define of an Accounting rule included many lines to finally define the journal entries needed. _x000D_
 # Add an indication per line like line 1,2,3_x000D_
 # Define the rule on how to split the amount (e.g. per percentage to original FT amount. the total amount should be same as FT amount or an error will block the journal entries creation because of FT validation rules ) ._x000D_
_x000D_
*C) Rules logic*_x000D_
 # If the parameter/condition is empty, it should be ignored by the rules. _x000D_
 # Rules should search for all the lines that the conditions are fulfilled and check the valid from to._x000D_
 # GL Account Code for Gain/loss may be null and should be ignored in primary currency mode. _x000D_
_x000D_
_x000D_
_x000D_
*D) Customers may add new parameters as columns in gl decision tabels and use in drools*_x000D_
 # Customers should know based on documented instructions,  how to add their own parameters in the Gl_decision drools sheets and use them in relevant drools rules._x000D_
 #  *Reference implementation* /example columns_x000D_
 ## Revenue Type ,  Tax Category  , Tax Type    _x000D_
 ## Claimant? (Yes /No)  ,  Claimant type/ID    _x000D_
 ## Segment Type (Bill segment, Payment, Allocation) , Segment Category     Segment Subcategory    _x000D_
 ## (as -is) FT Type Category  , Financial Transaction Accounting Date _x000D_
 ## Action (Create . Cancel)_x000D_
 ## Columns for  Custom Parameter A (e.g. Reference year)   , Custom Parameter B  (e.g. DOY) , Custom Parameter B  (these may be ignored if customers can add their columns if/when needed.  _x000D_
 ## Add a no functional logic "Notes" column_x000D_
 # Considerations : Customers may need to add conditions/Parameters on FT details, or Party details, or RTR details and these details may be also captured in data areas.  _x000D_
_x000D_
 _x000D_
_x000D_
*E) Correction future proof for multicurrency*_x000D_
 # Replace the one column GL Account Code for Gain/loss with 2. Do not add yet rule for this. _x000D_
 # GL Account Code for Gain/loss/ CREDIT (MAKE IT NULLABLE)    _x000D_
 # GL Account Code for Gain/loss/ DEBIT (MAKE IT NULLABLE) , leave it null in reference implementation sheet. _x000D_
_x000D_
 </t>
  </si>
  <si>
    <t>As an admin I need to be able to search for gl accounts using Category and owner fields_x000D_
_x000D_
*Functional Requirements*_x000D_
 - Admin or users may search and filter {{GL Accounts using  Category and owner fields in all relevant lists}}_x000D_
_x000D_
 _x000D_
_x000D_
*Documentation*_x000D_
Document all the above adjustments. _x000D_
_x000D_
 _x000D_
_x000D_
*Non functional requirements*_x000D_
It is expected team to get aligned with respective teams and reassure that is not creating issues or the related NFRs will be tested : _x000D_
Performance , Security, Accessibility, Usability  _x000D_
DODs should be fulfilled._x000D_
_x000D_
 _x000D_
_x000D_
Notes:_x000D_
!image-2026-02-09-10-05-44-210.png!</t>
  </si>
  <si>
    <t># Search/filter {{GL Accounts by Category and owner}}</t>
  </si>
  <si>
    <t>By enabling configurable splitting of GL Decision Tables across multiple rule-based spreadsheets, administrators can manage high-volume and complex accounting rules more efficiently. This reduces configuration errors, improves performance for large datasets, simplifies maintenance, and allows customers to scale GL logic without hitting structural or technical limits.</t>
  </si>
  <si>
    <t>Performance Efficiency Enhancements (2026)</t>
  </si>
  <si>
    <t>We are experiencing severe performance degradation and delays when retrieving reference data. Currently, the system fetches static data from the database for every request, impacting both the UI and BPMN process execution.  The data are mostly static and there is no reason to always fetch it from the DB. _x000D_
_x000D_
Requirements: _x000D_
 * Implement a caching layer in the Reference data microservice._x000D_
 * Eliminate redundant DB queries for static datasets._x000D_
 * Cache should persist unless a "data changed" event or manual refresh is triggered._x000D_
_x000D_
 _x000D_
_x000D_
 _x000D_
_x000D_
------------------------------------------------------------------------------------_x000D_
_x000D_
*Documentation*_x000D_
_x000D_
All configuration options, split strategies, and rule evaluation logic must be fully documented._x000D_
_x000D_
Documentation must include (where applicable) :_x000D_
 * Usage and Configuration examples_x000D_
 * Reference implementations_x000D_
 * Operational guidelines , Performance considerations_x000D_
_x000D_
 _x000D_
_x000D_
*Non functional requirements*_x000D_
_x000D_
The solution must maintain or improve the product’s:_x000D_
_x000D_
*Performance* – large datasets and multi-sheet evaluation must not degrade processing times_x000D_
*Security* – no exposure of sensitive configuration data_x000D_
*Accessibility* – configuration screens and documentation must remain accessible_x000D_
*Usability* – splitting logic must be understandable and maintainable by admins_x000D_
Additionally:_x000D_
The team must collaborate with domain specialists to validate the above._x000D_
_x000D_
All Definition of Done ({*}DoD{*}) criteria must be met.</t>
  </si>
  <si>
    <t>Performance issues to be improved. _x000D_
We’ve identified a significant performance bottleneck in the Reference Data Microservice affecting both UI responsiveness and BPMN throughput. Because this data is largely static, we are proposing the implementation of a caching layer. This will prevent unnecessary database round-trips and provide the high-speed responses required for revenue administration tasks.</t>
  </si>
  <si>
    <t>* Implement a caching layer in the Reference data microservice._x000D_
 * Eliminate redundant DB queries for static datasets._x000D_
 * Cache should persist unless a "data changed" event or manual refresh is triggered.</t>
  </si>
  <si>
    <t>As an ICARUS team member and/or user, I want the application to have a good performance, so that I can do my work without hassle and the system be able to process the actions of all users.</t>
  </si>
  <si>
    <t>{panel:title=Task}_x000D_
To improve the platform maturity index, resource utilization must be optimized with a focus on Green Coding principles. To achieve this, existing CI/CD processes should be reviewed, adjusted, and ultimately optimized. Current documentation must also be updated to reflect these changes to the CI/CD workflows._x000D_
{panel}_x000D_
{panel:title=Current state}_x000D_
Jenkins is used to fully support CI/CD processes and flows._x000D_
{panel}_x000D_
{panel:title=Solution}_x000D_
*Review and Optimize Current Processes:*_x000D_
 * *Reduce Build Frequency:* Adjust the process to reduce the number of builds executed by Jenkins. For example, ensure that Merge Requests in "Draft" state do not trigger builds._x000D_
 * *Optimize Caching:* Investigate using or optimizing cache strategies to boost the efficiency of Jenkins builds._x000D_
 * *Review Retention Policies:* Verify if cleaning policies are applied in the artifact repository (Nexus) for both Maven artifacts and Docker images{panel}_x000D_
h3. PPD Maturity Index / Control point: Resource Utilization</t>
  </si>
  <si>
    <t>Increasing Maturity Index.</t>
  </si>
  <si>
    <t>* Deliverable -&gt; O0500 Software Architecture -&gt; Solution Perspective - Data Management solution_x000D_
 * Adjusted CI/CD pipelines to use less resources._x000D_
 * Adjust development process to force less Jenkins builds._x000D_
 * Reduce ** Deploy Frequency._x000D_
 * Analysis launching tests strategy._x000D_
 * Pipeline time optimization (using caches to speed up build)_x000D_
 * cyclic CI/CD audits for future optimizations</t>
  </si>
  <si>
    <t>{panel:title=Task}_x000D_
To improve the platform maturity index, resource utilization must be optimized. To achieve this, green coding principles should be defined and incorporated into our programming guidelines. The current documentation should be extended to include these rules._x000D_
{panel}_x000D_
{panel:title=Current state}_x000D_
Currently programming guidelines are described in the following deliverables:_x000D_
_x000D_
[DD160 - Programming Guidelines|https://goto.netcompany.com/cases/GTE2768/GREPDSOLON/Deliverables/Forms/AllItems.aspx?RootFolder=%2Fcases%2FGTE2768%2FGREPDSOLON%2FDeliverables%2FDD160%20%2D%20Programming%20Guidelines&amp;FolderCTID=0x012000E6A047EE9C5C3B46AF6B4F5F865C09DC&amp;View=%7B1F250723%2DEA5A%2D44A8%2D83D9%2D446989EA7C4A%7D]_x000D_
_x000D_
[Clean Coding|https://confluence.intrasoft-intl.com/spaces/IC/pages/36142033/Clean+Code]_x000D_
{panel}_x000D_
{panel:title=Solution}_x000D_
Please add green coding rules for the following technologies:_x000D_
 * Java_x000D_
 * JavaScript_x000D_
 * Rego_x000D_
 * Drools_x000D_
 * Helm charts_x000D_
 * Maven_x000D_
 * PostgreSQL_x000D_
 * Oracle PL/SQL_x000D_
 * Liquibase scripts_x000D_
 * Are docker images used by the platofrm are green friendly? Consider using more greener if possible. Consider create greener docker images -&gt; smaller in size, with dedicated runtimes. IRM-28585 Docker image size optimization_x000D_
_x000D_
This list should be extended if necessary. These rules should either be integrated into the existing programming guidelines or compiled into a new document dedicated specifically to green coding._x000D_
{panel}_x000D_
h3. PPD Maturity Index / Control point: Resource Utilization / Programming Guidelines / Development and test environments</t>
  </si>
  <si>
    <t>* Deliverable -&gt; DD160 Programming Guidelines - Green Coding _x000D_
 * internal training (recording) + powerpoint added to the onboarding matertials_x000D_
 * checklists for the mrege requests based on the green programming guidelines _x000D_
 * addjust rules in Sonarquebe to force green coding rules defined in the progrmming guidelines_x000D_
 *  [Optional] consider tools tracing carbon foot print for SOLON Tax Platform for instance Green Software Foundation, Scaphandre, Cloud Carbon Footprint_x000D_
 * DoD update to include green coding</t>
  </si>
  <si>
    <t>*Performance Suite Enhancements - Phase 2 ( Phase 1 leftovers from LT project  +* *new requirements coming from GR project)* _x000D_
_x000D_
*Not implemented scenarios from Phase 1 [Test - Performance - SOLON TAX - netcompany intrasoft - Confluence|https://confluence.intrasoft-intl.com/pages/viewpage.action?pageId=92045727&amp;spaceKey=IC&amp;title=Test%2B-%2BPerformance] :* _x000D_
 * Enrich the performance suite with Bill Segments, Human Tasks chains based on the volumes from LT project_x000D_
 ** Create scenarios for bill segment processing_x000D_
 ** Create test scenarios for human task workflows with resource calendar interaction scenarios_x000D_
 ** Establish appropriate performance limits for these new entity types_x000D_
_x000D_
 * UI Performance Automation _x000D_
 ** Complete tool evaluation for UI performance testing_x000D_
 ** Define performance limits for UI interactions_x000D_
 ** Determine scope: define whether to include all pages or select indicative pages_x000D_
 ** Create and execute UI performance test scenarios_x000D_
_x000D_
 * Performance Report Comprehension _x000D_
 ** Finalize and implement improvements to report structure and clarity_x000D_
 ** Ensure all metrics include proper units of measure (ms)_x000D_
 ** Complete organization framework (by business area, microservice, or other logical grouping)_x000D_
 ** Define and document what "Average" represents in measurements_x000D_
_x000D_
 _x000D_
_x000D_
*Extend performance testing to support GR project p1 operations :* _x000D_
_x000D_
[GatheringDetailsForPerformanceSystemChecks.xlsx|https://netcompany-my.sharepoint.com/:x:/p/isiampou/IQA4n6p5ju_OSJPMQSdgPr9rASk4o6y4x0Gx8ze82IJxL9o?e=t7Zi5V] , GR  - ASSUMPTIONS _tests_x000D_
_x000D_
Test to run from [https://confluence.intrasoft-intl.com/spaces/IC/pages/224720421/Test+Scenarios] _x000D_
 * GR Project Test Data and Scenarios_x000D_
 ** Create comprehensive test data for GR Project Registration Form scenarios_x000D_
 ** Develop test scenarios for GR Project Tax Form (aligned with VAT form approach from Self-Service)_x000D_
 ** Define and implement Change Request scenarios (specification to be finalized)_x000D_
 ** Implement SS Forms ( 4 SP )_x000D_
_x000D_
 * Throttle Scenarios with Extended Test Data_x000D_
 ** Implement throttle scenarios as described in IRM-34169 _x000D_
 ** Expand test data volumes for throttle testing scenarios_x000D_
 ** Define performance expectations under throttled conditions_x000D_
 ** Validate system behavior and response times within resource constraints</t>
  </si>
  <si>
    <t>*Extend performance testing to support GR project p1 operations :* _x000D_
_x000D_
[GatheringDetailsForPerformanceSystemChecks.xlsx|https://netcompany-my.sharepoint.com/:x:/p/isiampou/IQA4n6p5ju_OSJPMQSdgPr9rASk4o6y4x0Gx8ze82IJxL9o?e=t7Zi5V] , GR  - ASSUMPTIONS _tests_x000D_
_x000D_
Test to run from [https://confluence.intrasoft-intl.com/spaces/IC/pages/224720421/Test+Scenarios] _x000D_
 * *Scenarios:*_x000D_
 ** *R-001  - Registration Form - Natural person*_x000D_
 ** *R-003  -  Registration Form - Change Requests  (i.e. update an existing party with a new child detail like new name or ID plus we may expire an old value and add start date to the new record)*_x000D_
 ** *T-010  - Tax Form Posted*_x000D_
_x000D_
 * *In Parallel stress tests*_x000D_
 ** *Reference Data*_x000D_
 ** *GL Decisions*_x000D_
 ** *Bill Segments*_x000D_
 ** *Payment Segments*</t>
  </si>
  <si>
    <t>Priority 1 : Develop the indicated test scenarios and run them with purpose to pass or to log the issues identified.</t>
  </si>
  <si>
    <t>* -Need to prepare the Partitioning db for Performance reasons.- _x000D_
-It is assumed that each year and for the previous year a new partition will be created.-_x000D_
 * -We should be based not only in examples from customers but also on Product understanding on Solon schema.- _x000D_
_x000D_
 * In scope: volume tests to assess if, how and when DB partitioning can be used to improve performance; document strategies on how and when to use DB partitioning in product documentation. No product enhancements in scope of this feature. Implementing DB partitioning needs to be done by projects._x000D_
_x000D_
 _x000D_
_x000D_
_In Solon the tables that expect the most volumes are the below :_ _x000D_
_Audit logs__x000D_
_Context (new table not yet implemented)_ _x000D_
_Party , Party Child objects e.g. IDs, Names,  classifications__x000D_
_Party Roles , Party Roles Child objects__x000D_
_RTR, Obligations, Obligation Actions__x000D_
_Liabilities , Scope, balances__x000D_
_Bill Segments,__x000D_
_Payment segments,_ _x000D_
_Allocation segments_ _x000D_
_Allocation Links_ _x000D_
_Fts ,_ _x000D_
_Journal entries__x000D_
_Transfer amounts__x000D_
_Human Tasks,_ _x000D_
_Exceptions__x000D_
_Forms__x000D_
_Attachments__x000D_
_Notifications__x000D_
_Parties to Object access groups__x000D_
_x000D_
_On this list PD should also consult with the expected high volumes in the system._ _x000D_
_x000D_
 </t>
  </si>
  <si>
    <t>Partitioning db for Volume management and Performance reasons</t>
  </si>
  <si>
    <t>Performance -Known issues with performance in tasks assignment_x000D_
_x000D_
*Introduction*_x000D_
Assuming that automating and enhancing user assignments in tasks will introduce additional complexity (combined with the known performance issues of this functionality prior to these enhancements), we need to re-evaluate, measure, and improve its function performance._x000D_
The issue was reported by PD team without specific reporting on the results. _x000D_
_x000D_
 _x000D_
_x000D_
*Functional Requirements*_x000D_
a) Measure as-is_x000D_
b) Investigate performance enhancement  _x000D_
c) Make fixes estimation_x000D_
_x000D_
 _x000D_
_x000D_
*Expected LT volumes* _x000D_
|Transactions RM – Tasks|Year – Cases, assigned (human) tasks to users|~1.5 million tasks/year| |_x000D_
|Transactions RM – Tasks|Daily – Cases, assigned (human) tasks|~2,000–3,000/day| |_x000D_
|Transactions RM – Tasks|Peak – Cases, assigned (human) tasks|~5,000/day (during campaign or mass-processing periods)| |_x000D_
| |Stress|5000 in 1 hour| |_x000D_
_x000D_
Volumes : [https://confluence.intrasoft-intl.com/spaces/IC/pages/218929689/Assumptions+on+Data+Volumes+WIP]_x000D_
|API key object retrieval| ≤ 3 seconds|_x000D_
|UI interaction (FE respond any page)| ≤ 2 seconds |_x000D_
_x000D_
[https://confluence.intrasoft-intl.com/spaces/IC/pages/92740063/Performance] _x000D_
_x000D_
[GatheringDetailsForPerformanceSystemChecks.xlsx|https://netcompany-my.sharepoint.com/:x:/p/isiampou/IQA4n6p5ju_OSJPMQSdgPr9rASk4o6y4x0Gx8ze82IJxL9o?e=jPc9hi]</t>
  </si>
  <si>
    <t>Investigate and fix Task assignment performance issues</t>
  </si>
  <si>
    <t>Self Service Services Management Enhancements (2026)</t>
  </si>
  <si>
    <t>As a taxpayer or revenue authority user, I want to upload and manage required attachments while filling in a form (even before saving it), including during registration forms where the relevant party is not yet created, so that I can complete the submission process without unnecessary interruptions. _x000D_
_x000D_
*Background*_x000D_
In as-is system the form should be saved in order to be able to upload documents._x000D_
_x000D_
*Functional Requirements*_x000D_
 * Users (revenue officer or taxpayer) can upload attachments with permitted metadata while filling the form, before saving._x000D_
_x000D_
 * Users can view the list of uploaded attachments while filling the form (before saving)._x000D_
_x000D_
 * Before and After saving, users can:_x000D_
View attachments_x000D_
Add new attachments_x000D_
Remove attachments_x000D_
Edit metadata_x000D_
 * In RM , users can link attachments to additional system records (e.g., case file) while managing form attachments._x000D_
_x000D_
 * If attachment upload fails:_x000D_
The user is clearly informed by a message that attachment was not successfully uploaded. _x000D_
Form saving/submission is not blocked._x000D_
Successfully uploaded files remain attached. (Orphan issue).  _x000D_
_x000D_
 * Attachments modifications after saving are stored in audit log_x000D_
_x000D_
 _x000D_
_x000D_
*Documentation*_x000D_
Document all the above adjustments. _x000D_
_x000D_
*Non functional requirements*_x000D_
It is expected team to get aligned with respective teams and reassure that is not creating issues or the related NFRs will be tested :_x000D_
Performance , Security, Accessibility, Usability _x000D_
DODs should be fulfilled.</t>
  </si>
  <si>
    <t>We believe that allowing users to upload and manage attachments during the form-filling process (pre-save)_x000D_
will result in a better UX as it provides form filing steps clarity,  fewer "incomplete" submissions, delays because of missing attachments, and higher data integrity by ensuring documents are linked directly to the relevant parties/roles at the point of entry._x000D_
A measurement of filling form decrease time may be useful. </t>
  </si>
  <si>
    <t># Upload Before Save : User is  able to upload an attachments filling all applicable metadata while creating a form._x000D_
 # View and Manage Attachments Before and After Save:  user is able to see and manage attachments before and after saving form. After saving in RM user may additional link attachments to other records._x000D_
 # Failure Handling : Message appears if upload is failed without interrupting the form saving._x000D_
 # Post-Save Management: user shall have the ability to add new attachments or update the metadata of existing ones, with all changes logged in the system audit trail._x000D_
_x000D_
 </t>
  </si>
  <si>
    <t> _x000D_
 * *SS operational reports/contacts -Jasper*_x000D_
 ** I can generate and run Operational reports and contacts in SS._x000D_
_x000D_
 _x000D_
_x000D_
Note: This was defined as needed for Digital signature related api calls. _x000D_
_x000D_
 _x000D_
----_x000D_
 </t>
  </si>
  <si>
    <t>* I can generate and run Operational reports and contacts in SS.</t>
  </si>
  <si>
    <t>As a revenue officer and admin I need the service to be used in SS portal UI,  to be able to display details on the party that is related to selected Account. _x000D_
 - Latest valid details (related  [https://jira.intrasoft-intl.com/browse/IRM-31650] ) _x000D_
 - -All documents of Party-_x000D_
 - No need to include this in ISS UI in Solon tax. UI not in scope. _x000D_
_x000D_
*Functional Requirements*_x000D_
 * Taxpayer be able to access in SS details of the Party accounts (along party role details) related_x000D_
 (It is assumed that relevant agreements are applied).  _x000D_
No need to include this in ISS UI in Solon tax._x000D_
Notes : This is needed for Party and Party Role only (not Assets and claimants in SS) _x000D_
 * -Taxpayer can view in SS all documents of  Party accounts (along party role details) related.-_x000D_
 -(It is assumed that relevant agreements are applied and with the security as defined by functionality of [https://jira.intrasoft-intl.com/browse/IRM-28301] [https://jira.intrasoft-intl.com/browse/IRM-28302]  "Restricted to SS" ).- </t>
  </si>
  <si>
    <t>* Taxpayer can view in SS details of the Party accounts (along party role details) related_x000D_
 (It is assumed that relevant agreements are applied).  _x000D_
No need to include this in ISS UI in Solon tax._x000D_
_x000D_
Notes : This is needed for Party and Party Role only</t>
  </si>
  <si>
    <t>I need to see in SS as a taxpayer , the details of all related parties' history with period details plus current view. _x000D_
_x000D_
Based on [https://jira.intrasoft-intl.com/browse/IRM-31650] and [https://jira.intrasoft-intl.com/browse/IRM-31771] _x000D_
we need on demand to display retrospectively for a specific period the valid details of the requested party. _x000D_
Ui is not in scope. _x000D_
_x000D_
*Functional Requirements*_x000D_
 * (BE) In SS taxpayer may see details of the Party History (i.e. all the Party details with valid to older than today along with current valid values)_x000D_
No need to include this in ISS UI in Solon tax_x000D_
 * (BE) In SS taxpayer may search history of details  plus current using filters :_x000D_
a) Party_x000D_
d) Time period _x000D_
and system will display all history of valid information. _x000D_
No need to include this in ISS UI in Solon tax_x000D_
 * Child elements: _x000D_
_x000D_
Party Details - Party Data Area_x000D_
Individual_x000D_
Party state_x000D_
Party Address_x000D_
Party Identifier_x000D_
Party Name_x000D_
Party Bank Account_x000D_
Party Classification_x000D_
Party Contact, Party Contact label_x000D_
Party preference_x000D_
Asset to Asset relationship_x000D_
Asset to party role relationship, user right_x000D_
Valuation,  Valuation detail_x000D_
Party Role_x000D_
_x000D_
 _x000D_
_x000D_
Notes : This is needed for Party and Party Role only (not Assets and claimants in SS) </t>
  </si>
  <si>
    <t>* BE enhancements for SS_x000D_
 ** In SS taxpayer may see details of the Party History (i.e. all the Party details with valid to older than today along with current valid values) _x000D_
 ** In SS taxpayer may search history of details using filters :_x000D_
a) Party_x000D_
d) Time period _x000D_
_x000D_
Notes : This is needed for Party and Party Role only</t>
  </si>
  <si>
    <t>Customer's SS web application includes both authenticated and unauthenticated pages. _x000D_
These pages rely on translations, code lists, service lists, and service details that must be retrieved from SS (Service System)._x000D_
Currently, several critical GET endpoints require authentication, preventing unauthenticated pages from functioning correctly._x000D_
_x000D_
This feature introduces a *configuration-driven mechanism* that allows specific GET operations to be exposed {*}with or without authentication{*}, depending on business requirements—while maintaining backwards compatibility and security controls._x000D_
_x000D_
 _x000D_
_x000D_
*Functional Requirements* _x000D_
 * SS  UI: I can have available a page where user can access without being authenticated. _x000D_
 * -SS Authentications :  Each SS operation can be configured with an *AuthenticationState* parameter:- _x000D_
-AUTHENTICATED, NON-AUTHENTICATED, BOTH-  (moved to [https://jira.intrasoft-intl.com/browse/IRM-36809] , [https://jira.intrasoft-intl.com/browse/IRM-37865] )_x000D_
 * If *AuthenticationState* is not defined in YAML, the operation defaults to AUTHENTICATED._x000D_
+NEW Decision+ :  Each SS operation can be configured through yaml files and helm charts to Authenticated and Non-Authenticated _x000D_
_x000D_
 * *Translations*   (Technical suggestions in PSD-13824 )_x000D_
The application uses translatable tokens for its multilingual experience._x000D_
The Translation Management GET endpoints currently require authentication._x000D_
As a result, public (non-authenticated) pages cannot retrieve the translations they need, breaking localization on those pages._x000D_
 ** All listed GET endpoints can be accessed without authentication._x000D_
 ** Endpoints continue to return correct and complete translation data as per existing functionality._x000D_
 ** No regression in authenticated access – authenticated users should still be able to access these endpoints normally._x000D_
_x000D_
 * *CodeLists* (Technical suggestions in PSD-13825 ) _x000D_
Some public service-related pages require filters built from Code Lists._x000D_
Code List GET endpoints are currently restricted to authenticated users._x000D_
Therefore, public pages cannot render required filters, violating functional and project requirements._x000D_
_x000D_
 * _x000D_
 ** All listed GET endpoints can be accessed without authentication._x000D_
 ** Endpoints continue to return correct and complete data as per existing functionality._x000D_
 ** Authenticated access remains functional with no regression._x000D_
_x000D_
 * *SS-UI* ,  *Retrieve Service Lists &amp; Details Without Authentication* (PSD-13826)_x000D_
 ** SS-UI can successfully retrieve Service Lists and Service Details without authentication when configured as BOTH._x000D_
These operations currently require authentication, preventing SS-UI from fully functioning on public pages._x000D_
 ** Operations respond differently when the user is authenticated as a Legal Entity versus an Individual, as per business requirements. (services via roles are filtered)_x000D_
 ** Configuration changes are applied per operation without impacting unrelated operations._x000D_
_x000D_
 * Audit logs capture operation mode and authentication state for traceability._x000D_
 * Documentation is updated to describe the configuration options and default behavior._x000D_
_x000D_
 _x000D_
_x000D_
Additional Considerations_x000D_
 * Automated tests validate unauthenticated access and expected responses for each endpoint._x000D_
 * Backward compatibility is preserved for existing operations._x000D_
 * Security review needs to confirm if exposing these endpoints publicly does not compromise sensitive data. Details should be able to classified as *Public or not*_x000D_
_x000D_
 _x000D_
----_x000D_
Notes: _x000D_
For codelists a workaround may be suggested _x000D_
!image-2025-11-24-16-17-41-718.png!</t>
  </si>
  <si>
    <t>* SS  UI: I can have available a page where user can access without being authenticated. _x000D_
 * Each SS operation can be configured through yaml files and helm charts to Authenticated and Non-Authenticated _x000D_
_x000D_
 * *Translations*    GET endpoints can be accessed without authentication and with authentication_x000D_
 * *CodeLists*   GET endpoints can be accessed without authentication and with authentication_x000D_
 * *SS-UI* ,  Retrieve Service Lists &amp; Details Without Authentication and with authentication_x000D_
 * Audit logs capture operation mode and authentication state for traceability.</t>
  </si>
  <si>
    <t>Usability Enhancements (2026)</t>
  </si>
  <si>
    <t>As an ICARUS team member, I want the technical debt to be addressed right from the start in order to avoid implications and reduce the efforts in the future, so that the product is evolving organically. Additionally, I want to resolve any technical challenges that has risen up, so that methodologies are defined and can be followed. This Enabler gathers up all the technical debt and challenges generated/identified during previous PIs._x000D_
_x000D_
!image-2026-03-18-18-23-42-158.png!_x000D_
_x000D_
Plus, UI Improvements based on this presentation [https://netcompany-my.sharepoint.com/:p:/r/personal/kspontou_netcompany_com/_layouts/15/Doc.aspx?sourcedoc=%7B8B5942CC-A77D-4DCC-BE94-6E161D8A514C%7D&amp;file=SOLON%20UI.pptx&amp;action=edit&amp;mobileredirect=true]</t>
  </si>
  <si>
    <t>* Proper UI_x000D_
 * Continuous improvement</t>
  </si>
  <si>
    <t>Design specifics</t>
  </si>
  <si>
    <t>Improve Table with extra messages to cover 'No results' or 'Cannot apply search due to restrictions. Select more filters'</t>
  </si>
  <si>
    <t>UX improvements_x000D_
Clear messages to the user</t>
  </si>
  <si>
    <t>Implement top, bottom search panel as per Figma design._x000D_
Implement new title and Add button position</t>
  </si>
  <si>
    <t>Better user experience</t>
  </si>
  <si>
    <t>New search redesign based on Figma design</t>
  </si>
  <si>
    <t xml:space="preserve">1. Provide alternative positioning of filters. Instead of having filters in a drawer or in a collapsible panel inside the table, provide an extra positioning that allows admins to presents filters on top of the table/result list. To test the change, configure one of the entities (e.g. Party) so that filters are grouped in cards and use the new positioning option._x000D_
When this type has been configured, the filters are shown on top of the table and so the original search button ( !screenshot-1.png|thumbnail! ) should not exist._x000D_
_x000D_
2. Add expand all / Collapse all buttons to the top level panel. The buttons should expand all cards simultaneously or collapse them all. </t>
  </si>
  <si>
    <t>Extra configurability option to cover more project related needs._x000D_
UX friendly design</t>
  </si>
  <si>
    <t>Search filters should be displayed on top of a table, if configured as such</t>
  </si>
  <si>
    <t>Solon Product Look and feel to be updated and upgraded with new _x000D_
_x000D_
Branding assets_x000D_
_x000D_
Typography_x000D_
_x000D_
Palettes_x000D_
_x000D_
fields etc_x000D_
_x000D_
More details to be added once we have final designs</t>
  </si>
  <si>
    <t>..</t>
  </si>
  <si>
    <t>As a RM user, I need to be able to search the entire application so I can get the relevant search results _x000D_
_x000D_
The search that now is called ..... </t>
  </si>
  <si>
    <t># All searches using filters should perform across the entire app and not the current page_x000D_
 # All search results should be shown on current page the user is on</t>
  </si>
  <si>
    <t>As a RM user, I need to be able to have the same drop down behavior of all drop down menus so that I am have the same experience across the Solon product. _x000D_
_x000D_
A) Dropdowns and codelists. _x000D_
B) Lookup record - When searching for other records</t>
  </si>
  <si>
    <t>A) Dropdowns_x000D_
 # All drop downs lists should open inline dropdowns_x000D_
(default value is the first value of the drop down list - All values and then  in defined order as the codelist items or  alphabetical order or numerical order should follow). _x000D_
 # No modal windows should be linked to drop down menus_x000D_
 # There should be a visual guidance using symbols on all drop down lists_x000D_
_x000D_
B) Lookup record_x000D_
 # All lookup records (to config or transactional data)  should be designed in a way that a modal with as per entity search filters will be available._x000D_
 # Easy to find records selected filters should be clearly available_x000D_
ID, Name, Type</t>
  </si>
  <si>
    <t>As a Revenue Management (RM) user, I need to clearly distinguish between *View* and *Edit* modes and the *available actions* when accessing a Personal Calendar entry, so that I understand what actions are available and avoid unintended modifications._x000D_
_x000D_
The current system does not clearly differentiate these modes, resulting in user confusion and increased interaction friction._x000D_
_x000D_
*Introduction*_x000D_
_x000D_
This release introduces a significant user experience enhancement by creating a clear and distinct separation between viewing and editing records. The new design aims to reduce interaction friction, prevent accidental data modifications, and provide a more intuitive and efficient workflow for users managing their information._x000D_
_x000D_
*Functional Business Requirements*_x000D_
 * Display of Available Actions_x000D_
For every time‑off request, the system must present all actions that are available and applicable to the specific user, based on their permissions and the current status of the request. _x000D_
_x000D_
 * Read‑Only View Mode_x000D_
Each time‑off request can be opened in {_}View Mode{_}, where the request details are displayed in a Read‑Only state. In this mode, only the action buttons that the user is eligible to perform —according to their role, permissions, and the request’s status— must be visible._x000D_
_x000D_
 * Edit Mode_x000D_
The user must be able to edit the details of a time‑off request only when:_x000D_
 ** The request is in a status that allows modification, and_x000D_
 ** The user has the appropriate rights/permissions to perform edits._x000D_
_x000D_
*Out of scope*_x000D_
The determination of which menu options are available to a user—based on request status, user role, or permission rules is not part of the scope of this feature. _x000D_
*Documentation*_x000D_
Document all the above adjustments for viewing and editing personal calendars._x000D_
_x000D_
*Non functional requirements*_x000D_
Performance , Security, Traceability, Accessibility, Usability  DODs should be fulfilled. </t>
  </si>
  <si>
    <t>By introducing explicit View and Edit modes for the Personal Calendar, we will ** reduce user errors and unintended data modifications. This change will increase user confidence and task efficiency, leading to improved data integrity and a more intuitive user experience.</t>
  </si>
  <si>
    <t>* Menu items:_x000D_
 ** All the available/eligible to the specific user actions are listed as menu options on each time-off request._x000D_
 ** The View menu option is also available on top of the other action menu options to open the entity in a R.O detail view._x000D_
 ** The menu should also include an Edit action, if the user is permitted to edit the entity in its current state. This action will navigate the user directly to Edit Mode._x000D_
 * View Mode_x000D_
 ** Accessing an entity via the View action must open a detail page in a read-only state._x000D_
 ** The page header must clearly identify the entity and indicate the view-only status_x000D_
 ** All data fields within this mode must be non-editable._x000D_
 ** The page footer will contain buttons for permitted status-transition actions (Submit, Approve, Reject, Cancel) and a distinct Edit (if permitted) and Cancel buttons._x000D_
 ** Clicking the Edit button from View Mode will transition the user to Edit Mode_x000D_
 ** Clicking Cancel will close the drawer and focus will return to the current list of requests._x000D_
 * Edit mode:_x000D_
 ** The page header should indicate the edit status._x000D_
 ** Permitted fields will become editable._x000D_
 ** The page footer must display Save and Cancel buttons.  All other status-transition actions (like Submit, Approve) should be hidden._x000D_
 ** Clicking Save will commit the changes and return the user to the View Mode._x000D_
 ** Clicking Cancel will discard all changes and return the user to the View Mode._x000D_
_x000D_
 </t>
  </si>
  <si>
    <t> _x000D_
_x000D_
As a RM user, I need clear, intuitive access to keyboard and language shortcuts, profile information, and search so that my profile preferences are respected and interface shortcuts are logically placed._x000D_
_x000D_
 _x000D_
_x000D_
 </t>
  </si>
  <si>
    <t>*Keyboard support*_x000D_
 * The "Keyboard support" icon/link is no longer visible in the application's main header bar._x000D_
 * Navigate to the user's profile page and confirm a "Keyboard support" option is present and accessible._x000D_
 * Confirm that activating the "Keyboard support" option on the profile page functions as expected (e.g., opens a help modal)._x000D_
_x000D_
_x000D_
*Language*_x000D_
 * The language shortcut in the UI displays the user's currently selected language._x000D_
 * Use the shortcut to select a new language and confirm the application interface immediately updates._x000D_
 * Navigate to the user's profile page and confirm the language preference setting has been updated instantly._x000D_
 ** Test : Log out and log back in to ensure the new language is persisted._x000D_
_x000D_
*Info button*_x000D_
 * Confirm the "Info" shortcut/icon is no longer available in the main header bar._x000D_
 * Open the user's profile modal and confirm an "Info" link/section is present at the bottom._x000D_
 * Confirm the "Info" text/icon is styled with the agreed-upon color from the design specifications (tbc)_x000D_
_x000D_
*Search within page*_x000D_
 * Confirm the Search within pages input field and/or search icon is completely removed from the application's main header bar.</t>
  </si>
  <si>
    <t>As a RM user, I need to be able to clearly distinct if I click to open the record to view or to edit.  _x000D_
_x000D_
*Background*_x000D_
In current version, there is no clear distinction between “view” and “edit” states. Increase the likelihood of unintended changes._x000D_
We need to enable customers to preview records, and if needed perform actions on them.  _x000D_
To succeed that the record pages should be available in 2 stages : View and Edit. _x000D_
Additionally and to be able to streamline the way user reacts with the system:  need to remove double click shortcut in list view items,  and  use click to open a preview drawer. In preview or/and edit pages, the remaining action buttons e.g. status transitions may be available. Additionally in preview page a view the whole record in RO mode and edit/delete buttons should be available. _x000D_
_x000D_
_x000D_
_x000D_
_x000D_
*Documentation*_x000D_
Document all the above adjustments. _x000D_
_x000D_
 _x000D_
_x000D_
*Non functional requirements*_x000D_
It is expected team to get aligned with respective teams and reassure that is not creating issues or the related NFRs will be tested :_x000D_
Performance , Security, Accessibility, Usability _x000D_
DODs should be fulfilled.</t>
  </si>
  <si>
    <t>* Confirm that a single click on a record in a list view opens the "Quick View" summary drawer._x000D_
 * Confirm that double-clicking a record in a list view performs no action_x000D_
 * Confirm that a single click opens the drawer._x000D_
 * Confirm that a view menu item is available on list views_x000D_
 * Confirm that when view item is selected then it opens a drawer displaying record details (Quick view - summary view)_x000D_
 * Confirm the drawer contains action buttons at the bottom, including an "Edit" button and any applicable status transition buttons (e.g., "Approve," "Reject")._x000D_
 * Confirm the drawer contains a button/link (e.g., "Open Full View") that navigates the user to the full *read-only* page for that record._x000D_
 * Confirm that clicking the "Edit" button within the drawer navigates the user to the full "Edit" mode page for that record. _x000D_
 * Confirm that navigating to a record page (either from the drawer's "Full View" button or other links) opens the page in "View" mode by default._x000D_
 * Confirm the page title or header clearly indicates "View" mode and that all data fields are presented as non-editable, read-only text._x000D_
 * Confirm that attempting to type in fields, change selections in dropdowns, or toggle checkboxes in "View" mode has no effect on the data._x000D_
 * Confirm that in "View" mode, an "Edit" button is always displayed, and "Save"/"Cancel" buttons are hidden._x000D_
 * Confirm that clicking the "Edit" button (from either the "View" page or the "Quick View" drawer) transitions the page to "Edit" mode._x000D_
 * Confirm the page title or header clearly indicates "Edit" mode and that relevant data fields become editable input controls (e.g., text boxes, dropdowns)._x000D_
 * Confirm that in "Edit" mode, "Save" and "Cancel" buttons are displayed, and the "Edit" button is hidden or disabled_x000D_
 * Confirm that all primary user actions (View, Edit, Save, Cancel) are initiated via clearly labelled buttons or menu items.</t>
  </si>
  <si>
    <t> _x000D_
_x000D_
As a user, I want the main page bar to display only relevant information, include a Save button for quick saving, and show a breadcrumbs bar under the header so that I can easily navigate and manage my work._x000D_
_x000D_
 _x000D_
_x000D_
!image-2026-03-07-23-59-16-316.png!</t>
  </si>
  <si>
    <t>UX Enhancement  ... </t>
  </si>
  <si>
    <t>Global changes across the app_x000D_
 * Unnecessary titles (e.g. category) are removed from the main page bar; only relevant information is displayed to user._x000D_
 * A Save button is present in the main page bar, allowing users to save changes easily at any time._x000D_
 * A breadcrumbs bar is added under the header bar, indicating the user's current location in the application.</t>
  </si>
  <si>
    <t>As a user I need to be able to see the results of my search of registry records in relevant UI pages, as it is important locate the proper party /party role record.  _x000D_
The results should be either displayed in list or system should display a message on what needs to be done to get the results I need (e.g.  add more criteria to limit on the records in searching dataset).  _x000D_
_x000D_
System should hep me understand what I am seeing._x000D_
 - Easy to find widgets_x000D_
 - Always Surface _Some_ Results First &amp; keep it responsive  : No empty list views but show something without waiting for the whole query_x000D_
 - Clear Messaging on Limits and Encourage  Filtering  :  Limits enforceable server-side (10,000 query) ,  Show a clear message with what is it displayed and the limits reached  &amp; Message when No Records Show_x000D_
 - Alternative via Export flexibility ([https://jira.intrasoft-intl.com/browse/IRM-29306]) _x000D_
 - Create more filters for registry_x000D_
_x000D_
*Out of scope :* _x000D_
 - Modification in Search results (to be depicted in another ticket) _x000D_
 - Theming (to be depicted in another ticket)_x000D_
 _x000D_
_x000D_
*Background*_x000D_
_x000D_
Because of limit set by RLS, the dataset to search data in , i.e. the dataset returned by selected criteria, should not be more than 10000 records. This dataset will be further filtered based on user RLS meaning the results appear may be less or even 0._x000D_
_x000D_
 _x000D_
_x000D_
*Functional Requirements*_x000D_
_x000D_
*1) New filter :*_x000D_
Based on party type filter parties Person or  Legal Entity_x000D_
+Party Type Natural Person+_x000D_
Category = Party _x000D_
Legal Entity = False _x000D_
e.g.,: Individual: PERSONDM1 _x000D_
_x000D_
*2) Parameters:* _x000D_
Set default identifier for search for : _x000D_
 * Party , Party Role_x000D_
 * Asset_x000D_
 * Organization Unit_x000D_
 * Claimants_x000D_
_x000D_
+Note : this requirement may be ignored if search may happen by any identification type and one search identifier container for any identification (as is now in party search)+ _x000D_
_x000D_
*3) Default list view party :*_x000D_
 * Section *a)* Header similarly to as suggested by UX team adapted with the existing Solon functionality _x000D_
{*}Considerations{*}:  Export to spreadsheet buttons, select columns , save filter or use existing filter._x000D_
_x000D_
 * (widget) Section *b)* *Search by ID*_x000D_
Identifier Type  | Identifier ID _x000D_
One Identifier type will be the default (see paragraph 2 and check if may be ignored) .  The default Identifier type may be configured by customers as mentioned above  *(paragraph 2)* (e.g. for Greece their AFM ) (!) _x000D_
Note:  This widget may be used in home page, searching for Parties only by any identifier. _x000D_
_x000D_
 * Section *c)* Search if Natural *Person* or *Legal* entity _x000D_
 * Section *d)* Search by {*}criteria{*}. - Similar to what we have now with new UI . Separate filter as the filters are separated per tab now. (Need to improve in later stage)   _x000D_
 ** Results are filters per criteria in section c)_x000D_
 ** If query gathers more than the system limit (10000) records_x000D_
Message appears in the search criteria page when click to save criteria _x000D_
Your search criteria returns more than 10000 records. Try refine your filters to narrow this view. _x000D_
 * Section *e)* *Search Results*_x000D_
 **  Pagination, select columns, sorting , number of records shown, action buttons similarly to as is now. _x000D_
 ** If the dataset after RLS filtering results in zero records, the system shall display:_x000D_
"No records found. Results may be restricted based on your access rights."_x000D_
 ** If Results = 0 , show “No records found” message_x000D_
 ** Search results section appears only if here is no error and there are returned results (search results are less than 10000, no error and more than 0) _x000D_
 ** User may export results  ([https://jira.intrasoft-intl.com/browse/IRM-29306]) _x000D_
_x000D_
*4)* *Default list view Party Role :* _x000D_
Similarly, adding relevant filters and without section c) _x000D_
_x000D_
*5)*  *Default list view Asset* _x000D_
Similarly, adding relevant filters and without section c) _x000D_
_x000D_
*6)*  *Default list view Organizational Units* _x000D_
_x000D_
Similarly, adding relevant filters and without section c) _x000D_
_x000D_
*7)*  {*}Default list view Claimants{*}{*}{{*}}{*}{{*}}_x000D_
_x000D_
Similarly, adding relevant filters and without section c) _x000D_
_x000D_
 _x000D_
_x000D_
 _x000D_
_x000D_
 _x000D_
_x000D_
*UX:* _x000D_
_x000D_
[https://www.figma.com/make/1wLo5Uy0Qet6TYNcEBSvug/Search-Results-Page-with-Filters?p=f&amp;fullscreen=1]_x000D_
_x000D_
!image-2026-02-26-19-11-25-010.png!_x000D_
_x000D_
!image-2026-02-26-19-12-09-440.png!_x000D_
_x000D_
 _x000D_
_x000D_
*Documentation*_x000D_
Document all the above adjustments. _x000D_
_x000D_
 _x000D_
_x000D_
*Non functional requirements*_x000D_
It is expected team to get aligned with respective teams and reassure that is not creating issues or the related NFRs will be tested :_x000D_
Performance , Security, Accessibility, Usability _x000D_
DODs should be fulfilled._x000D_
----_x000D_
*Notes:* _x000D_
-General Web UI Pattern_x000D_
Modern list components (whether in enterprise UIs like Microsoft Fluent, Salesforce-style grids, or custom apps) use techniques like:_x000D_
Virtualized rendering (only render what’s visible in the viewport, not all records). This helps handle very large lists without freezing the UI._x000D_
Indexed filters and query limits to constrain what gets pulled from the server._x000D_
_x000D_
-Progressive Load with Early Results_x000D_
Perform a lightweight server query that fetches the top N records (e.g., 2,000)._x000D_
Display those instantly as the “preview” of the full list._x000D_
Meanwhile, the system in the background can continue gathering metadata about total matches._x000D_
This gives users a quick answer — they feel in control and the app feels fast._x000D_
_x000D_
-Use Virtualization_x000D_
Only render rows that are visible on screen (plus a buffer)._x000D_
As the user scrolls, dynamically load/render more items._x000D_
This improves performance for very large lists_x000D_
_x000D_
 </t>
  </si>
  <si>
    <t>If customers can configure a {*}default identifier per entity type{*}, users will rely on familiar, local identifiers and complete searches faster with fewer errors._x000D_
A dedicated *Search by ID widget* will support “expert users” who already know the identifier, reducing time-to-record to seconds._x000D_
Separating search intent early (person vs legal entity) will prevent broad queries and mismatched results._x000D_
A modern criteria builder with feedback on result size will prevent “system overload” queries and guide users toward effective filtering._x000D_
The new UX will make it easier for the customers to work with the environment. </t>
  </si>
  <si>
    <t>*1) New filter  Person / Legal Entity*_x000D_
_x000D_
*2) Parameters:*_x000D_
Set default identifier for search for : _x000D_
 * Party , Party Role_x000D_
 * Asset_x000D_
 * Organization Unit_x000D_
 * Claimants_x000D_
+Note : this requirement may be ignored if search may happen by any identification type and one search identifier container for any identification (as is now in party search)+ _x000D_
_x000D_
*3) Default list view party :*_x000D_
 * Section *a)* Header similarly to as suggested by UX team adapted with the existing Solon functionality _x000D_
{*}Considerations{*}:  Export to spreadsheet buttons, select columns , save filter or use existing filter._x000D_
_x000D_
 * (widget) Section *b)* *Search by ID*_x000D_
Identifier Type  | Identifier ID _x000D_
If applicable , The default Identifier type may be configured by customers as mentioned above  *(paragraph 2)* (e.g. for Greece their AFM ) _x000D_
Note:  This widget may be used in home page, searching for Parties only. _x000D_
_x000D_
 * Section *c)* Search if Natural *Person* or *Legal* entity _x000D_
 * Section *d)* Search by {*}criteria{*}. - Similar to what we have now with new UI . Separate filter as the filters are separated per tab now. (Need to improve in later stage)   _x000D_
 ** Results are filters per criteria in section c)_x000D_
 ** If query gathers more than the system limit (10000) records_x000D_
Message appears in the search criteria page when click to save criteria _x000D_
Your search criteria returns more than 10000 records. Try refine your filters to narrow this view. _x000D_
 * Section *e)* *Search Results*_x000D_
 **  Pagination, select columns, sorting , number of records shown, action buttons similarly to as is now. _x000D_
 ** If the dataset after RLS filtering results in zero records, the system shall display:_x000D_
"No records found. Results may be restricted based on your access rights."_x000D_
 ** If Results = 0 , show “No records found” message_x000D_
 ** Search results section appears only if here is no error and there are returned results (search results are less than 10000, no error and more than 0) _x000D_
 ** User may export results  ([https://jira.intrasoft-intl.com/browse/IRM-29306]) _x000D_
_x000D_
*4)* *Default list view Party Role :* _x000D_
Similarly, adding relevant filters and without section c) _x000D_
_x000D_
*5)*  *Default list view Asset* _x000D_
Similarly, adding relevant filters and without section c) _x000D_
_x000D_
*6)*  *Default list view Organizational Units* _x000D_
_x000D_
Similarly, adding relevant filters and without section c) _x000D_
_x000D_
*7)*  {*}Default list view Claimants{*}{*}{{*}}{*}{{*}}_x000D_
_x000D_
Similarly, adding relevant filters and without section c) </t>
  </si>
  <si>
    <t>As an ICARUS team member, I want the technical debt to be addressed right from the start in order to avoid implications and reduce the efforts in the future, so that the product is evolving organically. Additionally, I want to resolve any technical challenges that has risen up, so that methodologies are defined and can be followed. This Enabler gathers up all the technical debt and challenges generated/identified during previous PIs._x000D_
_x000D_
!image-2025-12-12-15-03-55-976.png!_x000D_
_x000D_
Plus, UI Improvements based on this presentation [https://netcompany-my.sharepoint.com/:p:/r/personal/kspontou_netcompany_com/_layouts/15/Doc.aspx?sourcedoc=%7B8B5942CC-A77D-4DCC-BE94-6E161D8A514C%7D&amp;file=SOLON%20UI.pptx&amp;action=edit&amp;mobileredirect=true]</t>
  </si>
  <si>
    <t>This enabler focuses on improving the overall usability and user experience of the Solon Tax application._x000D_
It includes development, QA, and FAT efforts addressing issues identified during accessibility testing, as well as UI/UX refinements to enhance clarity, navigation, and responsiveness._x000D_
_x000D_
The goal is to deliver a smoother, more intuitive interaction for all users while ensuring that accessibility-related improvements integrate seamlessly into the product’s visual and functional design.</t>
  </si>
  <si>
    <t>By enhancing usability through refined interactions, improved layouts, and consistent component behavior, users can complete their tasks more efficiently and with greater confidence._x000D_
_x000D_
These improvements increase user satisfaction, reduce friction, and strengthen the overall quality and inclusiveness of the Solon Tax experience.</t>
  </si>
  <si>
    <t>* Identified usability and interaction issues from previous testing cycles/assessments are resolved._x000D_
_x000D_
 * UX, QA, and FAT teams validate improvements to navigation, responsiveness, and clarity._x000D_
_x000D_
 * UI/UX team provides input for consistent and intuitive UI component behavior._x000D_
_x000D_
 * Enhancements are implemented without degrading performance._x000D_
_x000D_
 * QA validation confirms improved ease of use and visual consistency across key user journeys._x000D_
_x000D_
 * Documentation and release notes reflect the implemented usability refinements.</t>
  </si>
  <si>
    <t>*Improve the search experience*_x000D_
 * _Remove apply buttons__x000D_
 * _Improve Search when  looking up other entities ( e.g. Bill segment -&gt; Obligation Action -&gt; Party Role , Search and then apply and then select ) This means a placeholder as search improvements are not yet listed. There are several in List pages and while we are creating records._ _x000D_
 * _Quick Global search  (Add the text and then search for all related records - results per entity)__x000D_
 * _Recent items  (which records I recently accessed)_ _x000D_
 *  _Search in Party / Party Role page ALL relevant records for this taxpayer e.g. Obligations, OAs, Liabilities, Bill segments, Bills, Payments, Forms etc._ _x000D_
 * _(difficult) Search in all relevant entities per revenue type (BS/PS/AS, Forms  etc)_ </t>
  </si>
  <si>
    <t>-  Search_x000D_
 -- Autocomplete, suggestions, ranking, search relevant items, cross entity searching. _x000D_
 - Navigation_x000D_
 -- natural language navigation ,  suggest quick links on frequently used items, suggest next action, voice commands_x000D_
 - SS: AI Assistant_x000D_
 -- Support taxpayer to fill-in a form_x000D_
 -- Suggest next step (e.g. submit new form, amend a form after marriage status update)_x000D_
 -- Document management / ** classify PDFs or other files per period, or transaction type._x000D_
 - SS:  Live support /BOTs _x000D_
 -- Support taxpayer on actions /live support_x000D_
 -- help agents to respond more quickly, automate responses where possible_x000D_
_x000D_
 </t>
  </si>
  <si>
    <t>- Search_x000D_
 -- Autocomplete, suggestions, ranking, search relevant items, cross entity searching. _x000D_
 - Navigation_x000D_
 -- natural language navigation ,  suggest quick links on frequently used items, suggest next action, voice commands_x000D_
_x000D_
 - RM  - Customer overview _x000D_
 -- Notifications e.g most likely to delay filling obligations for...._x000D_
 -- Suggest next actions_x000D_
 -- Summarize taxpayer overview.  _x000D_
 -- detect suspicious or incorrect patterns that rule-based logic might miss._x000D_
 - RM - Document Management_x000D_
 -- Document management /Classify documents sent as attachments or in any other ways by mapping them to the right taxpayer, period, or transaction types_x000D_
 - RM - Support Reconciliations_x000D_
 --  Time-consuming job of reconciliations may be supported  </t>
  </si>
  <si>
    <t>As a user I need to see the timestamp and the origin of the records that I see or search for in Code lists, parties, addresses. _x000D_
The records were initially created in  IRM-27267  , IRM-29175  ,  IRM-27394 _x000D_
_x000D_
*Functional requirements*_x000D_
_x000D_
*A. Address* _x000D_
 # User can see in record pages "{*}Source{*}" , "{*}Creation Date{*}" , "{*}Modification Date{*}" as RO, in *Addresses*_x000D_
 # User can see in search results optionally the columns "Source" , "Creation Date" , "Modification Date"  in  *Addresses*_x000D_
 # User can search by "Source" , "Creation Date" , "Modification Date" in *Addresses*_x000D_
_x000D_
*B. Other*_x000D_
 # User can see in search results optionally the columns "Source" , "Creation Date" , "Modification Date"  in  {*}Codelists items{*}, *Parties*_x000D_
 # User can search by "Source" , "Creation Date" , "Modification Date" in  {*}Codelists{*}, *Parties* _x000D_
Source field  is filled using  global CL list created. The default value may be defined by the customers._x000D_
 # Source field for manually created records_x000D_
Field is filled in by a Manual /Current system value in global CL list created. _x000D_
The default value may be changed by the customers when configuring. _x000D_
_x000D_
 </t>
  </si>
  <si>
    <t>*A. Address* _x000D_
 # User can see in record pages "{*}Source{*}" , "{*}Creation Date{*}" , "{*}Modification Date{*}" as RO, in *Addresses*_x000D_
 # User can see in search results optionally the columns "Source" , "Creation Date" , "Modification Date"  in  *Addresses*_x000D_
 # User can search by "Source" , "Creation Date" , "Modification Date" in *Addresses*_x000D_
_x000D_
*B. Other*_x000D_
 # User can see in search results optionally the columns "Source" , "Creation Date" , "Modification Date"  in  {*}Codelists items{*}, *Parties*_x000D_
 # User can search by "Source" , "Creation Date" , "Modification Date" in  {*}Codelists items{*}, *Parties*_x000D_
 # Source field  is filled using  global CL list created. The default value may be defined by the customers. _x000D_
_x000D_
 </t>
  </si>
  <si>
    <t>As a user, I want to export the data in a table to Excel, so that I can manipulate and analyze that data in Excel._x000D_
_x000D_
*Introduction*_x000D_
_x000D_
Previously was implemented the [https://jira.intrasoft-intl.com/browse/IRM-17202. |https://jira.intrasoft-intl.com/browse/IRM-17202]_x000D_
with some limitations as to export into excel only the data that is visible on the UI.  In admin side the [https://jira.intrasoft-intl.com/browse/IRM-17203] was implemented as to enable by ui schemas this capability. _x000D_
_x000D_
The new requirements are that we need to expand the functionality, as to be able to export all the results listed after a filter is applied. _x000D_
Additionally, we need to define the max number of rows that will be possible to be exported in one file. If the result is more than this number, and user tried to export them , then a message will be displayed in the screen for informational purposes and exported them in batches as per max number of rows defined. _x000D_
_x000D_
 _x000D_
_x000D_
*Functional Requirements*_x000D_
 * *Export Row Limit*  (parameter)_x000D_
 ** The system must have a *configurable maximum number of rows* allowed for export (system parameter). Default limit: 5000 records.  Purpose: safeguard performance and reassure users of the export expected behavior. _x000D_
_x000D_
 * *Exporting* _x000D_
 ** A user can *request export* of data from a specific table in the UI - as already implemented- ._x000D_
 ** Export is only possible if the administrator has *enabled export for that table* (see IRM-17203) and the search results (listed rows) are greater than  0._x000D_
 ** Users must be able to select the location where the Excel file will be saved (as implemented). Once a location is chosen, the user can trigger the export_x000D_
 ** Export may happen for the screen displayed items (as implemented)  or all resulted items._x000D_
 ** Export may happen in xls or csv format and encoding UTF-8  (?) ._x000D_
 ** (?) Is it possible to maintain a user permission to be able or not export to excel? _x000D_
_x000D_
 * *Columns*_x000D_
 ** Only visible columns in the UI will be exported._x000D_
 ** Users can configure which columns are visible for each table using existing options._x000D_
 ** The columns labels are same as the UI screen visible labels (same language)._x000D_
 ** The column order will follow UI order._x000D_
 * *Row* Selection and Filtering_x000D_
 ** Exported rows are based on the result set after filters/search criteria have been applied._x000D_
 ** The system will export up to the configured maximum row limit, even if more results exist._x000D_
Example: Party table has 1000 records. User applies a filter → 700 records remain. Export row limit = 500. -&gt; Only the first 500 filtered records (as ordered in the UI list) are exported._x000D_
 ** If the user attempts to export more rows than allowed, the system displays an informational message._x000D_
 *** If the filtered result set exceeds the permitted row limit, the exported rows must follow the ordering currently defined in the UI list._x000D_
 *** ({{*}}{*}{*} need to investigate and decide this - See below decision in Notes section)_x000D_
 *** Example message : "The number of rows that can be exported  in one file is up to &lt;parameter&gt; rows. Because of that, several files will be exported to complete your request. "_x000D_
 * Post-Export *messages*_x000D_
 ** If export is successful → the user sees the Excel file saved in the selected location._x000D_
 ** If export fails → the user sees a clear error message._x000D_
_x000D_
{*}In Scope Example{*}:_x000D_
*Registration only.* _x000D_
Enable exporting in xls for Party (if needed to be implemented in one type select Individuals)  and  for Party roles. _x000D_
_x000D_
+Notes:+ _x000D_
_x000D_
({*}Decision - Discus additional effort :{*} _x000D_
(?) sequency of exports per maximum number automated by the system till all the rows to be exported , Export all data resulted by search criteria per batches in different xls as per maximum number of rows parameter . _x000D_
exporting finally as many files as needed to complete exporting all the rows in list._x000D_
_x000D_
)_x000D_
_x000D_
 _x000D_
_x000D_
*Documentation*_x000D_
Document all the above adjustments. _x000D_
_x000D_
 _x000D_
_x000D_
*Non functional requirements*_x000D_
Performance , Security, Accessibility, Usability  DODs should be fulfilled. </t>
  </si>
  <si>
    <t>By expanding the export functionality beyond just the visible rows on the screen, users will: Save time by avoiding repetitive manual copy/paste.  Be able to analyze complete filtered datasets, not just UI subsets. Increase efficiency and productivity in reporting, reconciliation, and data analysis tasks. _x000D_
Gain confidence in the system’s performance and reliability through clear limits and error messages. This will result in higher user satisfaction, reduced workaround/manual effort, and better adoption of the product for data-heavy workflows.</t>
  </si>
  <si>
    <t>*1  Export Permission &amp; Process*_x000D_
1.1. User can only export data from tables where export is enabled by the administrator._x000D_
1.2. If export is not enabled for a table, the export option is not available to the user._x000D_
1.3. User can select the export format: Excel (.xls) or CSV (.csv)._x000D_
1.4. Exported files are encoded in UTF-8._x000D_
1.5. User can select the file save location before initiating the export._x000D_
1.6. Once a location is selected, the user can trigger the export via the UI control._x000D_
_x000D_
*2  Filtering &amp; Row Selection*_x000D_
2.1. Exported rows must reflect applied filters and search criteria._x000D_
2.2. If no rows remain after filtering, the export option is disabled (or produces an empty file)._x000D_
2.3. Ordering of exported rows matches the ordering currently defined in the UI list._x000D_
_x000D_
*3  Column Rules*_x000D_
3.1. Only columns visible in the UI are exported._x000D_
3.2. Exported column headers match the UI labels (in the user’s active language)._x000D_
3.3. Exported column order matches the column order shown in the UI._x000D_
_x000D_
*4  Post-Export Feedback*_x000D_
4.1. If the export completes successfully, the file is created in the selected location._x000D_
4.2. If the export fails, the user sees a clear and descriptive error message._x000D_
4.3. If the export process takes longer than a configurable threshold (e.g., 5 seconds), the user sees a progress indicator. _(optional)__x000D_
_x000D_
*-5  Row Limits- (NOT implemented due to row level security).*_x000D_
5.1. The system has a configurable export row limit (default = 5000 records)._x000D_
5.2. If the filtered result set exceeds the row limit, only the top N rows (according to the current UI order) are exported._x000D_
5.3. If the user attempts to export more rows than allowed, the system displays an *informational message,* and continues the export in several files (tbc)_x000D_
_x000D_
{*}6. Example{*}: _x000D_
Scope: Registration _x000D_
Enable exporting in xls for Party (if needed to be implemented in one type select Individuals)  and  for Party roles.  </t>
  </si>
  <si>
    <t>AEOI, ViDA &amp; Other Data Exchange (2026)</t>
  </si>
  <si>
    <t>*FLOW :*_x000D_
_x000D_
{color:#505f79}1. Invoice Creation (Seller ERP/Accounting System){color}_x000D_
{color:#505f79}Seller generates invoice in EN 16931 compliant format (structured XML/UBL).{color}_x000D_
{color:#505f79}Integration Needed: ERP/accounting system must be able to export EN 16931 e-invoic{color}es._x000D_
_x000D_
_2._ *Submission / Pre-Validation (National Digital Reporting System, DRR)*_x000D_
Invoice data is sent electronically to the tax authority before being delivered to the buyer._x000D_
Integration Options:  Direct API from ERP to tax authority system, or  PEPPOL Access Point that connects ERP  TO  tax authority network endpoint._x000D_
Purpose: pre-validation and acknowledgment._x000D_
_x000D_
*3. Validation by Tax Authority*_x000D_
Tax authority checks: Invoice format (EN 16931 compliance) ,  VAT numbers and amounts ,  Business rules and optional risk checks_x000D_
Outcome process: _x000D_
Accepted: unique ID and timestamp assigned_x000D_
Rejected : correction requested_x000D_
Integration Needed: Validation engine integrated with DRR database &amp; ERP feedback mechanism._x000D_
_x000D_
{color:#505f79}4.   Invoice Delivery to Buyer_x000D_
Once validated, invoice is transmitted electronically to the buyer system (ERP or e-invoicing platform).{color}_x000D_
{color:#505f79}Integration Needed: PEPPOL or other secure delivery channels to buyer system.{color}_x000D_
_x000D_
*5. Storage and EU Data Exchange*_x000D_
Tax authority stores invoice data in national database._x000D_
For cross-border transactions, summary data or full invoices may be shared with EU Member States via VIES 2.0._x000D_
Integrations Needed:   _x000D_
National DB from and to  VIES 2.0 interface _x000D_
Internal reporting / archival systems_x000D_
Long-term *archive* of e-invoices, {*}logs{*}, and *declarations* / Security (data retention)_x000D_
GDPR_x000D_
_x000D_
*6. Reconciliation / VAT Return &amp; Compliance*_x000D_
Invoice data is used to:_x000D_
Auto-populate VAT returns for the taxpayer_x000D_
Pre-fill VAT declarations in OSS/IOSS or national system /Extend OSS usage   (?) _x000D_
Share summary data with EU authorities for cross-border reconciliation_x000D_
Integration Needed:_x000D_
DRR from/to VAT return processing system,_x000D_
OSS/IOSS connectors_x000D_
(Low- Optional) Payment &amp; Banking Interfaces to verify VAT collection_x000D_
_x000D_
*7. Monitoring and Risk Analysis*_x000D_
Real-time analytics for:  Cross-checking declarations , Fraud detection ,  Audit trails and compliance reporting_x000D_
Integration Needed: DRR / national DB ↔ Analytics engines / Risk management platforms_x000D_
_x000D_
 _x000D_
_x000D_
Other: _x000D_
Make sure the exceptions of any failures are logged _x000D_
_x000D_
_What is for revenue authority : a) Expand and consolidate systems like mydata (Greece) SDI (Italy) , SII (Spain) b) e-invoicing  integration, connection to VIES 2.0, e-invoicing support, c) New rules for e-Invoices, data retention, real-time reporting ,  d)  Interconnects ERP and e-Invoicing Providers with new APIs and infrastructures for real-time reporting , e) Data protection, auditing, traceability, data analytics, train personnel , specs, instructions, helpdesk.__x000D_
_x000D_
 _x000D_
_x000D_
– Additional_x000D_
— data validation and enrichment engines for real-time submissions._x000D_
— fraud-detection analytics and risk scoring models._x000D_
— cross-matching of domestic vs. cross-border data (via VIES 2.0)._x000D_
— dashboards and audit trails for inspectors and management.</t>
  </si>
  <si>
    <t>Reference Data Enhancements (2026)</t>
  </si>
  <si>
    <t>As an RM Admin, I can update reference data with a codelist item having a code that is not unique, while its description is updated with different validity periods (no overlap), so as to comply with EU regulating updates._x000D_
_x000D_
*Introduction* _x000D_
_x000D_
*Tax Activity Codes in the EU:* There is no single "tax code" for all EU members. Instead, three main systems are used:_x000D_
 * {*}NACE Codes{*}: The official statistical classification for economic activities. The current version is *NACE Rev. 2.1* (effective Jan 1, 2025). Attached in this feature for reference. _x000D_
 * {*}VAT Category Codes{*}: Standardized letters (e.g., *S* for Standard, *E* for Exempt) used in electronic invoicing._x000D_
 * {*}VATEX Codes{*}: Specific codes used to justify *VAT exemptions* based on EU Directive 2006/112/EC._x000D_
 * *Customs Codes (TARIC/CN)* For the import/export of goods, the Combined Nomenclature (CN) is used, which is an 8-digit coding system. _x000D_
_x000D_
In Greece, AADE (Independent Authority for Public Revenue) has proceeded with the mapping of the old activity codes (KAD 2008) to the new KAD 2025, a process which began on March 1, 2026. There is a direct correlation between Greek KAD (Activity Code Numbers) and NACE codes. KAD constitute the national version of the European NACE classification._x000D_
 * {*}Structure{*}: The first 4 characters of an eight-digit Greek KAD are fully identical to the 4 characters of the corresponding NACE code._x000D_
 * {*}2026 Harmonization{*}: AADE recently proceeded (as of 01/03/2026) with an automatic update of KADs for 1.9 million Tax IDs (AFM), in order to fully harmonize them with the new European standard {*}NACE Rev. 2.1{*}._x000D_
 * {*}Purpose{*}: This mapping ensures that economic activities in Greece are comparable to those of other EU member states for statistical and regulatory purposes._x000D_
_x000D_
*When a Code is Updated*_x000D_
_x000D_
When the EU updates the NACE structure:_x000D_
 * {*}Automatic Migration{*}: Most codes are automatically updated by national tax authorities (like AADE in Greece) if there is a 1-to-1 match._x000D_
 * {*}Manual Selection{*}: If one old code splits into multiple new ones, the taxpayer must manually select the most accurate one via the tax portal._x000D_
 * {*}Description Changes{*}: A code's number *can stay the same while its description* *is updated* to reflect modern technology or clearer definitions._x000D_
_x000D_
Validity and History_x000D_
 * {*}Historical Accuracy{*}: A code must be valid for the period it was used. If you are filing an amended return for 2024, you use the code that was active in 2024, not the new 2025/2026 version._x000D_
 * {*}EU-Wide Validity{*}: This principle of historicity applies to all EU countries. While the digital portals differ (e.g., myAADE in Greece), the transition logic to NACE Rev. 2.1 is harmonized across the Union._x000D_
_x000D_
For Greek Tax Authority_x000D_
The code *must remain valid* for the period prior to the change, as tax and statistical representation follows the principle of historicity. In practice, this means the following: * {*}Principle of Historicity{*}: For any transaction, declaration, or audit concerning the past (e.g., fiscal year 2024), the code that was in effect *at that time* is used. New codes (e.g., KAD 2025/2026) apply only to actions from their effective date onwards._x000D_
 * {*}System Maintenance{*}: AADE and Eurostat systems maintain the "historical versions" of the codes. If you need to file an amended return for a previous year, you must use the old code that corresponded to that specific period._x000D_
 * {*}Migration (Mapping){*}: The mapping performed by AADE does not "erase" the past; it creates a new entry in your Registry history. The "Registry Certificate" will show the expiration date of the old code and the start date of the new one._x000D_
 * {*}Audits and Cross-checks{*}: In the event of a tax audit for a past fiscal year, auditors examine the activity based on the description and the code that were in effect at the time of the transaction._x000D_
_x000D_
The current Solon Tax platform implementation requires unique codes for codelist items within the same codelist. However, EU tax regulations, particularly for tax activity codes (NACE, VAT Category, VATEX), require the ability to maintain the same code with different descriptions across different validity periods to support historical accuracy and regulatory compliance._x000D_
_x000D_
*Current Implementation Support*_x000D_
_x000D_
The platform currently supports:_x000D_
 * Unique code constraint for codelist items within a codelist_x000D_
 * Basic validity period management with valid_from and valid_to fields_x000D_
 * Codelist item labels with language support_x000D_
_x000D_
*To Be Implementation*_x000D_
_x000D_
Allow the same code to be added for different validity periods with:_x000D_
 * No overlap between validity periods for the same code_x000D_
 * Different descriptions for the same code across different time periods_x000D_
 * Historical data preservation for reporting and backdated updates_x000D_
_x000D_
*Functional Business Requirements*_x000D_
 # {*}Historical Code Management{*}: Enable codelist items to have the same code with different descriptions across non-overlapping validity periods_x000D_
 # {*}Temporal Data Integrity{*}: Ensure no validity period overlaps exist for items with the same code within a codelist_x000D_
 # {*}Backdated Processing Support{*}: Allow selection of historical codelist items when processing backdated taxpayer updates_x000D_
 # {*}Regulatory Compliance{*}: Support EU tax code evolution requirements (NACE Rev. 2.1)_x000D_
 # {*}Reporting Continuity{*}: Maintain historical reference data for accurate reporting across different time periods_x000D_
_x000D_
*Documentation*_x000D_
Document all the above adjustments for updating reference data to support compliance with EU updates codes not unique per validity period._x000D_
_x000D_
 _x000D_
_x000D_
*Non functional requirements*_x000D_
Performance , Security, Traceability, Accessibility, Usability  DODs should be fulfilled. </t>
  </si>
  <si>
    <t>This enhancement will enable accurate historical tax processing and compliance with EU regulations that require code evolution while maintaining historical accuracy for reporting and backdated transactions.</t>
  </si>
  <si>
    <t>* Same codelist item code can exist multiple times with different validity periods (no overlap)_x000D_
 * Different descriptions can be associated with the same code across different time periods_x000D_
 * Historical codelist items are preserved and accessible for reporting_x000D_
 * Backdated taxpayer updates can select appropriate historical codelist items based on transaction date_x000D_
 * System validates no overlapping validity periods for same code within a codelist_x000D_
 * Migration functionality supports automatic code updates when 1-to-1 mapping exists_x000D_
 * Manual selection interface available when one code splits into multiple new codes_x000D_
 * API endpoints support querying codelist items by effective date_x000D_
 * UI displays historical versions of codelist items appropriately</t>
  </si>
  <si>
    <t>As a user I should be able to update a party, even in case where codelist items related to that paty type have expired, so that I am able to update any party atribute needed. _x000D_
_x000D_
*Introduction* _x000D_
_x000D_
This feature is a result of a blocking incident followed by a CR from LT Project (both linked to this issue), where updating a party is not feasible when expired codelist items exist. It is identified as an issue in all projects therefore created this issue to provide a solution for all projects. Prefered related solution was discussed and agreed between current projects of LT &amp; GR as well as PD &amp; PDM.  _x000D_
_x000D_
*Functional Requirements* _x000D_
 * Disable temporal validation for validity period on codelist items. As a result temporal validation are in scope of respective form rules created and maintained by project teams, to provide flexibility necessary for implementations. _x000D_
 * Only check that codelist item exists_x000D_
_x000D_
*Impact Analysis -* *Business Impact*_x000D_
 * Improved User Experience: Users can update party information without being blocked by expired codelist items_x000D_
 * Operational Flexibility: Implementations can manage temporal constraints through business rules rather than system constraints_x000D_
 * Reduced Support Incidents: Eliminates blocking scenarios where valid business operations are prevented by technical validation_x000D_
_x000D_
*Areas Requiring Consideration:*_x000D_
_x000D_
Form Validation Logic_x000D_
 * Forms that previously relied on codelist date validation must implement custom date checks where business rules require them_x000D_
 * Example: Individual Registration Form, Business Registration Form etc. _x000D_
_x000D_
Business Process Rules_x000D_
 * Workflow engines and business rule systems need explicit date validation logic for time-sensitive codelist items_x000D_
 * Process definitions must be updated to include temporal checks where business-critical_x000D_
_x000D_
Integration Impact _x000D_
 * Downstream systems expecting only valid (non-expired) codelist items may receive unexpected data_x000D_
 * API consumers need to be informed about the change in validation behavior_x000D_
 * Data exchange formats may need to include validity period information_x000D_
_x000D_
*Reference Implementation Impact*_x000D_
_x000D_
Based on the analysis on Solon Tax product the following areas are impacted from this requirement implementation:_x000D_
_x000D_
Party Management_x000D_
 * Create Party: Party creation and update processes will no longer validate codelist item dates_x000D_
 * Party Types: Classification types, contact types, and identifier types will only check existence_x000D_
 * Address Management: Address type validations will be relaxed_x000D_
_x000D_
Form Processing_x000D_
 * Existing Forms: Form validation logic may need updates for temporal requirements_x000D_
 * Party Type Forms: Business &amp; Individual registration forms need careful review of temporal requirements_x000D_
_x000D_
Demo Data and Testing_x000D_
 * Demo codelist items with expired dates will still be usable_x000D_
 * Test scenarios need updates to reflect both validation approaches_x000D_
_x000D_
*Risk Assessment*_x000D_
 * Regulatory Compliance: Tax and legal processes that depend on temporal validity of codelist items_x000D_
 * Audit Trail: Need to ensure audit processes can track when expired items are used_x000D_
 * Cross-System Integration: Systems expecting temporal validation may need updates_x000D_
 * Data Quality: Without automatic date validation, data quality processes need enhancement_x000D_
_x000D_
*Mitigation Strategies*_x000D_
_x000D_
Implementation Guidelines - Documentation_x000D_
 * Provide clear documentation on when to use relaxed validation vs. strict date validation_x000D_
 * Create migration guides for existing implementations_x000D_
 * Establish best practices for implementing business-specific temporal validation_x000D_
_x000D_
Monitoring and Control_x000D_
 * Implement logging when expired codelist items are used_x000D_
 * Create alerts/warnings for business processes using expired items in critical contexts_x000D_
_x000D_
 </t>
  </si>
  <si>
    <t>* Reduced Support Incidents: Eliminate blocking scenarios for valid business operations_x000D_
 * Increased Operational Flexibility: Allow implementations to define temporal validation per business needs_x000D_
 * Improved User Productivity: Users can complete party updates without technical validation barriers_x000D_
 * Enhanced System Reliability: Reduce system failures due to expired codelist items</t>
  </si>
  <si>
    <t>&gt; Codelist item fields are not check for date validity_x000D_
_x000D_
&gt; Only check if a codelist item exists </t>
  </si>
  <si>
    <t>Codelist item relationship need to be enhanced and include date range for which the relationship applies.</t>
  </si>
  <si>
    <t>Enable migration activities for projects</t>
  </si>
  <si>
    <t>Codelist item relationships include date range for which the relationship is valid</t>
  </si>
  <si>
    <t>As an admin I need to be able to  use a friendly UI  and the attributes to be able to be reported along with codelist items with proper localized where applicable details._x000D_
Ui part of [https://jira.intrasoft-intl.com/browse/IRM-29344] _x000D_
_x000D_
 _x000D_
_x000D_
*Functional Requirements*_x000D_
 * Codelists and Codelist items will be supported by a *user-friendly UI* that allows Admins to define the attribute value types described below. Depending on user language preferences, attributes'  *localized* values will be displayed where applicable. _x000D_
_x000D_
*A) Boolean Values* _x000D_
 A radio button appears, user can choose YES or NO_x000D_
 _x000D_
_x000D_
E{_}xample:{_}  _x000D_
{_}C{_}{_}odelist e.g.  "PartyOriginType",  with codelist values  : A, B, C{_}  _x000D_
_Metadata /Attribute:_     _EN: Members exist/ GR: Ύπαρξη Μελών_  _x000D_
_Finally  :_  {_}PartyOriginType{_}{_}, item = A, attribute{_} _Members exist_  _= Yes/True -&gt; choose value on radio button__x000D_
_x000D_
 _x000D_
_x000D_
*B)* Attribute Values via a *Codelist*  _x000D_
_x000D_
a)  Codelist  may be selected in Metadata page when item is of the relevant type.  _x000D_
b)  Codelist items will be selected when admin defines the attribute under a codelist item.   _x000D_
c) Admin may display in Ui or in a report the localized values of attributes as per localized codelist items of the supported codelist_x000D_
_x000D_
_Example:_ _x000D_
{_}C{_}{_}odelist e.g.  "PartyOriginType",  with codelist values  : A, B, C{_} _x000D_
_Supportive_  _Codelist = Supportive_DSourceA , values_  _: Interfaces, Manual Data Entry, other External ...__x000D_
_Metadata /Attribute: EN: Data source /GR: Προέλευση Δεδομένου  , linked  Codelist = Supportive_DSourceA__x000D_
_x000D_
 {_}when setting the attribute "{_}{_}Registration source"{_}  _, for item "A" admin may select one the values of the       Reg_sourceA  codelist._ _x000D_
 _Finally  :_  {_}PartyOriginType{_}{_}, item = A, attribute Registration source  = Manual Data Entry{_}_x000D_
_x000D_
 _x000D_
_x000D_
 _x000D_
_x000D_
*C)* Attribute Values sourced from a *translatable  label/string*_x000D_
_x000D_
a)  Metadata of this type may be created. _x000D_
b)  When adding values  in the attribute , translations can be added and displayed. _x000D_
_x000D_
        _x000D_
_x000D_
_Example:_ _x000D_
{_}C{_}{_}odelist e.g.  "PartyOriginType",  with codelist values  : A, B, C{_} _x000D_
{_}Metadata /Attribute{_}{_}: EN: UI Text  /GR: Κείμενο διεπαφής χρήστη    , values taken from new/existing labels or string that can be translated{_}  _x000D_
  _x000D_
{_}when setting the attribute "{_}UI Text{_}{{_}}{_}"{_}  _, for item "A" admin may  add a string in all the available languages or use an existing label from the system ._ _x000D_
_x000D_
 _x000D_
_x000D_
*Consideration* : Customers may be advised to clear unused labels from the system. _x000D_
_x000D_
 _x000D_
_x000D_
             !image-2025-09-02-21-17-47-147.png|width=319,height=361!_x000D_
_x000D_
 _x000D_
_x000D_
 _x000D_
_x000D_
*Documentation*_x000D_
Document all the above adjustments. _x000D_
_x000D_
 _x000D_
_x000D_
*Non functional requirements*_x000D_
Performance , Security, Accessibility, Usability  DODs should be fulfilled. **_x000D_
_x000D_
 </t>
  </si>
  <si>
    <t>By standardizing attribute values across Boolean fields, linked codelists, and translatable labels, we will ensure consistency, usability, and localization in both the UI and reporting.</t>
  </si>
  <si>
    <t># Boolean Values_x000D_
 ## Boolean attributes must store values as 1/0, true/false, or yes/no in a consistent way across UI and reports.  The same representation must be used for all related attributes._x000D_
 ## Boolean attributes must display in the UI as a radio button with 2 options YES and NO_x000D_
 #  Attribute Values via a Codelist_x000D_
 ## Admins must be able to link metadata items to an existing supportive codelist._x000D_
 ## In the Metadata page, Admins must be able to select the supportive codelist when creating an item._x000D_
 ## When assigning attributes to a codelist item, Admins must be able to select from the supportive codelist’s items._x000D_
 ## Localized values of supportive codelist items must be displayed in the UI based on user language preference._x000D_
 # Attribute Values from a Translatable Label/String_x000D_
 ## Metadata items of this type must support translations in all available languages. (see point 3 below)_x000D_
 ## Admins must be able to create metadata items of this type._x000D_
 ## Admins must be able to:  Enter a new string with translations in all available languages, or Reuse an existing system label._x000D_
 ## Attribute values must display in the UI  according to the user’s selected UI language.</t>
  </si>
  <si>
    <t>As an admin I need to be able to have many options on how I work with codelist attributes, use a friendly UI  and the attributes to be able to be reported along with codelist items with proper localized where applicable details._x000D_
_x000D_
 _x000D_
_x000D_
*Introduction* _x000D_
In the application are supported the following attribute value types: _x000D_
java.lang.Integer_x000D_
java.lang.String_x000D_
java.time.LocalDate_x000D_
java.lang.Boolean_x000D_
Plus for the relation of a Codelist Item to a codelist item the "relatedItem" metadata  may be used (along with the relation of codelists that are supported)  _x000D_
_x000D_
In this feature we need to : _x000D_
A) clarify on the visibility and values boolean attributes may receive, _x000D_
B) include a new relationship with codelist (all the values to be available for admin to select), _x000D_
C) usage of an existing Label that can be translated as an attribute value, and thus to be able to appear with localized label.  _x000D_
_x000D_
+Summary+ _x000D_
||Attribute value type||Other || || ||_x000D_
|java.lang.Integer| |Available| |_x000D_
|java.lang.String| |Available| |_x000D_
|java.time.LocalDate| |Available| |_x000D_
|java.lang.Boolean| |Available / Updated unified values and UI)| |_x000D_
|Value from a codelist item|Values one of the codelist item of a codelist_x000D_
Configure the supportive Codelist in Metadato item|New| |_x000D_
|Value a translatable string/label|Value as a translatable label|New| |_x000D_
| |RelatedItem|Available| |_x000D_
_x000D_
 Note :  [https://jira.intrasoft-intl.com/browse/IRM-29340] descriptions characters number should be supported. _x000D_
_x000D_
 _x000D_
_x000D_
 _x000D_
_x000D_
*Functional Requirements*_x000D_
 * -Codelists and Codelist items will be supported by a *user-friendly UI* that allows Admins to define the attribute value types described below. Depending on user language preferences, attributes'  *localized* values will be displayed where applicable.-  MOVED TO https://jira.intrasoft-intl.com/browse/IRM-33364 _x000D_
_x000D_
 * Codelists and their items when  exported in reports (created by admin) and if reports are defined to display localized values,  attributes' *localized* values will be included when available (note: some strings may not have translations). _x000D_
_x000D_
 * The following additional/enhanced *attribute value types will be supported* , in addition to the existing value types:_x000D_
_x000D_
 _x000D_
_x000D_
*A) Boolean Values* _x000D_
 Value should be 1/0 or true/false, or yes/no , in a way that UI may understand the values and a report as well and same value to be used for all the related attributes. For any existing values that cannot be changed because of the effort or breaking change, a note will be added in the documentation and technical dept ticket will be capture the need to reevaluate this change. _x000D_
_x000D_
E{_}xample:{_}  _x000D_
{_}C{_}{_}odelist e.g.  "PartyOriginType",  with codelist values  : A, B, C{_}  _x000D_
_Metadata /Attribute:_     _EN: Members exist/ GR: Ύπαρξη Μελών_  _x000D_
_Finally  :_  {_}PartyOriginType{_}{_}, item = A, attribute{_} _Members exist_  _= Yes/True -&gt; ticked checkbox__x000D_
_x000D_
 _x000D_
_x000D_
*B)* Attribute Values via a *Codelist*  _x000D_
Metadato item may be related with an existing codelist. This means that the attribute may take value from the items of the codelist. Will not be related specific codelist items. _x000D_
_x000D_
 _x000D_
_x000D_
_Example:_ _x000D_
{_}C{_}{_}odelist e.g.  "PartyOriginType",  with codelist values  : A, B, C{_} _x000D_
_Supportive_  _Codelist = Supportive_DSourceA , values_  _: Interfaces, Manual Data Entry, other External ...__x000D_
_Metadata /Attribute: EN: Data source /GR: Προέλευση Δεδομένου  , linked  Codelist = Supportive_DSourceA__x000D_
_x000D_
 {_}when setting the attribute "{_}{_}Registration source"{_}  _, for item "A" admin may select one the values of the       Reg_sourceA  codelist._ _x000D_
 _Finally  :_  {_}PartyOriginType{_}{_}, item = A, attribute Registration source  = Manual Data Entry{_}_x000D_
_x000D_
 _x000D_
_x000D_
 _x000D_
_x000D_
*C)* Attribute Values sourced from a *translatable  label/string*_x000D_
This type is similar to a string, but with the added requirement that the text value must support translation._x000D_
_x000D_
In practice, the attribute may store a value that is technically a string, but it should be displayed as a translated description when viewing the list of attributes or when generating reports with codelist details. The value may correspond to an existing label, a label pending translation, or another item requiring translation, as described earlier. _x000D_
_x000D_
_Notes: namespace : CodelistItemsAttributes ,  item category : Label , Item key : a key to be added when value is created__x000D_
_x000D_
 _x000D_
_x000D_
_Example:_ _x000D_
{_}C{_}{_}odelist e.g.  "PartyOriginType",  with codelist values  : A, B, C{_} _x000D_
{_}Metadata /Attribute{_}{_}: EN: UI Text  /GR: Κείμενο διεπαφής χρήστη    , values taken from new/existing labels or string that can be translated{_}  _x000D_
  _x000D_
{_}when setting the attribute "{_}UI Text{_}{{_}}{_}"{_}  _, for item "A" admin may  add a string in all the available languages or use an existing label from the system ._ _x000D_
_x000D_
 _x000D_
_x000D_
*Consideration* : Customers may be advised to clear unused labels from the system. _x000D_
_x000D_
 _x000D_
_x000D_
             !image-2025-09-02-21-17-47-147.png|width=319,height=361!_x000D_
_x000D_
 _x000D_
_x000D_
 _x000D_
_x000D_
*Documentation*_x000D_
Document all the above adjustments. _x000D_
_x000D_
 _x000D_
_x000D_
*Non functional requirements*_x000D_
Performance , Security, Accessibility, Usability  DODs should be fulfilled. **_x000D_
_x000D_
 </t>
  </si>
  <si>
    <t># Boolean Values_x000D_
 ## Boolean attributes must store values as 1/0, true/false, or yes/no in a consistent way across UI and reports.  The same representation must be used for all related attributes._x000D_
 #  Attribute Values via a Codelist_x000D_
 ## Admins must be able to link metadata items to an existing supportive codelist._x000D_
 ## In the Metadata page, Admins must be able to select the supportive codelist when creating an item._x000D_
 ## When assigning attributes to a codelist item, Admins must be able to select from the supportive codelist’s items._x000D_
 ## Localized values of supportive codelist items must be displayed in the UI based on user language preference._x000D_
 ## The attribute must not be tied to specific items in the main codelist, only to the supportive codelist as a whole._x000D_
 # Attribute Values from a Translatable Label/String_x000D_
 ## Metadata items of this type must support translations in all available languages. (see point 3 below)_x000D_
 ## Admins must be able to create metadata items of this type._x000D_
 ## Admins must be able to:  Enter a new string with translations in all available languages, or Reuse an existing system label.</t>
  </si>
  <si>
    <t>As an Admin I need to be able to display in pages that are available for the users the codelist items attributes and thus these should be localized when needed. _x000D_
_x000D_
 _x000D_
_x000D_
*Introduction*_x000D_
_x000D_
Currently, the Metadata (refdata_metadata) table includes descriptions that are not translatable, unlike other descriptions in the application._x000D_
_x000D_
In Greek project, there is a requirement to export all codelist-related information into a table that will be used as a Reference Table (see  PSD-12521, PSD-11681). When this reference table is displayed and the Admin/User is using the Greek UI, all labels—including column labels—should be translated into Greek._x000D_
_x000D_
Follow  [https://jira.intrasoft-intl.com/browse/IRM-29340]  as per the number of characters to be supported in descriptions.  _x000D_
_x000D_
 _x000D_
_x000D_
*Functional Requirements*_x000D_
 * *Translation Support for Metadata Items*_x000D_
Metadata items description should be available in both English (default) and localized descriptions._x000D_
Codelist item attributes columns labels (instead of just attribute key)  should be available in both English (default) and localized descriptions._x000D_
Translations should be handled consistently with how Solon Tax allows other labels._x000D_
Translations can be added regardless of the ownership value (Product, National, Customer)._x000D_
Notes:  Metadata table labels must support multiple languages._x000D_
_x000D_
 * *UI and Query/Reporting Behavior*_x000D_
(For any new implementation as an advise - {*}not need to review existing queries{*}) _x000D_
Admins should be able to add metadata translations directly in the UI._x000D_
When multiple languages are configured (e.g., EN and GR), and metadata labels , attributes columns labels are translated. _x000D_
In Codelist items, Attributes section, Attribute description along with key is displayed. The selectin of the attribute key will display description labels. After the selection key will appear as RO. _x000D_
The Admin/User sees metadata list and  attribute columns in codelist items in the language of their UI selection._x000D_
Example: if both EN and GR are supported, and the Admin switches UI to Greek, the codelist item attribute columns should appear in Greek._x000D_
Translations should also apply when the data is exported for reporting purposes._x000D_
_x000D_
 _x000D_
_x000D_
 _x000D_
_x000D_
*Documentation*_x000D_
Document all the above adjustments. _x000D_
Document that the translations can be added in existing items in the system to be able to view the localized attributes. _x000D_
_x000D_
 _x000D_
_x000D_
*Non functional requirements*_x000D_
Performance , Security, Accessibility, Usability  DODs should be fulfilled. _x000D_
----_x000D_
Metadata _x000D_
Can add translations_x000D_
_x000D_
!image-2025-09-02-19-02-37-524.png|width=1283,height=275!_x000D_
_x000D_
 _x000D_
_x000D_
!image-2025-09-02-09-47-02-809.png|width=837,height=272!_x000D_
_x000D_
 _x000D_
_x000D_
!image-2025-09-02-19-57-10-395.png!_x000D_
_x000D_
 </t>
  </si>
  <si>
    <t>By enabling localization of metadata and codelist item attributes, Admins and end users will be able to view, manage, and export data in their preferred language. This improves usability, reduces errors caused by misunderstanding non-localized labels, and ensures compliance with local regulatory and business requirements (e.g., Greek UI usage).</t>
  </si>
  <si>
    <t># Translation Support for Metadata Items_x000D_
 ## Metadata item descriptions must be available in both English (default) and any configured localized language(s)._x000D_
 ## When translations are added, then both the English description and localized description(s) should be available._x000D_
 ## Codelist item attribute column labels must be available in both English (default) and localized descriptions (instead of only showing attribute keys)._x000D_
 ## Translations must follow the same logic and behavior as other labels in Solon Tax._x000D_
 ## Translations can be added and maintained regardless of ownership value (Base, Demo, Customer) - following the system ground rules on ownerships and how we work with translations. _x000D_
 ## Metadata table labels must support multiple languages._x000D_
 #  (FOR NEW QUERIES/ REPORTS - not for existing) UI and Reporting Behavior_x000D_
 ## Admins must be able to add metadata translations directly through the UI._x000D_
 ## When multiple languages are configured (e.g., EN and GR) and translations exist:_x000D_
 ## In the Codelist Items, and in the  Attributes section: Both the attribute key and attribute description are displayed._x000D_
 ## When an attribute key is selected, the localized description label is shown._x000D_
 ## After selection, the attribute key appears as read-only._x000D_
 ## The Admin/User must see the metadata list and attribute column labels in the language of their UI selection._x000D_
 ## Translations must also apply when data is exported for reporting purposes (exported tables should reflect the user’s UI language selection if translations are available).</t>
  </si>
  <si>
    <t>As an admin, I need the ability to search and filter values of the codelist items when in tree view. _x000D_
_x000D_
 _x000D_
_x000D_
*Introduction*_x000D_
_x000D_
The codelists tree vew implemented in features;  [https://jira.intrasoft-intl.com/browse/IRM-26824] , [https://jira.intrasoft-intl.com/browse/IRM-27327] _x000D_
are not searchable in a way that user to be able to easily select the item needed from a long list. _x000D_
_x000D_
 _x000D_
_x000D_
*Functional Requirements*_x000D_
_x000D_
We need to be able to search for the values in a tree view by Name of the value of the  top level item or attributes of the parent list item._x000D_
The search will happen in the top level, and then the search results will display the tree of the child items. _x000D_
_x000D_
{color:#505f79}_Examples:_ {color}_x000D_
 * {color:#505f79}_Prefix of the code of codelist item (e.g., first 2 characters   , filter by items with code 22)_ {color}_x000D_
 * {color:#505f79}_Keywords or patterns in descriptions  (e.g. filter items when starts with characters "22" )_ {color}_x000D_
 * {color:#505f79}_Filter by attribute (e.g. Only if attribute 'Max value' = 5)__x000D_
_x000D_
!image-2026-01-09-13-32-26-275.png!{color}_x000D_
_x000D_
{color:#505f79}Note that UI will be implemented in  [https://jira.intrasoft-intl.com/browse/IRM-27326 , https://jira.intrasoft-intl.com/browse/IRM-27327|https://jira.intrasoft-intl.com/browse/IRM-27326]{color}_x000D_
_x000D_
 _x000D_
_x000D_
{color:#505f79}_{*}-Examples{*}/ Reference Implementations :_ {color}_x000D_
 * {color:#505f79}_Enhance Activities codelist_  {color}_x000D_
 ** {color:#505f79}_Filtering valued of the list by an b=new attribute  "Books Financial Category" ( possible values: A,B,C )_ _x000D_
_if available as example or use an existing attribute to demo this functionality_ {color}_x000D_
 * {color:#505f79}_Postal Codes_ {color}_x000D_
 ** {color:#505f79}_Defining parent item to create tree of postal codes based on 2 first letters of the  a rule , e.g.  '20' , '21'. '22' , ...   )_   {color}_x000D_
_x000D_
{color:#505f79} __ {color}_x000D_
_x000D_
 _x000D_
_x000D_
*Documentation*_x000D_
Document all the above adjustments. _x000D_
_x000D_
 _x000D_
_x000D_
*Non functional requirements*_x000D_
Performance , Security, Accessibility, Usability  DODs should be fulfilled. _x000D_
----_x000D_
 </t>
  </si>
  <si>
    <t>By introducing structured, hierarchical, and relational modeling to codelists, we expect to deliver a more adaptable platform that improves usability, accelerates delivery, and simplifies ongoing maintenance and governance.</t>
  </si>
  <si>
    <t>-We need be able to further filter the codelist items appear in a list  (tree view) based on the top level of the items of the tree_x000D_
-Examples to demo the functionality</t>
  </si>
  <si>
    <t>Reference Implementation - PIT (2026)</t>
  </si>
  <si>
    <t>As a taxpayer I want to be able to see calculated tax in a declaration form (ie VAT) in taxpayers' portal prior submitting and save this as a draft form, so as to be able to meet requirements for Greek demo.
*Functional Requirement*
&gt; User can see in  ISS a tax declaration form ie VAT total tax amount calculated prior submitting the form, save form as a draft and then open to submit. </t>
  </si>
  <si>
    <t>Demo pending/saved draft form in ISS, where taxpayer can see tax calculated prior submitting</t>
  </si>
  <si>
    <t>Meet Functional Requirements</t>
  </si>
  <si>
    <t>As a self service user, I want to amend an already submitted original personal income tax return, so that changes in my income or deductions are reflected in the adjusted personal income tax return.
*Introduction*
This feature is related to IRM-16272 in which requirements have been documented to enable a self service user to file an original personal income tax return for a specific filing period.
Amended personal income tax return that will be presented on the self service will have the same form sections and form fields as the example personal income tax return that has been described in IRM-14601.
This feature is related to IRM-1973 in which requirements have been documented to record adjustments to the data in an input form that was already posted and post any differences that result from these adjustments.
*Functional Requirements*
 * User can amend an original personal income tax return that was submitted and processed. User can only amend the personal income tax return for the current filing period or for the two prior filing periods. And a user can amend an original personal income tax return more than once. User cannot amend an original personal income tax return if the original personal income tax return has not been submitted or processed yet. If an original income tax return was already amended, then the user can only amend the income tax return again if the previously amended return has also been submitted and processed.
 * User can see that the pending amended personal income tax return is prefilled with data from the submitted and processed original personal income tax return or from the latest submitted and processed personal income tax return that amended this original personal income tax return.
 * User can update the necessary details in the bank account details, income details, details on deductions, cost of living details, final tax assessment and attachments form sections of the pending amended personal income tax return
 * User can submit the pending amended personal income tax return once completed
 * User can see if there are any validation exceptions that prevent the pending amended personal income tax return from being submitted. User can navigate from a validation exception to the related form section and form field(s) to resolve any issues.
 * User can see what amendments have been submitted when for a specific original personal income tax return
 * User can open a submitted amended personal income tax return to see what data was included in that return
 * Any updates to the personal income tax return input form, form rules and process that have been implemented in the Revenue Management application (see IRM-14601), that are required to support amended tax returns are also in scope of this feature. When processing an amended original personal income tax return in the Revenue Management application, the difference between the personal income tax assessment in this return and the assessment of the original personal income tax return or the latest submitted and processed personal income tax return that amended this original personal income tax return should be posted.</t>
  </si>
  <si>
    <t>As a self service user, I want to file an original personal income tax return for a specific filing period, so that I can meet my obligation to file a personal income tax return with correct data and on time as stipulated in the tax law.
*Introduction*
Personal income tax return that will be presented on the self service will have the same form sections and form fields as the example personal income tax return that has been described in IRM-14601.
Assumption is that the following self service requirements related to personal income tax are already supported:
 * User can login to the self service portal to deal with the tax matters for a specific party in a specific to which this user has been granted access
 * User can see what filing obligations exist for this party in a specific role for personal income tax and see the status of each of these obligations
 * User can see the personal income tax assessment for a specific filing / payment obligation
 * User can see what payment obligations exist for personal income tax assessments for which this specific party in a specific role is liable
 * User can see what payment obligations exist for any additional charges that have been levied towards a personal tax assessment (e.g. late payment interest) and for which this party in a specific role is considered liable
 * User can pay a liability that exists for a personal income tax assessment and any related charges for this party in a specific role
 * User can see the balance for personal income tax for this party in a specific role
Following self service requirements related to the personal income tax have not been implemented yet and are not in scope of this feature.
 * User can see that income that was paid by employers to this party in a specific role, and that the taxes and social contributions that were already deducted by these employers, are prefilled in the income form section of a pending personal income tax return
 * User can save a draft of a pending personal income tax return, and can open and complete a draft personal income tax return at a later point in time
 * User can see a notification that the personal income tax has been assessed for the filing period for which the personal income tax return was submitted
*Functional Requirements*
 * User can create a pending original personal income tax return for a filing period for which no original personal income tax has been submitted yet. User can see the form sections for taxpayer details, bank account details, income details, details on deductions, cost of living details, final tax assessment and attachments, and the related form fields as described in IRM-14601. Any meta data related to a personal income tax return (e.g. form source, related risk observations and related bill segments) should not be shown on the self service.
 * User can see that the taxpayer details and bank account details are prefilled in a pending personal income tax return
 * User can fill in the necessary details in the bank account details, income details, details on deductions, cost of living details, final tax assessment and attachments form sections
 * User can submit the personal income tax return once completed
 * User can see if there are any validation exceptions that prevent the pending personal income tax return from being submitted. User can navigate from a validation exception to the related form section and form field(s) to resolve any issues.
 * User can open a submitted personal income tax return to see what data was included in that return</t>
  </si>
  <si>
    <t>Contact Management Enhancements (2026)</t>
  </si>
  <si>
    <t>As an Admin, I need to be able to configure contact types for a party / party role (not hardcoded), so that the system can provide flexibility to implementations.  _x000D_
_x000D_
*Introduction* _x000D_
_x000D_
During LT project the following finding related to configuration of contact types for a party / party role need to be addressed to the product. _x000D_
_x000D_
*Functional Requirements*_x000D_
_x000D_
&gt; Value in the EmailContactSender class shoulld be configured. ie remove hardcoded reference to PartyContactTypes.EMAIL. _x000D_
_x000D_
&gt; A new switch option should be added in the application properties so that the party contact of the configured type to be used. ie Remove hardcoded logic finding the party role eligible contact of type EMAIL for the given party role id.</t>
  </si>
  <si>
    <t>Enable Admins to configure contact types to Party/ Party Role.</t>
  </si>
  <si>
    <t>* Value in the EmailContactSender class shoulld be configured. ie remove hardcoded reference to PartyContactTypes.EMAIL. _x000D_
_x000D_
 * A new switch option should be added in the application properties so that the party contact of the configured type to be used. ie Remove hardcoded logic finding the party role eligible contact of type EMAIL for the given party role id.</t>
  </si>
  <si>
    <t>As an Admin I can define some contact types can be sent to multiple recipients manually to be used when they  need to be able to send one contact to a list of recipients using a list so I can mass sent to all the contact that are interest. _x000D_
_x000D_
This feature will support [https://jira.intrasoft-intl.com/browse/IRM-766] that will provide the functionality to user. _x000D_
_x000D_
*Functional requirements*_x000D_
 * Admin can define if a contact type can be set as able to be sent to multiple recipients using a list. _x000D_
 * Admin may define a parameter to limit the number of recipients that may be selected._x000D_
Note: How to be used : If more that the limited is selected a message will appear. _x000D_
_x000D_
These items will be visible in UI and in product documentation after the https://jira.intrasoft-intl.com/browse/IRM-766 implementation. _x000D_
 * -Admin may monitor any exceptions from the generation of the contacts sent to multiple recipients (per recipient) .- _x000D_
_x000D_
Note: Based on [https://jira.intrasoft-intl.com/browse/IRM-774]  ,  admin may define the content per recipient type. _x000D_
----_x000D_
 _x000D_
_x000D_
 _x000D_
_x000D_
 </t>
  </si>
  <si>
    <t>Requirement for Lithuania</t>
  </si>
  <si>
    <t>* Admin can define if a contact type can be set as able to be sent to multiple recipients using a list. _x000D_
 * Admin may define a parameter to limit the number of recipients that may be selected._x000D_
_x000D_
 </t>
  </si>
  <si>
    <t> As an admin I can define a rule to generate reference ID in a relevant field for incoming and outgoing documents in the system in order to comply with legal requirements part that refers to the Identification of the document. _x000D_
_x000D_
 _x000D_
_x000D_
*Introduction* **_x000D_
_x000D_
Using functionality as defined by the solution of [https://jira.intrasoft-intl.com/browse/IRM-435]    **    ,  we may define the Document using a specific format. _x000D_
_x000D_
 _x000D_
_x000D_
*Functional Requirements*_x000D_
 * Configurator, should be able to define the name of the file to be visible_x000D_
 ** Option A : Configurator generated a file name according their needs, when generating a document (e.g. Operational report or export of form as in related psd). _x000D_
 ** Option B : If product may not allow configurators to define the file name themselves then  a "Alternative Name" filed is available for documents incoming or outgoing,_x000D_
 *** _x000D_
 **** Field  can be visible in relevant pages/related lists_x000D_
 **** Field in visible in Attachments related section next to file Name column_x000D_
 **** I can search documents by this field. _x000D_
 **** The field in logged in audit log._x000D_
 **** Customers may define the  "Alternative Name", that  will construct and  _x000D_
 (relevant IRM-435 ) _x000D_
 ** Special care on performance and error handling of the generation should be taken into consideration. _x000D_
_x000D_
 * -Example / Base rule to format the Reference ID  :  **-  _x000D_
  -a) Primary related entity type from which was generated, description  (e.g. Form)-_x000D_
  -b)-  {-}Seperator "{-}"-_x000D_
 -c) Related party role primary Identifier-_x000D_
 -d)- {-}Seperator "{-}"-_x000D_
  -e)  YYYTMMDDHH (Year 4 digits + Month 3 digits+ Day 2 digits + HH+MM+SS)-_x000D_
  {-}d)  Seperator "{-}"- _x000D_
  -e) String that will be "IN" for Inbound documents,  "OUT" for Outbound documents, "SYS" for System generated documents-_x000D_
_x000D_
 _x000D_
_x000D_
*Documentation*_x000D_
Document all the above adjustments. _x000D_
_x000D_
 _x000D_
_x000D_
*Non functional requirements*_x000D_
Performance , Security, Accessibility, Usability _x000D_
_x000D_
DODs should be fulfilled. _x000D_
_x000D_
 _x000D_
_x000D_
 _x000D_
_x000D_
 _x000D_
_x000D_
 _x000D_
----_x000D_
-More details on Legal requirements for Documents :- _x000D_
 -LT:- _x000D_
|-Every document, whether incoming or system-generated (e.g. forms, letters), must receive a unique registration number.-_x000D_
-Forms are documents, so forms submitted by users must also have metadata as below:.-|_x000D_
||-Field-||-Description-||_x000D_
|-*Document Name*-|-Human-readable title-|_x000D_
|-*Creator / Author*-|-User or system module creating the document-|_x000D_
|-*Sender / Receiver*-| * -For sent docs: add recipient.-_x000D_
 * -For received docs: record sender, their reg. number, original date/title.-|_x000D_
|-*Date*-|-Created and registered timestamps, YYYY-MM-DD-|_x000D_
|-*Registration Number*-|-MAP automatically assigns a unique document registration number with a prefix and yearly resetting counter (e.g., 2025-IN-0001, 2025-OUT-0002).-|_x000D_
|-*Original Document Ref.*-|-Links to the original document (e.g. response to request)-|_x000D_
_x000D_
-Depending on the document type{*},{*} additional metadata fields may be required (e.g., contact email, case ID, type of correspondence).|-</t>
  </si>
  <si>
    <t>By enabling admins to define and automate the generation of a structured Reference ID for all incoming and outgoing documents, the system ensures compliance with legal requirements related to document identification. This functionality improves traceability, facilitates audits, and enhances searchability and organization of documents across the system._x000D_
This is a legal requirement for Lithuania</t>
  </si>
  <si>
    <t>* Customers may define the name of the pdf or zip produced by operational report or contact._x000D_
 * Example</t>
  </si>
  <si>
    <t>As an admin, I want to automatically send a copy of a specific outbound message (e.g. letter, email or text message) to different types of recipients (e.g. taxpayer and tax agent), so that the information in the outbound message can be exchanged with all relevant parties._x000D_
_x000D_
*Introduction*_x000D_
_x000D_
This feature extends IRM-786 and IRM-789 where requirements have been documented to send an outbound letter and outbound email / text messages automatically to a single party._x000D_
_x000D_
*Functional Requirements*_x000D_
_x000D_
Admin can enter literal values and/or reference values that will be known at run-time for input parameters that admin has defined for this type of contact and that can be used to automatically select the type of recipients that need to be considered for this type of outbound message, and automatically select a recipient for each type of recipient (based on rules defined by admin). These values can be defined on a 'establish and/or record contact' task within a specific type of business process (see IRM-785)._x000D_
_x000D_
When executing the 'establish and/or record contact' task on an instance of this type of business process, the system will automatically generate all outbound messages, store these messages, finalize the messages, select a communication channel for each recipient and send the finalized outbound messages via the selected communication channels (e.g. print letter or send email).</t>
  </si>
  <si>
    <t>As an admin, I want to define and maintain rules to determine what recipient(s) need to receive a copy of a certain type of outbound message (e.g. certain type of letter, email or SMS), so that duplicate messages can be send to all parties that need to be informed._x000D_
_x000D_
*Introduction*_x000D_
_x000D_
This feature extends IRM-772 in which requirements have been documented to define and maintain different types of contacts._x000D_
_x000D_
Recipients will receive the same information or almost the same information. For example, one letter could contain text to explain that this letter is a copy of the letter that has been sent to the taxpayer representative._x000D_
Relevant to https://jira.intrasoft-intl.com/browse/IRM-774 _x000D_
_x000D_
*Functional Requirements*_x000D_
 * Admin can define rules to determine what types of recipients must receive a copy of a specific type of outbound message under certain circumstances. For example, if a certain type of letter is sent to the recipient type 'taxpayer' then a copy of this letter may have to be sent to the recipient type 'tax agent' and/or recipient type 'spouse'._x000D_
 * Admin can define rules to determine the recipient for each type of recipient that will receive a copy of the message. For example, find the 'tax agent' that is representing a 'taxpayer' for a specific type of tax. Input parameters defined on the contact type can be used to select the recipients. Values for these input parameters can be provided at design time (literal values) or can be provided at run-time.</t>
  </si>
  <si>
    <t>As an admin, I want to define and maintain different types of recipients for outbound messages, so that it can be indicated to what type of recipients a specific message (e.g. letter or email) must be send.
*Functional Requirements*
 * Admin can define a new type of recipient. Examples of properties of a recipient are a code and a description.
 * Admin can search a type of recipient
 * Admin can update a type of recipient
 * Admin can delete a type of recipient provided there are no referential constraints</t>
  </si>
  <si>
    <t>As a revenue official, I want to send a copy/version of a specific outbound message (e.g. letter, email or text message) to different types of recipients (e.g. taxpayer and tax agent), so that the information in the outbound message can be exchanged with all relevant parties._x000D_
_x000D_
*Introduction*_x000D_
_x000D_
This feature extends IRM-762 and IRM-765 where requirements have been documented to send an outbound letter and outbound email / text message manually to a single party._x000D_
Admin feature to support this is the IRM-26951 _x000D_
_x000D_
*Functional Requirements*_x000D_
 * *Select recipients*_x000D_
 ** User can select to send a contact to multiple recipients instead of one party role if contact type allows this usage. Option appears to the user to load a list. _x000D_
 *** Optionally select to upload a file with party role IDs.  The party roles appears in a list. _x000D_
 *** Optionally may add recipients manually selecting them and adding in the list. _x000D_
 *** Optionally may select one recipient from the list and click to remove it._x000D_
 *** The contact is send using one record of contact as per the channel selected. -The preferred contact is selected if applicable.-_x000D_
-(Note: it is better to use systems contact details to avoid improper usage of persons emails)-  _x000D_
 ** -User will create the parent contact as per contact type.-_x000D_
 *** -It is expected system , per recipient to generate/send a new contact  - as a child contact to parent contact created.-  _x000D_
 *** -The child contacts should be visible under the parent contact-_x000D_
 ** User will select one channel. _x000D_
 * *Generation and results*_x000D_
 ** User can generate the outbound messages/emails for the recipients selected._x000D_
 ** Different types of recipients may receive different outbound message content. (Based on [https://jira.intrasoft-intl.com/browse/IRM-774] ) Admin need to define the contact template per recipient.  _x000D_
Examples: _x000D_
One outbound message could contain text to explain that this outbound message is a copy of the outbound message that has been sent to another type of recipient._x000D_
Address requested in contact template as well as balance is adjusted as per party selected. _x000D_
Generation requirements as documented in IRM-762 and IRM-765 also apply when sending outbound messages to multiple recipients. (to be moved to a new feature)._x000D_
 ** User can regenerate the outbound messages. Regeneration requirements as documented in IRM-762 and IRM-765 also apply when sending outbound messages to multiple recipients._x000D_
 ** User can finalize the generated outbound messages._x000D_
 ** User can send the finalized outbound messages via the selected communication channel. Send requirements as documented in IRM-762 and IRM-765 also apply when sending outbound messages to multiple recipients._x000D_
 ** User can store the outbound messages. Storage requirements as documented in IRM-762 and IRM-765 also apply when sending outbound messages to multiple recipients._x000D_
 ** User can see the results of the emailing/sms if integration allows so (as per  IRM-27816 ) _x000D_
 ** Solution should be applicable to [https://jira.intrasoft-intl.com/browse/IRM-28177] _x000D_
 * *Exceptions*_x000D_
 ** Errors/exceptions appears if one of the recipients have incorrect/missing contact details for the selected channel and none of the batch  is sent. _x000D_
"Mass contact generation failed" _x000D_
"Mass contact send failed" _x000D_
Note: it is expected is user does not have access as per row level security to the party role, cannot select party role in the list described above._x000D_
 ** Errors/exceptions appears if any of the contacts cannot generate proper content - parameters are missing. _x000D_
 * *History*_x000D_
 ** All Actions and list of sent contacts should be logged in audit trail_x000D_
 * *Admin leftovers*_x000D_
 ** Make visible admin items implemented in [https://jira.intrasoft-intl.com/browse/IRM-26951]  _x000D_
_x000D_
 _x000D_
----_x000D_
Notes: _x000D_
_x000D_
 _x000D_
_x000D_
A)_x000D_
_x000D_
By an end customer an idea of how to work with files is: _x000D_
_x000D_
!image-2025-09-15-20-42-40-437.png!_x000D_
_x000D_
B) _x000D_
_x000D_
Requirements for a next version of this functionality : _x000D_
 * -{color:#c1c7d0}User can see what type of recipients are considered for this type of outbound message (based on rules defined by admin){color}-_x000D_
 * -{color:#c1c7d0}User can see what recipients have automatically been selected for each type of recipient that is considered for this type of outbound message (based on rules defined by admin). Values entered by the user for input parameters that provide the context in which the outbound message is created (as described in IRM-762 and IRM-765), are used as input to select the correct recipients.{color}-_x000D_
 * -{color:#c1c7d0}User can override what type of recipients must be considered for this outbound message{color}-_x000D_
 * -{color:#c1c7d0}User can override the selection of recipients for each type of recipient{color}-_x000D_
 * {color:#c1c7d0}-User can see and override the preferred communication channel for each recipient. Requirements to select communication channels as documented in IRM-762 and IRM-765 also apply when sending outbound messages to multiple recipients.-{color}_x000D_
 * User can send the finalized outbound messages via the selected communication channel{-}{color:#c1c7d0}s{color}{-}. Send requirements as documented in IRM-762 and IRM-765 also apply when sending outbound messages to multiple recipients._x000D_
 *  </t>
  </si>
  <si>
    <t>By enabling users to send contacts to multiple recipients in a controlled and configurable way, the system will:_x000D_
 * *Increase efficiency* by eliminating the need to generate and send the same contact individually for each recipient._x000D_
_x000D_
 * *Improve consistency* by ensuring that outbound messages follow the same generation, regeneration, and finalization processes already defined (IRM-762, IRM-765)._x000D_
_x000D_
 * *Enable scalability* for communication processes, allowing broader outreach (e.g., sending messages to groups of party roles) without additional administrative effort.</t>
  </si>
  <si>
    <t>* *Recipient Selection*_x000D_
1.1. User can select multiple recipients if the contact type allows multi-recipient usage._x000D_
1.2. User can upload a file containing party role IDs, and the system loads them into the recipient list._x000D_
1.3. User can manually add recipients by selecting them individually._x000D_
1.4. User can remove a recipient from the list by selecting and deleting it._x000D_
1.5. Recipients not accessible to the user (due to row-level security) are not available for selection._x000D_
_x000D_
 * *Contact Generation*_x000D_
2.1. System generates one outbound message record per selected communication channel._x000D_
2.2. Preferred contact details are used automatically where applicable._x000D_
2.3. Outbound messages are generated according to as-is [ IRM-762 and IRM-765 requirements.]_x000D_
_x000D_
 * *Contact Finalization &amp; Sending*_x000D_
3.1. User can finalize generated outbound messages before sending._x000D_
3.2. User can send finalized outbound messages via the selected communication channel._x000D_
3.3. Sending follows the as-is [ IRM-762 and IRM-765 requirements.]_x000D_
3.4. User can view sending results if supported by integration ( as described /implemented in IRM-27816)._x000D_
_x000D_
 * *Contact Storage &amp; Audit*_x000D_
4.1. Outbound messages are stored according to as-is [IRM-762 and IRM-765 requirements.]_x000D_
4.2. All user actions (generate, regenerate, finalize, send) are logged in the audit trail._x000D_
4.3. The list of sent contacts is logged in the audit trail._x000D_
_x000D_
 * *Error Handling*_x000D_
5.1. If a recipient is missing or has invalid contact details, the system prevents batch sending and displays:_x000D_
“Mass contact generation failed” (at generation stage)._x000D_
“Mass contact send failed” (at sending stage)._x000D_
5.2. If outbound message content cannot be generated due to missing parameters, the system raises an error and does not generate incomplete contacts._x000D_
_x000D_
 - Make visible admin items implemented in [https://jira.intrasoft-intl.com/browse/IRM-26951]  </t>
  </si>
  <si>
    <t>As a revenue official, I want to see the history of changes for the contact, so that I can understand who changed what and when._x000D_
_x000D_
*Functional Requirements*_x000D_
_x000D_
*Contacts History*_x000D_
 * User can see a list with list entries that show what changed on the contact over time. Each time the contact is updated a list entry is added automatically. _x000D_
 * For each change (not only status transition - like in parties) , the user can see details of what changed, when and who made the change_x000D_
 ** e.g. , This should be logged also when contact was changed before sent or when in generated status change channel. _x000D_
 * User can click to open version page (as in Financial transactions)_x000D_
 * User can sort and filter the list_x000D_
_x000D_
*List page*_x000D_
 * In Contacts list page I have available the versions menu_x000D_
 * Open Contact versions page</t>
  </si>
  <si>
    <t>Reliability Enhancements (2026)</t>
  </si>
  <si>
    <t>Implement record locking in Party</t>
  </si>
  <si>
    <t>cont.  :https://jira.intrasoft-intl.com/browse/IRM-25038 _x000D_
_x000D_
 _x000D_
_x000D_
Solon Tax microservices have domain boundaries that also encapsulate the corresponding transactional boundaries. I.e. most API operations result in ACID transactions as the updates are handled within the owning microservice's database._x000D_
_x000D_
 _x000D_
_x000D_
However there are some APIs of the system that the owning service also issues PUT/POST requests to different services. For these cases, strong error handling should be introduced._x000D_
_x000D_
 _x000D_
_x000D_
Syncronous operations refer to:_x000D_
 * HTTP api invocation. A distributed transaction there involves data updates to more than one microservices in the lifecycle of the HTTP request_x000D_
 * Kafka message consumption. A distributed transaction there involves data updates to more than one microservices in the lifecycle of the kafka message under consuption._x000D_
_x000D_
In cases were an operation invokes one or more published messages that are subsequently causing other updates, these are considere eventually consistent transactions and are not in the scope of this enabler._x000D_
_x000D_
 _x000D_
_x000D_
Scope of this enabler is to :_x000D_
_x000D_
Decide and introduce appropriate error handling for Taxpayer cases as listed in [https://netcompany.sharepoint.com/:x:/s/ICARUSProductTeam/IQDDvVCJsRcQR5si6csRQX4UASFBtrUfVPMWEu6yVXFAQ6w?e=6ZruVa] _x000D_
*for " taxpayer", "registration"* _x000D_
_x000D_
Consider any patterns to the flows implemented already_x000D_
_x000D_
Note that the [https://confluence.intrasoft-intl.com/spaces/IC/pages/224722770/Data+integrity+improvements]  _x000D_
_x000D_
1. Assign worker to a human task._x000D_
2. Claim a human task_x000D_
_x000D_
 </t>
  </si>
  <si>
    <t>Solon Tax should ensure data integrity</t>
  </si>
  <si>
    <t>When FTs or/and  journal entries creation fails, -  records cannot be created - ._x000D_
What if kafka has a process and moved event to dead letters topic ? _x000D_
(For journal entries  system will throw an exception as implemented by [https://jira.intrasoft-intl.com/browse/IRM-17070] ) _x000D_
_x000D_
Admin will not be able to rerun the process to create the Fts and journal entries automatically. If admin has the relevant system access, may create manually the expected journal entries, making the decisions on accounting rules to be used and amounts per journal entry logged. It would be better to support admin on rerunning the part of the process /kafka event that creates the journal entries on settings predefines in fts or assessments etc. _x000D_
_x000D_
(!)  Investigation and decision is needed  on how to move on. _x000D_
_x000D_
(?) Is it similar issue with Financial transactions creation faults? _x000D_
_x000D_
 _x000D_
_x000D_
+Suggested Action :+_x000D_
 -  An api (supported or not by a UI button) to run when no journal entries created while expected - &gt;(re) send the kafka event as to try recreate records. - run dead letter items in queue _x000D_
(?) Similar to the rerun allocation process under Obligations _x000D_
 - (?) BSs cannot created/cancelled/change status if Fts not created._x000D_
_x000D_
 _x000D_
_x000D_
+Notes:+  _x000D_
Topics that needs additional investigation: _x000D_
 - how to define the Journal entries amounts in Allocation segments_x000D_
 - how to define that journal entries rules are instructed by Assessments calculation rules. _x000D_
_x000D_
Additionally, possibly it would be useful to generate in this situation : _x000D_
 - Human task , notification to admin that journal entries are not created 9</t>
  </si>
  <si>
    <t>As per description</t>
  </si>
  <si>
    <t>Maintainability Enhancements (2026)</t>
  </si>
  <si>
    <t>As an ICARUS team member, I want the technical debt to be addressed right from the start in order to avoid implications and reduce the efforts in the future, so that the product is evolving organically. Additionally, I want to resolve any technical challenges that has risen up, so that methodologies are defined and can be followed. This Enabler gathers up all the technical debt and challenges generated/identified during previous PIs._x000D_
_x000D_
!image-2026-03-18-18-22-50-346.png!</t>
  </si>
  <si>
    <t>{panel:title=Task}_x000D_
Increasing the development experience. Eliminate the pain points that developers have while setting up platofrm locally. _x000D_
{panel}_x000D_
{panel:title=Current state}_x000D_
The biggest problems identified at the time of creating this enabler are:_x000D_
 * database migration - there is a 99.99% probabilty that the problems occur when running database migration scripts locally. Investigate and intoduce a solution._x000D_
 * component tests - it takes forever to rune component tests locally,_x000D_
 * lack of troubleshooting documentation,_x000D_
 * slow performance - how can the performance be improved?,_x000D_
 * local keycloak mostly not working ootb._x000D_
_x000D_
Despite above development process forces local testing (which is good). Local tests because of the above issues are very frustrating._x000D_
{panel}_x000D_
{panel:title=Solution}_x000D_
Find out the root cause of the problems. Come up with solution and implement them. Adjust/create documentation in form of Maintenance Guide O0300._x000D_
{panel}_x000D_
h3. PPD Maturity Index / Control point: Resource Utilization (local resource utilization) / Testability / Technical depth / Development and test environments</t>
  </si>
  <si>
    <t>* Deliverable -&gt; O0300 Maintenance Guide</t>
  </si>
  <si>
    <t>As an admin I need to be able to use several unicode characters in code fields that can be technically allowed to be used as to explain in code in localized text the short configuration name. _x000D_
_x000D_
 _x000D_
_x000D_
*Functional Requirements* _x000D_
_x000D_
(BE &amp; UI)_x000D_
 * Defined Whitelist for "Code" fields of configuration entity types : _x000D_
*A)* A–Z, a–z, 0–9  _x000D_
*B)* - (dash), _ (underscore),. (dot)_x000D_
*C)*  Unicode characters for multilingual/localized alphabets,  e.g. ,  Greek , Swedish, Lithuanian, Spanish, Italian, French, Chinese.... _x000D_
 * Apply the validation to all Solon Tax Config entity types. If invalid characters are added validations will be thrown. _x000D_
_x000D_
 _x000D_
_x000D_
*Documentation*_x000D_
Document all the above adjustments. _x000D_
_x000D_
*Non functional requirements*_x000D_
It is expected team to get aligned with respective teams and reassure that is not creating issues or the related NFRs will be tested :_x000D_
Performance , Security, Accessibility, Usability _x000D_
DODs should be fulfilled._x000D_
----_x000D_
Notes: _x000D_
 - Some config types are completed because of the linked bugs_x000D_
 - By Sec team : Since Unicode will be supported, the validation has to be done after normalization of Unicode characters. Otherwise, special characters could still be accepted. For example ‘\u003C’ will be converted to the less than sign ‘&lt;’._x000D_
 - The  “ “space , “:” (colon) will not be included because they may produce issues with data exports/migrations  and formatting. Other characters were excluded/avoided because of their usage in systems and difficulties that may produce while not be necessary, or because of security considerations._x000D_
 - Assumption : Records with Unicode Code characters are visible in UI properly, and  are searchable_x000D_
_x000D_
 </t>
  </si>
  <si>
    <t>By enabling the use of selected Unicode characters in code fields, administrators will be able to create short configuration names that are meaningful in localized contexts (e.g., Greek, Swedish, Chinese). This will:_x000D_
-Improve clarity and usability of configuration codes for non-English-speaking users._x000D_
-Reduce reliance on English-only abbreviations that may be ambiguous or misleading in local markets._x000D_
-Support Admin - Enhance adoption and accuracy by allowing admins to align configuration names with local terminology._x000D_
-Maintain system consistency and integrity by enforcing a defined whitelist of allowed characters across all Solon Tax configuration entity types.</t>
  </si>
  <si>
    <t>Apply the validation for the unicode whitelist of allowed characters for Code fields,  to all Solon Tax Config entity types included in:_x000D_
_x000D_
irm_authorizationmanagement_db_x000D_
_x000D_
irm_casemanagement_db_x000D_
_x000D_
irm_contactmanagement_db_x000D_
_x000D_
irm_directdebit_db_x000D_
_x000D_
irm_exceptionmanagement_db_x000D_
_x000D_
irm_humantaskmanagement_db_x000D_
_x000D_
irm_note_db_x000D_
_x000D_
irm_notificationmanagement_db_x000D_
_x000D_
irm_operational_plan_db_x000D_
_x000D_
irm_operationalreport_db_x000D_
_x000D_
irm_processmanagement_db_x000D_
_x000D_
irm_reporting_db_x000D_
_x000D_
irm_risk_analysis_db_x000D_
_x000D_
irm_suppressionmanagement_db_x000D_
_x000D_
irm_uiconfiguration_db_x000D_
_x000D_
 </t>
  </si>
  <si>
    <t>h3. Problem Statement_x000D_
_x000D_
The current module structure of *revenue-management-be-custom* is not aligned with hexagonal architecture principles._x000D_
_x000D_
Hexagonal architecture is the architectural foundation of the *SolonTax* and the same principles should consistently apply to {*}be-custom{*}._x000D_
_x000D_
At present, the structure does not clearly separate application, domain, and adapter layers, which makes the module harder to maintain, evolve, and use as a proper extension point._x000D_
_x000D_
Since *be-custom* is intended to serve clients as a starting point for implementing their own platform customizations, the current structure does not provide a clean and consistent reference model to follow._x000D_
h3. Proposed Solution_x000D_
_x000D_
Restructure *revenue-management-be-custom* to follow hexagonal architecture principles and align it with the architectural standards of the main *revenue-management-be* project._x000D_
_x000D_
The target modular structure should consist of:_x000D_
 * microservice-adapter_x000D_
 * microservice-app_x000D_
 * microservice-core_x000D_
 * microservice-rest-api_x000D_
 * microservice-dto (optional)_x000D_
 * microservice-domain (optional)_x000D_
 * microservice-business-specific (optional, more than one module possible)_x000D_
_x000D_
Module dependencies should follow the structure presented in the attached diagram: _x000D_
_x000D_
!image-2026-02-26-14-41-24-169.png!_x000D_
h3. Out of Scope_x000D_
 * Introduction of new business functionality._x000D_
 * Refactoring of unrelated microservices._x000D_
 * Major redesign of existing business logic beyond structural alignment._x000D_
 * Changes in external APIs or contracts unless required by the restructuring._x000D_
_x000D_
h3. PPD Maturity Index / Control point: Quality / Maintainability / Modularity</t>
  </si>
  <si>
    <t>If *revenue-management-be-custom* is restructured to follow hexagonal architecture principles and aligned with the main *revenue-management-be* project, then:_x000D_
 * Clients will receive a clear and well-structured reference implementation for their customizations._x000D_
 * The risk of improper architectural extensions by clients will be reduced._x000D_
 * Maintainability and readability of the custom module will improve._x000D_
 * Onboarding time for new developers working on customizations will decrease._x000D_
 * Future enhancements and refactoring efforts will require less effort due to improved modular boundaries._x000D_
 * Architectural consistency across the platform will be strengthened.</t>
  </si>
  <si>
    <t>* The module structure of revenue-management-be-custom reflects hexagonal architecture principles._x000D_
 * Dependencies between modules follow the defined diagram._x000D_
 * Clear separation exists between adapter, application, and domain layers._x000D_
 * The project compiles successfully after restructuring._x000D_
 * No functional regression is introduced.</t>
  </si>
  <si>
    <t>Scope of this task is the decommission of Camunda 8 from solon tax bundle. This include:_x000D_
 * Removing process engine zeebe module from solon tax adapters and the respective deployment on helm charts_x000D_
 * Remove the respective module from core-bpm repo_x000D_
 ** In general, zeebe dependencies should be eliminated from solon tax deliverables_x000D_
 ** Take care to only remove elements not affecting solontax-amplio process engine integration as it utilizes the same event publication protocol. Leave intact in case of regression risk._x000D_
 * Archive the respective Camunda 8 charts_x000D_
 * Remove Camunda 8 deployments across 3.0.0 environments_x000D_
 * Clean up process management configuration entries referring to camunda 8/zeebe_x000D_
 * Remove product documentation references</t>
  </si>
  <si>
    <t>As a revenue officer, I need to provide comments with wider description, as to be able to explain the reason of this item and keep track of them. _x000D_
_x000D_
*Introduction* _x000D_
_x000D_
To support the requirements of LT, we need to expand the maximum character length of the Comment fields across all system items. Currently, the character limits are insufficient for example in Human Tak entity where the user is requested to comment on a task and this requires more than 255 characters that is currently available. _x000D_
_x000D_
*Functional Requirements*_x000D_
_x000D_
For all comment field items: _x000D_
 * Extend Comment fields to accept length of 2000 characters_x000D_
 * Visible in Ui in record page </t>
  </si>
  <si>
    <t>Enable Users to provide a  coherent explanation in Comment fileds.</t>
  </si>
  <si>
    <t>* Extend Comment fields to accept length of 2000 characters_x000D_
 * Visible in Ui in record pages</t>
  </si>
  <si>
    <t>Upgrade of the application platform from Spring Boot 3.x to Spring Boot 4.x in order to stay aligned with the Spring ecosystem roadmap, benefit from long-term support, and prepare the codebase for upcoming framework and dependency changes._x000D_
_x000D_
Spring Boot 4 introduces breaking changes, updated baselines, and dependency upgrades which require coordinated changes across build configuration, application code, and infrastructure._x000D_
_x000D_
The activity includes:_x000D_
 * Upgrade Spring Boot parent/BOM to Spring Boot 4.x_x000D_
_x000D_
 * Coordinate upgrade to Java version to Java 25, covered by IRM-30464_x000D_
_x000D_
 * Review and update third-party dependencies affected by the upgrade_x000D_
_x000D_
 * Adapt application code to API removals or behavior changes_x000D_
 * Handle compatibility with solution's Elasticsearch version(8 or 9) _x000D_
_x000D_
 * Migrate code deprecations and handle spring boot/framework API removals introduced by the upgrade _x000D_
_x000D_
 * Update configuration properties that have changed or been deprecated_x000D_
_x000D_
 * Ensure build, tests, and local startup succeed after the upgrade_x000D_
_x000D_
 * Evaluate application performance benefits_x000D_
 * Ensure no breakage of SOLON Tax APIs and cross-cutting concern functionality_x000D_
_x000D_
{+}Considerations{+}:_x000D_
_x000D_
Identify microservices that cannot be upgraded due to lack of support for Spring boot 4 from dependent libraries. These microservices can be excluded by the upgrade. Potential candidates are:_x000D_
 * Camunda 7 adapters_x000D_
 * Amplio adapters_x000D_
_x000D_
{+}References{+}:_x000D_
_x000D_
Spring boot migration guide: [https://github.com/spring-projects/spring-boot/wiki/Spring-Boot-4.0-Migration-Guide]_x000D_
_x000D_
 </t>
  </si>
  <si>
    <t>* Keeps the platform up-to-date and supported_x000D_
_x000D_
 * Reduces technical debt and future upgrade effort_x000D_
_x000D_
 * Enables adoption of new Spring features and improvements_x000D_
_x000D_
 * Improves long-term maintainability and security posture</t>
  </si>
  <si>
    <t>* Applications builds successfully with *Spring Boot 4.x*_x000D_
_x000D_
 * Applications starts successfully in test environments_x000D_
_x000D_
 * Existing automated tests pass (or failures are justified and fixed)_x000D_
_x000D_
 * No critical runtime errors related to framework incompatibilities_x000D_
_x000D_
 * Key runtime flows (startup, health checks, security, messaging) are verified_x000D_
_x000D_
 * Upgrade-related changes are documented (breaking changes, required follow-ups</t>
  </si>
  <si>
    <t>As a developer, I want to update our application and database schema to support Oracle 26ai. This involves migrating columns currently using {{CLOB}} for JSON storage to Oracle's native {{JSON}} data type to leverage performance and feature improvements._x000D_
_x000D_
A preliminary task [https://jira.intrasoft-intl.com/browse/IRM-32830] is a prerequisite to determine the feasibility of supporting both Oracle 19c and 26ai simultaneously (Scope B) versus dropping support for 19c (Scope A). The final implementation will follow one of these two approaches._x000D_
_x000D_
-*Scope A: Support Oracle 26ai Only*-_x000D_
 * -*Goal:* Fully transition to Oracle 26ai.-_x000D_
 * -*ACs:*-_x000D_
 ** -The application must be compatible with and run on Oracle 26ai.-_x000D_
 ** -Database columns of type {{CLOB}} storing JSON data must be changed to the native {{JSON}} type.-_x000D_
 ** -ORM mappings and native queries must be updated to correctly handle the new {{JSON}} type.-_x000D_
 ** -Support for Oracle 19c will be deprecated and removed.-_x000D_
_x000D_
*Scope B: Support Oracle 26ai and 19c*_x000D_
 * *Goal:* Introduce Oracle 26ai support while maintaining backward compatibility with 19c._x000D_
 * *ACs:*_x000D_
 ** The application must be compatible with and run on both Oracle 26ai and Oracle 19c._x000D_
 ** -A database migration (e.g., using Liquibase) must be created to convert {{CLOB}} columns to the {{JSON}} type when running on Oracle 26ai.-_x000D_
 ** -ORM mappings and queries must be adapted to function correctly with both {{CLOB}} (on 19c) and {{JSON}} (on 26ai) types.-_x000D_
 ** Separate Liquibase change sets or conditional logic will be required for DDL and configuration to manage the differences between Oracle 19c and 26ai environments._x000D_
_x000D_
*Out of Scope*_x000D_
 * Implementing new features exclusive to Oracle 26ai beyond the {{JSON}} type migration.</t>
  </si>
  <si>
    <t>* In description</t>
  </si>
  <si>
    <t>Depending on Outcome of IRM-32830:_x000D_
 * Support oracle 26ai_x000D_
 * Support for oracle 19c is retained_x000D_
 * -Introduce a migration set where CLOB column types holding JSON data are converted to Oracle's JSON type-_x000D_
 * -ORM and queries should be adjusted accordingly to support both Versions and both CLOB and JSON-_x000D_
 * It's expected that liquibase migrations for DDL and configuration will require a different set for Oracle 19 and 26</t>
  </si>
  <si>
    <t>As a Solon Tax user on a customer-hosted environment, I want to access relevant help documentation directly from the Solon Tax hosted environment, so that I can get assistance without needing seperate access to connect to {{[https://docs.netcompany.com/]}} site_x000D_
_x000D_
*Description:*_x000D_
_x000D_
Currently, the Solon Tax UI integrates with the internal documentation portal at {{{}[https://docs.netcompany.com/]{}}}. This setup is not desired for customer-premise deployments which are often in isolated environments._x000D_
_x000D_
This story covers the work required to package, deploy, and integrate a self-contained version of the Solon Tax documentation portal within the standard Solon Tax product deliverables._x000D_
_x000D_
*Acceptance Criteria:*_x000D_
 # A new process exists to build a stripped-down Docker image of the documentation portal, containing only the Solon Tax documentation._x000D_
 # A new Helm chart is created to deploy this documentation Docker image as part of the standard Solon Tax vanilla deployment._x000D_
 # The Solon Tax UI is reconfigured to retrieve help pages from the newly deployed, in-cluster documentation service instead of the external {{{}docs.netcompany.com{}}}._x000D_
 # Access to the bundled documentation site is secured; users must be authenticated and authorized through the existing Solon Tax access control mechanisms._x000D_
 # Unauthenticated users are prevented from accessing the documentation content._x000D_
 # Documentation on installation deliverables, installation procedure and architecture are updated accordingly.</t>
  </si>
  <si>
    <t>AC1: As per description</t>
  </si>
  <si>
    <t>As an ICARUS team member, I want the technical debt to be addressed right from the start in order to avoid implications and reduce the efforts in the future, so that the product is evolving organically. Additionally, I want to resolve any technical challenges that has risen up, so that methodologies are defined and can be followed. This Enabler gathers up all the technical debt and challenges generated/identified during previous PIs._x000D_
_x000D_
!image-2025-12-12-14-57-47-598.png!</t>
  </si>
  <si>
    <t>As a revenue authority user , I need to be able to create configuration items with wider description, as to be able to explain the reason of this item and keep track of them. _x000D_
_x000D_
*Introduction* _x000D_
_x000D_
To support the requirements of AADE and the increased complexity of configuration entities migrating from TAXIS, SOLON TAX must expand the maximum character length of the Code and Description fields across all system configuration items. Currently, the character limits are insufficient for several entities whose descriptions are significantly longer in TAXIS. The current character limits on Code and Description fields in SOLON TAX are restrictive. During the configuration of GL Accounts, Revenue Types, and Bill Segment Types, it became clear that many items originating from TAXIS use extended textual descriptions that exceed the system’s current capabilities_x000D_
_x000D_
 _x000D_
_x000D_
*Functional Requirements*_x000D_
_x000D_
For all configuration items: _x000D_
 * Long  Description field , length 3000 characters (translatable if possible , but plain text)_x000D_
 * Visible in Ui in record page , optional in list views_x000D_
 * This field is Searchable_x000D_
 * Be able to display the long description in the UI (e.g. revenue type when selecting to create a form)_x000D_
 ** Change Codelist widget to the config list widget *only* for GL accounts, Bill segment types, revenue types (revenue type registration , forms, Bill segment creation, Ft types) _x000D_
 * Field names in UI / Rename_x000D_
*Name* (Short description now called as Description or Label) _x000D_
*Description* (Long Description - current field implemented) _x000D_
 * (Be only) Configurator may be able to add in Ui schema the long descriptions of  GL accounts, Bill segment types, revenue types ( in revenue type registration , forms, Bill segment creation, Ft types pages , in cases where  the dropdown appears as a config list widget and user can see long description). _x000D_
_x000D_
Documentation Note: _x000D_
Please update the instructions on updating the translations for this long Description_x000D_
_x000D_
 _x000D_
_x000D_
Notes: _x000D_
This change must be applied firstly in GL accounts, Bill segment types, revenue types and secondly across all configuration entities, not only those that have already demonstrated the need._x000D_
_x000D_
 </t>
  </si>
  <si>
    <t>For all (* to be defined later - see comments below) configuration items: _x000D_
 * Long  Description field (plain text , translatable) , length 3000 characters_x000D_
 * Visible in Ui in record page , optional  filed in list views (wrap 3 lines truncate with tooltip)_x000D_
 * Made this field Searchable _x000D_
 * Field names in UI _x000D_
Name (Short description now called as Description or Label) _x000D_
Description (Long Description - current field implemented) _x000D_
 * (Be only) Configurator may be able to add in Ui schema the long descriptions of  revenue types  and Bill segment types in RTR , forms when selecting RT and Bill segments when Bill segmen type is selected.  (Configurators need to add in UI)</t>
  </si>
  <si>
    <t>SOLON Tax makes good use of JSON data areas to hold data related with the entities that are not part of the standard data schemas._x000D_
_x000D_
In GR and LT Tax project, they use data areas to cover operational requirements and allow the default model to be extended to support customer requirements. As such, a database that understands and can process JSON data natively is required to allow fast accesses to the data area fields._x000D_
_x000D_
Oracle, since version 21, introduced native JSON support which was further extended in Oracle 26ai that is also LTS version._x000D_
_x000D_
So, it required from the product to add support for Oracle 26ai and make use of its advanced features._x000D_
_x000D_
Additional to the requirement, it must be noted that Oracle, as the database vendor for the GR government entities strongly recommended to use Oracle 23ai for the GR TAX project as its lifetime exceeds the termination of Oracle 19c and they would need to do a costly migration during the project delivery timelines._x000D_
_x000D_
Given that the Oracle 19c reaches EOL at 2029, it is recommended to migrate our product to Oracle 26ai and *+maybe+* drop support for 19c, as this will benefit both performance, support and longevity._x000D_
_x000D_
Native JSON support is offered also in PostgreSQL so a common approach on the product supported databases to allow native JSON handling will be highly beneficial._x000D_
_x000D_
Part of the Enabler are:_x000D_
A)_x000D_
 * Effort estimation and ongoing maintenance cost of in parallel support of the two versions_x000D_
 * Effort estimation supporting Oracle 26ai_x000D_
 * Feasibility check  of supporting Oracle 19c and Oracle 26ai_x000D_
 * Decision from PDM on how we move fw (drop support of Oracle 19c and only support 26ai or provide in parallel support for both versions, 26ai and 19c  or do nothing and leave only 19c  or support only 26 and have a plan to support 19 in a later stage) _x000D_
 * Initiate a parallel  low prio discussion Can we have a way to make easier these upgrades?  _x000D_
_x000D_
B) _x000D_
 * Support of Oracle 26ai_x000D_
 * Based on the decision: drop support of Oracle 19c or provide in parallel support for both versions, 26ai and 19c (or do nothing, or get ready to support 19 in a later stage). </t>
  </si>
  <si>
    <t>Part A :_x000D_
Estimations and Decisions as described in description section_x000D_
_x000D_
Part B: _x000D_
 * SOLON TAX supports Oracle 26ai_x000D_
 * SOLON TAX continues working without any issues introduced by this migration_x000D_
 * Based on decisions _x000D_
 ** SOLON TAX support properly the versions decided_x000D_
 ** SOLON TAX supports optimal CRUD operations of data held in JSON data areas for Oracle database</t>
  </si>
  <si>
    <t>As a revenue authority user , I need to be able to create configuration items with wider code and description, as to be able to explain the reason of this item and keep track of them. _x000D_
_x000D_
*Introduction* _x000D_
_x000D_
To support the requirements of AADE and the increased complexity of configuration entities migrating from TAXIS, SOLON TAX must expand the maximum character length of the Code and Description fields across all system configuration items. Currently, the character limits are insufficient for several entities whose descriptions are significantly longer in TAXIS. The current character limits on Code and Description fields in SOLON TAX are restrictive. During the configuration of GL Accounts, Revenue Types, and Bill Segment Types, it became clear that many items originating from TAXIS use extended textual descriptions that exceed the system’s current capabilities_x000D_
_x000D_
 _x000D_
_x000D_
*Functional Requirements*_x000D_
_x000D_
For all configuration items: _x000D_
 * Increase Code field length  from current limit to 50 characters_x000D_
_x000D_
 * -NOT VALID: -Description field length → from current limit to 1000 characters- (depicted in [https://jira.intrasoft-intl.com/browse/IRM-33100)-] _x000D_
_x000D_
Note : _x000D_
Configuration items contains all the related types, oags , uags , calendars, rates, rules, schemas, menus, queries, skills, roles, standards,  codelists and other admin used entities used to configure transactional data and grand permissions. _x000D_
_x000D_
 _x000D_
_x000D_
-Notes:- _x000D_
-This change must be applied firstly in GL accounts, Bill segment types, revenue types and secondly across all configuration entities, not only those that have already demonstrated the need.-_x000D_
_x000D_
 </t>
  </si>
  <si>
    <t>Increase Code field length  from current limit to 50 characters</t>
  </si>
  <si>
    <t>*Problem Statement*_x000D_
_x000D_
As the SolonTax codebase grows in size and complexity, it becomes increasingly difficult to manually enforce architectural guidelines and design principles ( see D0160 Programming Guidelines) during code reviews. This leads to several risks:_x000D_
 * *Architectural Drift:* Over time, the code can deviate from its intended design (e.g., layered architecture, domain model purity), leading to tight coupling and reduced maintainability._x000D_
 * *Inconsistent Code Reviews:* Architectural violations can be easily missed during manual reviews, as reviewers are often focused on business logic._x000D_
 * *Increased Technical Debt:* Unchecked violations accumulate as technical debt, making future development, refactoring, and onboarding of new team members more difficult and costly._x000D_
_x000D_
There is currently no automated mechanism to prevent such architectural decay, making the system's long-term health dependent on tribal knowledge and manual vigilance._x000D_
_x000D_
*Proposed Solution*_x000D_
_x000D_
This enabler will introduce {*}ArchUnit{*}, a free Java library for checking the architecture of your code, into our build and test lifecycle. By writing plain Java unit tests, we can codify our architectural rules and automatically verify them._x000D_
_x000D_
The solution involves:_x000D_
 # *Integrating ArchUnit:* Add the ArchUnit dependency to the project's build configuration (e.g., Maven or Gradle)._x000D_
 # *Creating an Architecture Test Suite:* Establish a dedicated test source set or package for architectural tests._x000D_
 # *Implementing Foundational Rules:* Implement an initial set of high-value architectural rules to serve as a baseline and a template for future rules. These tests will run as part of the standard CI/CD pipeline, failing the build if a violation is detected._x000D_
_x000D_
This will provide immediate, automated feedback to developers and act as a powerful "guardrail" to prevent architectural erosion._x000D_
_x000D_
*Acceptance Criteria*_x000D_
 # *Dependency Integration:* The ArchUnit library is successfully added as a test-scoped dependency._x000D_
 # *Test Suite Creation:* A dedicated maven module is created to house all ArchUnit tests._x000D_
 # *CI/CD Integration:* The architectural test suite is configured to run automatically as part of the continuous integration pipeline during unit tests phase. A build must fail if any architectural rule is violated._x000D_
 # *Baseline Pass:* All newly introduced architectural tests pass against the existing codebase on the main development branch. If any pre-existing violations are found, they must be either fixed or explicitly exempted as part of this task's scope._x000D_
_x000D_
*Out of Scope*_x000D_
 * This enabler focuses on establishing the framework and implementing a foundational set of rules. Defining an exhaustive list of every possible architectural rule is not in scope._x000D_
 * Large-scale refactoring of the existing codebase to fix numerous pre-existing violations is out of scope, unless a small, agreed-upon number of fixes are required to establish a clean baseline.</t>
  </si>
  <si>
    <t>Everything that can include developer experience:_x000D_
 * Test code changes easier either locally or in a developer env sandbox_x000D_
 * Usage of AI  in day to day development_x000D_
_x000D_
TBD</t>
  </si>
  <si>
    <t>h2. 📖 Background &amp; Context_x000D_
_x000D_
Solon Tax architecture currently consists of a well-defined split with clear Domain-Driven Design (DDD) boundaries. However, modularization is tightly coupled with Solon Tax deployment scheme, resulting in a large number of microservice instances. The JVM overhead for each instance introduces a considerable penalty in our microservice-based architecture, directly impacting the installation footprint, complexity, and costs._x000D_
_x000D_
To address this and align with industry trends (like Modulithization), we need to establish practices and guidelines to decouple our modules from the deployment scheme. This will ensure that our modules are composable and can be bundled into sensible deployment units without losing their DDD boundaries, database schema separation, Kafka pub/sub semantics and REST api signatures ._x000D_
h2. 🎯 Objective_x000D_
_x000D_
Establish the technical practices, guidelines, and necessary build/configuration changes to allow multiple Solon Tax modules to be bundled and executed within the same runtime environment (an "uber" deployment unit), while still retaining the ability to deploy them as standalone microservices._x000D_
h2. 🛠 Scope: Candidate Modules_x000D_
_x000D_
For this initial exercise (targeting Solon Tax 3.0.0 ), the following modules will be used:_x000D_
 * {{operational-report}}_x000D_
 * {{document-management}}_x000D_
 * {{contact-management}}_x000D_
_x000D_
h2. 📋 Requirements_x000D_
 # *Restructure Code for Consolidation:* Refactor the codebase to make it consolidation-friendly, ensuring there are no clashes in Spring contexts, configurations, or dependencies when modules run in the same JVM._x000D_
 # *New Aggregator Module:* Create an additional module within {{be-custom}} that will:_x000D_
 ** Gather all 3 core candidate modules._x000D_
 ** Gather the corresponding custom extensions (i.e. {_}*contact-management-custom*{_}) for these modules._x000D_
 ** Build a single custom Docker image containing all 3 modules in the same runtime._x000D_
 # *Artifact Generation:* The final deliverable must still contain the standalone docker images for each module, alongside the new consolidated artifact (which may be labeled as {{{}beta{}}})._x000D_
 # *Helm Chart Toggle:* Update the {{be}} and {{be-custom}} Helm charts to include a configuration flag that allows environments to easily toggle between the consolidated and standalone flavors._x000D_
 # *Backward Compatibility &amp; Interchangeability:* Ensure that database schema separation , Kafka pub/sub semantics and REST api signatures remain intact regardless of whether the modules are running standalone or bundled._x000D_
 # *Establish Guidelines:* Document the approach taken so it can serve as a blueprint for other modules and custom adapters in version 3.1.0 and beyond._x000D_
_x000D_
h2. ✅ Definition of Done_x000D_
 * The codebase is restructured to be consolidation-friendly._x000D_
 * A new aggregator module in {{be-custom}} successfully builds a consolidated (uber) Docker image containing the aforementioned modules (operational-report, document-management, contact-management) and their custom extensions (contact-management-custom)_x000D_
 * Both standalone Docker images and the consolidated Docker image are produced in the final deliverable._x000D_
 * The {{{}be{}}}/{{{}be-custom{}}} Helm charts contain a flag to toggle between the standalone and consolidated deployment flavors._x000D_
 * Component Tests (CTs) and Unit Tests (UTs) pass successfully for these modules in isolation._x000D_
 * Correctness is verified in a designated environment for a couple of days to observe the consolidated deployment (Testing should be done solely with DAT testing; FAT and horizontal teams do not need to be involved)._x000D_
 * _*(Nice to have)*_ End-to-End (E2E) tests pass rate is similar with both the standalone instances and the consolidated one._x000D_
 * Documentation is produced describing the architecture, the bundling process, and guidelines for projects to follow similar approaches.</t>
  </si>
  <si>
    <t>If we enable multi-module runtime bundling (modulithization) for Solon Tax modules, we will drastically reduce JVM memory overhead and infrastructure costs. By allowing modules like operational-report, document-management and contact-management to share a single runtime without sacrificing DDD boundaries, we expect to lower the installation footprint, simplify operations, and reduce the Total Cost of Ownership (TCO).</t>
  </si>
  <si>
    <t>*Problem Statement*_x000D_
_x000D_
The current Helm chart architecture for SolonTax does not utilize Helm's dependency mechanism. This has led to several inefficiencies:_x000D_
 * *Template Duplication:* Common templates and helper logic are copied across multiple charts, leading to significant code duplication._x000D_
 * *High Maintenance Overhead:* Enhancements or bug fixes made in one chart's templates must be manually identified and ported to all other charts, a process that is both time-consuming and error-prone._x000D_
 * *Inconsistent Configurations:* The {{revenue-management-be}} and {{revenue-management-be-custom}} charts are maintained as two completely separate entities, doubling the effort required for updates and increasing the risk of divergence._x000D_
_x000D_
This lack of a centralized structure makes the charts difficult to maintain, scale, and audit._x000D_
_x000D_
*Proposed Solution*_x000D_
_x000D_
This feature will refactor the SolonTax Helm charts to adopt a more modular and maintainable structure by introducing a common *{{base}}* chart._x000D_
 # *Create a {{base}} Helm Chart:* A new {{base}} chart will be created to serve as a common dependency for all application charts. This chart will consolidate all shared templates, helpers, and logic (e.g., for Deployments, Services, ConfigMaps, etc.). It will be designed to be flexible enough to handle both backend and frontend components._x000D_
_x000D_
 # *Refactor {{revenue-management-be}} Charts:* The {{revenue-management-be-custom}} chart will be refactored to use the {{revenue-management-be}} chart as a parent dependency. The custom chart will become a lightweight extension, responsible only for overriding values (like image tags) and adding configurations specific to the customized microservices. This will result in a single, unified Helm release for all {{revenue-management-be}} components._x000D_
_x000D_
*Acceptance Criteria*_x000D_
 # *Base Chart Creation:* A new {{base}} Helm chart is created and contains common, reusable templates for standard Kubernetes resources (e.g., Deployment, Service, ConfigMap, Ingress)._x000D_
 # *Dependency Adoption:* All existing SolonTax application charts (both backend and frontend) are updated to declare the {{base}} chart as a dependency in their {{{}Chart.yaml{}}}._x000D_
 # *Duplication Removal:* Duplicated template logic is removed from the application charts, which now leverage the templates provided by the {{base}} chart._x000D_
 # *{{revenue-management-be}} Refactoring:* The {{revenue-management-be-custom}} chart is refactored to be a child chart of {{{}revenue-management-be{}}}._x000D_
 # *Unified Release:* A single {{helm install}} or {{helm upgrade}} of the refactored {{revenue-management-be-custom}} chart successfully deploys both the standard {{revenue-management-be}} components and the customized components as a single Helm release._x000D_
 # *Override Functionality:* The {{revenue-management-be-custom}} chart can successfully override default values (e.g., image tags) from the parent {{revenue-management-be}} chart and inject additional properties for its specific microservices._x000D_
 # *Flexibility for Exceptions:* Application charts retain the ability to introduce their own specialized templates if a specific requirement cannot be met by the common {{base}} chart.</t>
  </si>
  <si>
    <t>Placeholder for activities that will streamline release process, such as:_x000D_
 * Automating release branch management: A single operation should create all develop/release/master branches_x000D_
 * Automatically sync environments to a specified version_x000D_
 * etc</t>
  </si>
  <si>
    <t>*Problem Statement*_x000D_
_x000D_
The current installation procedure for SolonTax (until v2.1.0 ) relies on the manual configuration and deployment of multiple Helm charts for core and auxiliary components. This process presents several challenges:_x000D_
 * *High Operational Overhead:* System administrators must manually configure multiple {{values.yaml}} files, which is time-consuming._x000D_
 * *Prone to Errors:* There is a significant risk of misconfiguration when values are not synchronized correctly across different Helm charts (e.g. service endpoints)._x000D_
 * *Complex Upgrades:* Managing the upgrade sequence and dependencies between components is a manual and fragile process._x000D_
_x000D_
*Proposed Solution*_x000D_
_x000D_
To address these challenges, this feature proposes the development of a new Kubernetes Operator, the {*}SolonTax Operator{*}. The operator will act as a single point of control to automate and streamline the lifecycle management (installation, configuration, and upgrades) of a SolonTax environment._x000D_
_x000D_
By defining a Custom Resource (CR), administrators will be able to declare the desired state of a SolonTax installation, and the operator will work to fulfill that state, abstracting away the complexity of managing the underlying Helm charts._x000D_
_x000D_
*Acceptance Criteria*_x000D_
 # *Helm Chart Orchestration:* The operator utilizes the existing {{Revenue Management}} and {{ISS}} Helm charts to deploy SolonTax components._x000D_
 # *Selective Component Installation:* The operator's Custom Resource (CR) allows specifying the installation of:_x000D_
 ** {{Revenue Management}} components only._x000D_
 ** {{ISS}} components only._x000D_
 ** Both {{Revenue Management}} and {{ISS}} components._x000D_
 # *Configuration Cascading:* A single, top-level configuration value in the operator's CR (e.g., {{{}spec.env.jdbcUrl{}}}) is correctly propagated to all relevant underlying Helm charts and their respective ConfigMaps._x000D_
 # *Configuration Overrides:* The operator's CR provides a mechanism to override specific values in individual Helm charts (e.g., setting {{spec.components.revenueManagement.deployment.apiGateway.logging.level.root }}to {{DEBUG}} should override the default log level for that component only)._x000D_
 # *Dependency Management:* The operator's reconciliation loop correctly manages dependencies. For example, it must ensure a database migration Job completes successfully before proceeding with the upgrade of dependent microservice Deployments._x000D_
_x000D_
*Technical Requirements &amp; Considerations*_x000D_
 * *Technology Stack:* The operator must be implemented using the *Java Operator SDK* ([https://github.com/operator-framework/java-operator-sdk]) and the *Spring Boot Starter* ([https://github.com/operator-framework/josdk-spring-boot-starter])._x000D_
 * *Helm Chart Dependency Strategy:* An architectural decision must be made on how the operator will access the Helm charts it manages. The implementation should consider and evaluate:_x000D_
 ** Bundling the Helm charts within the operator's container image._x000D_
 ** Fetching the charts from a remote Helm registry at runtime._x000D_
 ** A hybrid approach that supports both._x000D_
_x000D_
*Out of Scope*_x000D_
 * The initial version of this operator will *only* manage the core *SolonTax* components ({{{}Revenue Management{}}} and {{{}ISS{}}})._x000D_
 * The management of auxiliary components (e.g., databases, message brokers, logging stacks) is not included in the scope of this work but may be considered for future iterations.</t>
  </si>
  <si>
    <t>Simplify solon tax installation and upgrades.</t>
  </si>
  <si>
    <t>Scope of this enabler is to supply the appropriate tooling to automatically generate documentation artifacts, currently documented manually, directly from source. Items that can be covered are;_x000D_
 * C4 container view diagrams:_x000D_
 ** {*}Possibility{*}: create a maven plugin that can parse annotated classes that denote inbound outbound ports and create the diagrams in structurizr of pluntuml format_x000D_
 ** {*}Affects{*}: https://docs.netcompany.com/swpd-doc/docs-solon-tax/solon-tax/2.0.0/sad/partials/container_view.html_x000D_
 * Application Properties:_x000D_
 ** {*}Essential{*}: Back all application properties used in solontax microservices with POJOS (currently not 100% the case) _x000D_
 ** {*}Possibility{*}: create tooling that can extract application properties information via either a maven plugin or via actuator endpoints and generate documentation as it's done  _x000D_
 ** {*}Affects{*}: [https://docs.netcompany.com/swpd-doc/docs-solon-tax/solon-tax/2.0.0/ing/partials/appendix_a_application_properties.html]_x000D_
 * Installation Configuration instruction_x000D_
 ** {*}Essential{*}: Embed installation configuration guidelines within helm charts README.md documents, and use that directly in installation manual:_x000D_
 ** *Affects:* [https://docs.netcompany.com/swpd-doc/docs-solon-tax/solon-tax/2.0.0/ing/partials/components_installation_configuration.html]_x000D_
 * Base/Demo configuration data (not currently documented)_x000D_
 ** {*}Essential{*}: Create tooling that can extract Base and Demo data entries:_x000D_
 *** Have complete documentation per release in the appropriate guide_x000D_
 *** Have information about changes in release notes.</t>
  </si>
  <si>
    <t>Automate documentation generation to substantially reduce maintenance effort and also ensure correctness</t>
  </si>
  <si>
    <t>*AFTER POC*  [https://jira.intrasoft-intl.com/browse/IRM-29268] _x000D_
_x000D_
{color:#ff8b00}*WIP  - Will be defined after POC* {color}_x000D_
----_x000D_
As a Solon Tax Delivery team, I need to be able to: _x000D_
-  safely and selectively, via guided steps, to migrate configurations across environments (Dev → Stg → Prod),_x000D_
-  maintain versions of the configurations/other artifacts migrated to other environments and of the release/migration  (e.g. artifact version, release version)   _x000D_
-  provide report on the results of the deployment process, _x000D_
-  see the history of the migrations, _x000D_
-  support zero/near-zero downtime deployments   (?)_x000D_
-  support scheduled activation/ make effective the changes to destination environment,_x000D_
-  enable team to flag changes as "ready to be migrated" , and capture ownership details_x000D_
-  filter in a longer list of items based on predefine flags or versions the items to be added in the package for the migration,_x000D_
-  enable team to select,  implementations, supporting them with  prechecks (Pre‑checks: environment compatibility, dependency resolution, conflict detection, schema compatibility, dry‑run simulation), dependencies and conflicts checks, _x000D_
-  provide rollback and recovery options,_x000D_
-  enable team to select source and destination environments, _x000D_
-  ensure security, performance,  and compliance,_x000D_
-  enforce governance with roles, performance and approval flows._x000D_
_x000D_
 _x000D_
_x000D_
*Background:*_x000D_
 _x000D_
Configuration Data_x000D_
 * Entity types (c_ objects) , Codelists/codelist items, , System parameters (codelist item attributes), _x000D_
queries, other config data (users, exchange rates, calendars, worker profiles, roles, object access groups, user access groups, ledgers, GL accounts numbers, rates etc), UI schemas/forms.'_x000D_
_x000D_
Translations_x000D_
 * Labels ( _l objects) _x000D_
_x000D_
TBC: _x000D_
 * (?) User defined characteristics,_x000D_
 * Drools_x000D_
 * (?) Other customizations_x000D_
_x000D_
Ownerships _x000D_
 * Config items are flagged with its ownership , i.e. :  on who is responsible for their maintenance (Product team, national delivery team, or client-specific team) restricting areas that should not be used,  their intended scope of usage / applicability (global, regional, or specific clients) , whether they are reusable across implementations Additionally provide controlling mechanism on which items based on owner are eligible to be migrated (e.g. do not deploy base items, unless it is an attribute of a system parameter, entity schema help url, or labels.)   [https://jira.intrasoft-intl.com/browse/IRM-26335]  _x000D_
_x000D_
*Functional Requirements:*_x000D_
_x000D_
*+Preparation+* _x000D_
 * *Prerequisites*_x000D_
 ** Define environments that can be source and destinations_x000D_
 ** Define the versioning numbering that will be used for all the items (?)_x000D_
 * *Flag configuration items*_x000D_
 ** Beforehand, the developer/admin should label Ownership of the component. _x000D_
 ** Beforehand, the developer/admin may label configurations implemented as  "Ready for export".  ([https://jira.intrasoft-intl.com/browse/PSD-11032)|https://jira.intrasoft-intl.com/browse/PSD-11032])_x000D_
 ** Beforehand, version of the items to be migrated may be defined. _x000D_
 ** Beforehand, the developer/admin optionally may label the component with the Functionality or Scope or Product component will support.  _x000D_
 ** Beforehand, the developer/admin may select if the Cong items will be activated while migrated or will remain inactive till admin manually activate them the destination environment. _x000D_
 ** Beforehand, the developer/admin may upload the file where applicable (labels - translations) should be uploaded. _x000D_
 ** Beforehand, the developer/admin may select the source and destination environments.  _x000D_
_x000D_
 * *Roles and permissions*_x000D_
 ** Permitted users can use the packaging tool and perform the mentioned actions_x000D_
_x000D_
              consideration :  ? Could it be extended to use approval processes?_x000D_
_x000D_
 _x000D_
_x000D_
*+Core+*_x000D_
 * *Ui*_x000D_
 ** Admin may see the details of previous local releases/ deployments as well as historical data on the local releases/ deployments_x000D_
 ** Admin/developer may check out and then check in any non Base config item_x000D_
 *** Checked in item receives automatically a version_x000D_
 *** Validation when trying to check out a Base item_x000D_
 ** Admin may initiate a new deployment (create release) _x000D_
 *** Select source and destination environment_x000D_
 *** UI or CLI to *select/export/inspect/import* configurations, code, flows, templates, etc._x000D_
 *** Select to proceed with the deployment_x000D_
 *** Admin may use filters  (as per flags added above , version number ,  along with other items e.g. category field) to locate the items to be included in the package. _x000D_
 *** Admin can add comments per item and per local release. _x000D_
 ** Admin may see details under each logged release_x000D_
 *** Admin can see timestamp and historical details on the local release. _x000D_
 *** Admin can see list of exceptions before and after the deployment_x000D_
 ** Admin after deployment will be able to make effective/enable the version/selected items in destination environment. _x000D_
_x000D_
 _x000D_
_x000D_
+*Deployment process*+_x000D_
_x000D_
 _x000D_
 * *Suggest items to be selected*_x000D_
 ** Provide Delta support to select elements that are new or modified -  where applicable._x000D_
 ** Exclude BASE items with exceptions (help urls, labels, attributes in system parameters)._x000D_
 ** Indicate possible conflicts._x000D_
 * *Dependency management*  - Select items to be migrated (metadata, content ... ) from a list ._x000D_
 ** Identify dependencies and indicate what related items need to move together._x000D_
Identify and warn if related components must be exported together._x000D_
 ** Support  when certain settings (like endpoint URLs, external credentials, currency precision) may need to differ by environment - need a way to parameterize or externalize environment-specific config.)_x000D_
_x000D_
 * *Standard Format &amp; Packaging*_x000D_
 ** Define a standard export/import format   (e.g., JSON, XML, YAML or other per component type) _x000D_
 ** Group exported artifacts into packages. _x000D_
 ** Be able to define the expiration date / inactivation date of an older version per component and have available mechanisms to validate that the new version will be available when old is expired. _x000D_
 *  *Import &amp; Validation* : _x000D_
 ** Examine if needs to define states for each deployable (e.g., {_}Draft → Approved → Deployed → Deprecated{_})._x000D_
 ** Ensure compatibility and prevent unintended overwrites._x000D_
 ** Run automated validations in a dry run mode_x000D_
 ** Indicate possible conflicts._x000D_
 ** Simulate a deployment before actual promotion_x000D_
 ** Advice smoke testing after deployment_x000D_
_x000D_
 * *Auditability and Reporting* _x000D_
 ** Audit Trail of  who changed what, when, and where in the target environment. (See also relevant section on  [https://jira.intrasoft-intl.com/browse/IRM-27058] ) _x000D_
 ** Be able to see the result of the migration process. Monitor what succeeded, failed, or was skipped._x000D_
 _x000D_
 * *Rollback Mechanism  / go back to a previous version*  _x000D_
 ** Ability to revert a deployment if needed either fully or selectively.  See also relevant section on  [https://jira.intrasoft-intl.com/browse/IRM-27058] _x000D_
 ** Ability to set when old version should be expired as new version should be active.  See also relevant section on  [https://jira.intrasoft-intl.com/browse/IRM-27058] _x000D_
_x000D_
 * Compliance/ *Data security* privacy (Certain configuration or integration artifacts may handle sensitive data)_x000D_
 ** Dev and Stg environments are created without taxpayer data, but include configuration and custom logic. i.e.,  when exporting from production to other envs, do not deploy data. _x000D_
 * Other_x000D_
 ** Consider also translation management needs as described in  IRM-24809  _x000D_
_x000D_
 _x000D_
_x000D_
 _x000D_
_x000D_
*Documentation*_x000D_
 * Documentation will be delivered with the steps to install the application and tools needed plus how to use the tool with example. _x000D_
_x000D_
*Non Functional Requirements:*_x000D_
 * Tool can be handled by delivery teams._x000D_
 * Performance and security DODs should be considered. _x000D_
_x000D_
----_x000D_
 _x000D_
_x000D_
Similar solution_x000D_
!image-2025-08-27-11-26-51-929.png!_x000D_
_x000D_
 _x000D_
_x000D_
!image-2025-08-27-12-57-16-410.png!_x000D_
_x000D_
!image-2025-08-27-13-09-21-753.png!_x000D_
_x000D_
!image-2025-08-27-11-29-46-330.png!_x000D_
_x000D_
!image-2025-08-27-11-29-23-860.png!_x000D_
_x000D_
!image-2025-08-27-11-28-14-100.png!</t>
  </si>
  <si>
    <t>Providing a solution for migrating Config items will empower delivery teams to fully leverage the product’s high configurability, enabling faster and more reliable deployments, ensuring consistency across environments and reducing manual overhead. Additionally, delivery teams can more effectively utilize the product's flexibility, resulting in faster time-to-value and improved rollout quality.</t>
  </si>
  <si>
    <t>FIXED EFFORT POC to analyze the solution : _x000D_
Tool to allow securely and via guided steps to allow a team to _x000D_
a) select elements to be deployed checking dependencies and conflicts_x000D_
b) packaging them_x000D_
c) selects destinations_x000D_
d) validating the actions_x000D_
e) deploy _x000D_
f)  be able to rollback</t>
  </si>
  <si>
    <t>Upgrade SOLON Tax Java version to 25. The activity involves the following:_x000D_
 * Upgrade SOLON Tax JDK to Java 25 compatible for all SOLON microservice repositories (be, adapters, custom)_x000D_
 * Upgrade SOLON Tax microservice base docker image to temurin-25_x000D_
 * Update relevant build pipelines_x000D_
 * Resolve all deprecations or build errors resulting from JDK upgrade</t>
  </si>
  <si>
    <t>Upgrading Java runtime to JDK 25 (LTS) will result to measurable gains in startup latency and memory efficiency. Using JDK 25 as development baseline will facilitate the adoption of new language/framework features.</t>
  </si>
  <si>
    <t>* SOLON Tax artifacts are built with JDK 25_x000D_
 * SOLON Tax microservices run on alpine containers with JRE 25_x000D_
 * All relevant deprecations are resolved</t>
  </si>
  <si>
    <t>As an admin, I should be able to use an AI-assisted JSON + UI schemas generation mechanism when using the form designer, so as to minimise complexity and error prone methods._x000D_
_x000D_
*Introduction* _x000D_
_x000D_
Adding an AI-assisted JSON schema generation mechanism within the Form Designer would significantly reduce complexity for administrators, developers, and integrators by automatically converting designed forms into standardized data structures._x000D_
_x000D_
*Functional Requirement* _x000D_
_x000D_
*&gt; AI Schema Translation*_x000D_
_x000D_
Revenue Management shall automatically generate a JSON Schema representation for every saved or published form._x000D_
_x000D_
Revenue Management shall use an AI model to infer correct JSON Schema types, structures, and validation constraints based on field definitions and properties from the form designer._x000D_
_x000D_
_Example:_ A “Date of Birth” field becomes {{{}{ "type": "string", "format": "date" }{}}}._x000D_
_x000D_
Revenue Management shall support bidirectional conversion, allowing import of JSON Schemas back into editable form layouts._x000D_
_x000D_
The AI engine shall recognize conditional logic and field dependencies and express them in JSON Schema constructs (e.g., {{{}if/then/else{}}})._x000D_
_x000D_
The AI engine shall automatically infer relationships between nested sections or tabs and map them as nested JSON objects._x000D_
_x000D_
*&gt; Schema Optimization and Validation*_x000D_
_x000D_
The AI engine shall validate generated JSON Schemas for compliance with JSON Schema Draft version specifications compatible with the one used in solon Tax revenue management at the time._x000D_
_x000D_
Revenue Management shall flag inconsistencies or redundant structures detected during generation (e.g., duplicate field names, circular dependencies)._x000D_
_x000D_
Revenue Management shall allow users to preview and manually fine-tune the generated JSON Schema before publishing._x000D_
_x000D_
Revenue Management shall maintain version history for generated schemas aligned with form versions._x000D_
_x000D_
*&gt; AI Learning and Context Awareness*_x000D_
_x000D_
The AI engine shall learn from existing published forms and schemas to improve accuracy of future translations (e.g., reusing known field mappings)._x000D_
_x000D_
The AI engine shall support domain-specific language understanding — for instance, recognizing that “Gross Income” or “Taxable Income” should be treated as numeric fields with precision settings._x000D_
_x000D_
The AI shall support multilingual form labels, understanding that language differences should not affect schema consistency._x000D_
_x000D_
*&gt; Integration and Export*_x000D_
_x000D_
Revenue Management shall allow exporting the generated JSON Schema for use in external systems (e.g., data validation APIs or ETL processes)._x000D_
_x000D_
Revenue Management shall expose a REST API endpoint to retrieve schema definitions programmatically by form name or version._x000D_
_x000D_
The AI mechanism shall ensure backward compatibility between schema versions (e.g., mapping old field names to new ones if renamed)._x000D_
_x000D_
*&gt; Security and Governance*_x000D_
_x000D_
The AI mechanism shall not expose sensitive taxpayer data during schema generation or learning._x000D_
_x000D_
Revenue Management shall record an audit log of AI actions (generation, corrections, user overrides)._x000D_
_x000D_
Only users with specific roles can configure, view or export generated schemas.</t>
  </si>
  <si>
    <t>Reduce complexity for administrators, developers, and integrators by automatically converting designed forms into standardized data structures ie JSON schemas.</t>
  </si>
  <si>
    <t>h3. *AI Schema Generation*_x000D_
 * Given a user has designed a Form, when they click "Generate Schema", the system produces a valid JSON +UI Schema representing the form structure._x000D_
_x000D_
 * When the form contains a numeric field “Annual Income,” the generated schema includes {{{}"type": "number"{}}}._x000D_
_x000D_
 * When a form field is marked as “Required,” the schema includes that field name in the {{"required"}} array._x000D_
_x000D_
h3. *Conditional Logic Representation*_x000D_
 * When the form contains a rule “Show ‘Foreign Income’ when ‘Resident Status = Non-Resident’,” the generated JSON Schema includes a corresponding {{if/then}} structure._x000D_
_x000D_
 * When a dependency exists between “Claim Deductions” and “Deduction Amount,” the generated schema enforces it through conditional validation._x000D_
_x000D_
h3. *Validation and Consistency*_x000D_
 * When the AI generates the schema, it passes JSON Schema validation (Draft 7 or newer)._x000D_
_x000D_
 * When duplicate field names are detected, the system highlights them and prompts the user to rename or merge fields._x000D_
_x000D_
 * When I modify a field (e.g., rename “Annual Income” → “Gross Income”), the system updates the schema and retains the mapping history. _x000D_
_x000D_
h3. *Optimization and Preview*_x000D_
 * When the schema is generated, I can open a preview tab showing a formatted JSON Schema view._x000D_
_x000D_
 * When I click “Optimize,” the AI suggests merging similar or redundant fields (e.g., “Tax Paid” vs. “Total Tax”)._x000D_
_x000D_
 * When I accept AI suggestions, the schema regenerates with optimized structure and shows differences from the previous version._x000D_
_x000D_
h3. *Versioning and Export*_x000D_
 * When a new version of the form is published, a corresponding version of the JSON Schema is created with metadata (version number, creator, timestamp)._x000D_
_x000D_
 * When I export the schema via API or download, it includes all field definitions and constraints in JSON format._x000D_
_x000D_
h3. *Security and Audit*_x000D_
 * When the AI engine generates or modifies a schema, the system logs the event (user, time, form version, changes)._x000D_
_x000D_
 * When I attempt to export the schema without the proper role, I receive an “Access Denied” message.</t>
  </si>
  <si>
    <t>* Apply the validation for the unicode whitelist of allowed characters for Code fields,  to all Solon Tax Config entity types_x000D_
_x000D_
 * In scope configuration entities included in:_x000D_
_x000D_
irm_registration_db_x000D_
_x000D_
irm_taxpayeraccounting_db</t>
  </si>
  <si>
    <t>As a Solon Tax Delivery team, I need to be able to: _x000D_
-  safely and selectively, via guided steps, to migrate configurations across environments (Dev → Stg → Prod),_x000D_
-  maintain versions of the configurations/other artifacts migrated to other environments and of the release/migration  (e.g. artifact version, release version)   _x000D_
-  provide report on the results of the deployment process, _x000D_
-  see the history of the migrations, _x000D_
-  support zero/near-zero downtime deployments   (?)_x000D_
-  support scheduled activation/ make effective the changes to destination environment,_x000D_
-  enable team to flag changes as "ready to be migrated" , and capture ownership details_x000D_
-  filter in a longer list of items based on predefine flags or versions the items to be added in the package for the migration,_x000D_
-  enable team to select,  implementations, supporting them with  prechecks (Pre‑checks: environment compatibility, dependency resolution, conflict detection, schema compatibility, dry‑run simulation), dependencies and conflicts checks, _x000D_
-  provide rollback and recovery options,_x000D_
-  enable team to select source and destination environments, _x000D_
-  ensure security, performance,  and compliance,_x000D_
-  enforce governance with roles, performance and approval flows._x000D_
_x000D_
{color:#0747a6}*BECAUSE OF THE COMPAXITY OF THE TOOL TO BE IMPLEMENTED WE WILL INITIATE THE DESIGN BY A POC.* {color}_x000D_
{color:#0747a6}*The POC scope will be defined by PD team.* {color}_x000D_
{color:#0747a6}*The POC will have fixed effort.* {color}_x000D_
_x000D_
_x000D_
_x000D_
*Background:*_x000D_
 _x000D_
Configuration Data_x000D_
 * Entity types (c_ objects) , Codelists/codelist items, , System parameters (codelist item attributes), _x000D_
queries, other config data (users, exchange rates, calendars, worker profiles, roles, object access groups, user access groups, ledgers, GL accounts numbers, rates etc), UI schemas/forms.'_x000D_
_x000D_
Translations_x000D_
 * Labels ( _l objects) _x000D_
_x000D_
TBC: _x000D_
 * (?) User defined characteristics,_x000D_
 * Drools_x000D_
 * (?) Other customizations_x000D_
_x000D_
Ownerships _x000D_
 * Config items are flagged with its ownership , i.e. :  on who is responsible for their maintenance (Product team, national delivery team, or client-specific team) restricting areas that should not be used,  their intended scope of usage / applicability (global, regional, or specific clients) , whether they are reusable across implementations Additionally provide controlling mechanism on which items based on owner are eligible to be migrated (e.g. do not deploy base items, unless it is an attribute of a system parameter, entity schema help url, or labels.)   [https://jira.intrasoft-intl.com/browse/IRM-26335]  _x000D_
_x000D_
*Functional Requirements:*_x000D_
_x000D_
*+Preparation+* _x000D_
 * *Prerequisites*_x000D_
 ** Define environments that can be source and destinations_x000D_
 ** Define the versioning numbering that will be used for all the items (?)_x000D_
 * *Flag configuration items*_x000D_
 ** Beforehand, the developer/admin should label Ownership of the component. _x000D_
 ** Beforehand, the developer/admin may label configurations implemented as  "Ready for export".  ([https://jira.intrasoft-intl.com/browse/PSD-11032)|https://jira.intrasoft-intl.com/browse/PSD-11032])_x000D_
 ** Beforehand, version of the items to be migrated may be defined. _x000D_
 ** Beforehand, the developer/admin optionally may label the component with the Functionality or Scope or Product component will support.  _x000D_
 ** Beforehand, the developer/admin may select if the Cong items will be activated while migrated or will remain inactive till admin manually activate them the destination environment. _x000D_
 ** Beforehand, the developer/admin may upload the file where applicable (labels - translations) should be uploaded. _x000D_
 ** Beforehand, the developer/admin may select the source and destination environments.  _x000D_
_x000D_
 * *Roles and permissions*_x000D_
 ** Permitted users can use the packaging tool and perform the mentioned actions_x000D_
_x000D_
              consideration :  ? Could it be extended to use approval processes?_x000D_
_x000D_
 _x000D_
_x000D_
*+Core+*_x000D_
 * *Ui*_x000D_
 ** Admin may see the details of previous local releases/ deployments as well as historical data on the local releases/ deployments_x000D_
 ** Admin/developer may check out and then check in any non Base config item_x000D_
 *** Checked in item receives automatically a version_x000D_
 *** Validation when trying to check out a Base item_x000D_
 ** Admin may initiate a new deployment (create release) _x000D_
 *** Select source and destination environment_x000D_
 *** UI or CLI to *select/export/inspect/import* configurations, code, flows, templates, etc._x000D_
 *** Select to proceed with the deployment_x000D_
 *** Admin may use filters  (as per flags added above , version number ,  along with other items e.g. category field) to locate the items to be included in the package. _x000D_
 *** Admin can add comments per item and per local release. _x000D_
 ** Admin may see details under each logged release_x000D_
 *** Admin can see timestamp and historical details on the local release. _x000D_
 *** Admin can see list of exceptions before and after the deployment_x000D_
 ** Admin after deployment will be able to make effective/enable the version/selected items in destination environment. _x000D_
_x000D_
 _x000D_
_x000D_
+*Deployment process*+_x000D_
_x000D_
 _x000D_
 * *Suggest items to be selected*_x000D_
 ** Provide Delta support to select elements that are new or modified -  where applicable._x000D_
 ** Exclude BASE items with exceptions (help urls, labels, attributes in system parameters)._x000D_
 ** Indicate possible conflicts._x000D_
 * *Dependency management*  - Select items to be migrated (metadata, content ... ) from a list ._x000D_
 ** Identify dependencies and indicate what related items need to move together._x000D_
Identify and warn if related components must be exported together._x000D_
 ** Support  when certain settings (like endpoint URLs, external credentials, currency precision) may need to differ by environment - need a way to parameterize or externalize environment-specific config.)_x000D_
_x000D_
 * *Standard Format &amp; Packaging*_x000D_
 ** Define a standard export/import format   (e.g., JSON, XML, YAML or other per component type) _x000D_
 ** Group exported artifacts into packages. _x000D_
 ** Be able to define the expiration date / inactivation date of an older version per component and have available mechanisms to validate that the new version will be available when old is expired. _x000D_
 *  *Import &amp; Validation* : _x000D_
 ** Examine if needs to define states for each deployable (e.g., {_}Draft → Approved → Deployed → Deprecated{_})._x000D_
 ** Ensure compatibility and prevent unintended overwrites._x000D_
 ** Run automated validations in a dry run mode_x000D_
 ** Indicate possible conflicts._x000D_
 ** Simulate a deployment before actual promotion_x000D_
 ** Advice smoke testing after deployment_x000D_
_x000D_
 * *Auditability and Reporting* _x000D_
 ** Audit Trail of  who changed what, when, and where in the target environment. (See also relevant section on  [https://jira.intrasoft-intl.com/browse/IRM-27058] ) _x000D_
 ** Be able to see the result of the migration process. Monitor what succeeded, failed, or was skipped._x000D_
 _x000D_
 * *Rollback Mechanism  / go back to a previous version*  _x000D_
 ** Ability to revert a deployment if needed either fully or selectively.  See also relevant section on  [https://jira.intrasoft-intl.com/browse/IRM-27058] _x000D_
 ** Ability to set when old version should be expired as new version should be active.  See also relevant section on  [https://jira.intrasoft-intl.com/browse/IRM-27058] _x000D_
_x000D_
 * Compliance/ *Data security* privacy (Certain configuration or integration artifacts may handle sensitive data)_x000D_
 ** Dev and Stg environments are created without taxpayer data, but include configuration and custom logic. i.e.,  when exporting from production to other envs, do not deploy data. _x000D_
 * Other_x000D_
 ** Consider also translation management needs as described in  IRM-24809  _x000D_
_x000D_
 _x000D_
_x000D_
 _x000D_
_x000D_
*Documentation*_x000D_
 * Documentation will be delivered with the steps to install the application and tools needed plus how to use the tool with example. _x000D_
_x000D_
*Non Functional Requirements:*_x000D_
 * Tool can be handled by delivery teams._x000D_
 * Performance and security DODs should be considered. _x000D_
_x000D_
----_x000D_
 _x000D_
_x000D_
Similar solution_x000D_
!image-2025-08-27-11-26-51-929.png!_x000D_
_x000D_
 _x000D_
_x000D_
!image-2025-08-27-12-57-16-410.png!_x000D_
_x000D_
!image-2025-08-27-13-09-21-753.png!_x000D_
_x000D_
!image-2025-08-27-11-29-46-330.png!_x000D_
_x000D_
!image-2025-08-27-11-29-23-860.png!_x000D_
_x000D_
!image-2025-08-27-11-28-14-100.png!</t>
  </si>
  <si>
    <t>This enabler aims to bucket tasks that require introducing breaking changes. Should be planned as a prerequisite for Solon 3.0.0_x000D_
 * Removal of deprecated_x000D_
 * Spring Boot 4 /Spring Cloud-&gt; IRM-33555_x000D_
 * Java 25 -&gt; IRM-30464_x000D_
 * Elastic 9 (DevOps)_x000D_
 * SCDF removal -&gt;  IRM-34326_x000D_
 * Drools 10_x000D_
 * Oracle 26ai -&gt; IRM-32830, IRM-33531_x000D_
 * -Camunda 8.8 -&gt;- IRM-31876_x000D_
 * Decomission Camunda 8 -&gt; IRM-34509_x000D_
 * Kafka 4.x &amp; Redis 8.x (DevOps)_x000D_
 * K8s Ingress Controller -&gt; IRM-32132 (DevOps)</t>
  </si>
  <si>
    <t>Test Suite Optimization (2026)</t>
  </si>
  <si>
    <t>Gather needs for SS automation testing. _x000D_
 * Apis test_x000D_
 * Authentications_x000D_
 * Based on [https://jira.intrasoft-intl.com/browse/IRM-36809] : Automated tests validate unauthenticated access and expected responses for each endpoint _x000D_
 * Overview/Home pages_x000D_
 * Agreements tests_x000D_
 ** Create representations and sub representations using several agreement rights_x000D_
 * Forms_x000D_
 ** Create Draft forms , Check forms , publish forms_x000D_
 ** Human Tasks_x000D_
 ** Attach documents_x000D_
 ** Review forms_x000D_
 ** See filling obligations_x000D_
 * Human Tasks_x000D_
 ** Create and manage tasks_x000D_
 * Document Management_x000D_
 ** Upload and monitor attachments_x000D_
 * SS Admin</t>
  </si>
  <si>
    <t>Batch Processing Enhancements (2026)</t>
  </si>
  <si>
    <t>The goal of the feature is to ensure the revenue-management-batch and revenue-management-batch-custom, is properly ready to be used as the default and sole solution for batch processing within Solon Tax._x000D_
_x000D_
The feature should ensure that the custom application is fully ready for projects to extend, that reference batch job implementations follow best-practice, to properly function as guidance and that it behaves fully as a Solon Tax application._x000D_
_x000D_
Contents:_x000D_
_x000D_
1. The migrated batch jobs all function as separate modules, but are compiled as one applications. During the migrations most dependencies has been kept as is, instead of taking into consideration that many of these come from the main application. It's therefore needed to go through all the batch jobs in both revenue-management-batch and revenue-management-batch-custom _x000D_
_x000D_
2. Revenue-management-batch should utilize Solons shared libraries, to ensure it functions and integrates into the product as a native service. This task focuses on using the shared logging library, which also sets up aspects, that ensure default logging of REST requests, database access and more._x000D_
_x000D_
3. It has been noted that some batch jobs do not utilize common properties when they should, e.g. penalty interest, and obligation maintenance (registration) use their own keycloak secrets and client ids and such. This should be resolved by ensuring that all batch jobs use common properties when they can, and the code should be adapted to reflect this._x000D_
_x000D_
4. Ensure that revenue-management-batch is build using final dependencies, currently it is being build using RC builds of foundation, which should not be the case for a release._x000D_
_x000D_
5. Because of the dependency towards foundation, the default local properties for configuring the database connection, is controlled by the local properties in revenue-management-batch. It is therefore necessary to ensure that these properties can be configured from the revenue-management-batch-custom project.</t>
  </si>
  <si>
    <t>More robust solution</t>
  </si>
  <si>
    <t>The main goal of the feature, is to migrate the remaining batch jobs to the Amplio Batch engine._x000D_
h2. 1. Job migrations_x000D_
h3. 1.1 revenue-management-batch repository_x000D_
_x000D_
In the revenue-management-batch repository, the following missing jobs marked as BASE, needs to be migrated:_x000D_
|*Image Name*|*Category*|*Release*|*GR AADE priority* |_x000D_
|overpayment-process|BASE|TBD|p1|_x000D_
|direct-deposit|BASE|TBD|p1|_x000D_
|object-access-group-initialization*|BASE|TBD|p1|_x000D_
|archive-data|BASE|TBD|p2|_x000D_
|data-nomination|BASE|TBD|p2|_x000D_
|delete-data|BASE|TBD|p2|_x000D_
|gdpr-anonymize-data|BASE|TBD|p3|_x000D_
|gdpr-deletion|BASE|TBD|p3|_x000D_
 * This job needs to be refactored, to not use temporary tables anymore and is therefore not a 1-1 migration._x000D_
h3. 1.2 revenue-management-batch-custom repository_x000D_
_x000D_
In the revenue-management-batch-custom repository, the following missing jobs marked as EXAMPLE, needs to be migrated:_x000D_
|*Image Name*|*Category*|*Release*|{*}GR AADE priority{*}{*}{*}|_x000D_
|candidate-case-creation|EXAMPLE|TBD|p1|_x000D_
|late-filer-rule|EXAMPLE|TBD|p1|_x000D_
|compliance-monitor|EXAMPLE|TBD|p2|_x000D_
|release-suppression|EXAMPLE|TBD|p3|_x000D_
|suppression-activations|EXAMPLE|TBD|p3|_x000D_
|debt-recovery|EXAMPLE|TBD|p3|_x000D_
|handover-debt|EXAMPLE|TBD|p3|_x000D_
h2. 2. Miscellaneous_x000D_
h3. 2.1 Deprecation warnings_x000D_
_x000D_
All migrated jobs, should be marked as deprecated within SCDF._x000D_
h3. 2.2 Documentation_x000D_
_x000D_
Remaining documentation, including detailed design for the batch engine needs to be finalized, together with new documentation for the batch jobs as they get migrated. _x000D_
_x000D_
The product documentation likewise needs to be updated. </t>
  </si>
  <si>
    <t>Security Enhancements (2026)</t>
  </si>
  <si>
    <t>As an admin, I want to restrict access to sensitive personal data types in logs that are visible by users, so that only users that have a legitimate reason to access this data are granted access and unauthorized access to this data is prevented._x000D_
_x000D_
 _x000D_
_x000D_
*Functional Requirements*_x000D_
_x000D_
 _x000D_
 * {color:#172b4d}Admin should be able to remove (masking or removing record visibility)  access of records based on classification levels, from logs: {color}_x000D_
 ** {color:#172b4d}Security (if non the debug level) {color}_x000D_
 ** {color:#172b4d}Audit, {color}_x000D_
 ** {color:#172b4d}Access logs_x000D_
_x000D_
{color}{color:#172b4d}Exceptions{color}_x000D_
 ** {color:#172b4d}As per analysis of IRM-29512 - Audit logging/Access log Holistic approach,  on details collected of A document _x000D_
"Major    The enrichment of log data (REQ-003) and extensibility (REQ-004) directly address security requirements. However, this introduces a major risk of logging sensitive data that requires the delivery teams to carefully analyze and implement custom logging elements." _x000D_
Audit log sensitive data should be managed. {color}_x000D_
_x000D_
 _x000D_
_x000D_
*Documentation*_x000D_
Document all the above adjustments. _x000D_
_x000D_
 _x000D_
_x000D_
*Non functional requirements*_x000D_
It is expected to reassure that relevant NFRs (Performance , Security, Accessibility, Usability ) are tested and are not negatively affecting the product.  _x000D_
DODs should be fulfilled. </t>
  </si>
  <si>
    <t># As per analysis of IRM-29512 - Audit logging/Access log Holistic approach,  on details collected of A document ,_x000D_
"Major    The enrichment of log data (REQ-003) and extensibility (REQ-004) directly address security requirements. _x000D_
However, this introduces a major risk of logging sensitive data that requires the delivery teams to carefully analyze and implement custom logging elements."_x000D_
 # Audit log sensitive data should be managed. Audit logs generated by the system correctly mask any sensitive data fields.</t>
  </si>
  <si>
    <t>As a revenue authority admin I need to be able to define the permissions per classification level per user access groups, as I need to govern the functionality of [https://jira.intrasoft-intl.com/browse/IRM-20329] _x000D_
_x000D_
 _x000D_
_x000D_
*Functional Requirements*_x000D_
_x000D_
 _x000D_
 * {color:#172b4d}Define Classification permissions per user User Access Group_x000D_
Admin may define per user access group and classification level (Sensitive, Personal , etc.) the permission levels{color}_x000D_
 * {color:#172b4d}Example: {color}_x000D_
||User Access Group||Classification Level||Permissions|| Mode ||_x000D_
|RegistryOfficers|Sensitive|Read, Search, Update| Masked|_x000D_
|IT|Personal|None|non visible|_x000D_
|Admin|Sensitive|ALL| |_x000D_
_x000D_
 * UI should be available in RM for admin to define these permissions. _x000D_
_x000D_
 _x000D_
_x000D_
*Documentation*_x000D_
Document all the above adjustments. _x000D_
_x000D_
 _x000D_
_x000D_
*Non functional requirements*_x000D_
It is expected to reassure that relevant NFRs (Performance , Security, Accessibility, Usability ) are tested and are not negatively affecting the product.  _x000D_
DODs should be fulfilled. </t>
  </si>
  <si>
    <t>Admin may define per user access group and classification level (Sensitive, Personal , etc.) the permission levels</t>
  </si>
  <si>
    <t>cont, [https://jira.intrasoft-intl.com/browse/IRM-20329] _x000D_
depends on https://jira.intrasoft-intl.com/browse/IRM-20328 _x000D_
_x000D_
As an admin, I want to restrict access to sensitive personal data, so that only users that have a legitimate reason to access this data are granted access and unauthorized access to this data is prevented._x000D_
_x000D_
*Introduction*_x000D_
_x000D_
This feature is related to the epic IRM-3106 in which requirements have been documented to secure the information in the revenue management system from unauthorized access._x000D_
_x000D_
This feature is related to IRM-30322 in which requirements have been documented to classify fields (or characteristics or categories of attachments) in the application as fields that contain non-personal, personal or sensitive personal data GDPR. However, not each field that has been classified to contain (sensitive) personal data will always contain personal data, as these fields (e.g. identifier or address fields) may also be used to record data for parties that are not natural persons. Only if the data in these fields is related to a natural person (see IRM-20315), it can be considered personal data. Exception to this rule is data that cannot be related to or has not yet been related to a specific party, such as data in forms, uploaded payment data or messages in the message store that cannot or not yet be related to a specific party. This data should be considered personal if the data has been classified as such._x000D_
_x000D_
*Functional Requirements*_x000D_
 * Admin can choose to show or hide encrypted personal data on the user interface for users that do not have access to the decrypted sensitive personal data_x000D_
 * Admin can define that decrypted personal data is shown on the user interface for users that do have access to the decrypted sensitive personal data_x000D_
 * {color:#172b4d}Admin should be able to encrypt personal data details from logs (audit)/exception/message store , data areas, notes, forms, cases/ human task comments.{color}_x000D_
_x000D_
 _x000D_
_x000D_
*Documentation*_x000D_
Document all the above adjustments. _x000D_
_x000D_
 _x000D_
_x000D_
*Non functional requirements*_x000D_
It is expected to reassure that relevant NFRs (Performance , Security, Accessibility, Usability ) are tested and are not negatively affecting the product.  _x000D_
DODs should be fulfilled. </t>
  </si>
  <si>
    <t>Enabling administrators to restrict access to sensitive personal data based on defined classifications will significantly strengthen data privacy, compliance, and governance within Solon Tax. By allowing granular control over who can read, update, or delete personal data—either via the UI or APIs—organizations can enforce data protection policies aligned with legal and regulatory requirements (e.g., GDPR). The ability to configure whether restricted information is masked, encrypted, or hidden entirely enhances both transparency and control. Additionally, extending data privacy protections to logs, messages, and other data sources ensures that sensitive details are not inadvertently exposed, even during exception handling or auditing. This functionality will reduce the risk of unauthorized data access, support compliance, and build greater trust with end users and stakeholders.</t>
  </si>
  <si>
    <t>* Admin can restrict who can read, update and delete sensitive personal data via the user interface or directly via services)_x000D_
 * Admin can define if restricted information will be visible as masked/encrypted info or not visible at all._x000D_
 * {color:#172b4d}Admin should be able to encrypt personal data details from logs (audit)/exception/message store , data areas, notes, forms, cases/ human task comments. Additionally logs of auxiliary components should be examined. {color}_x000D_
_x000D_
See functional and non-functional requirements</t>
  </si>
  <si>
    <t>{color:#c1c7d0}{color:#172b4d}Leftover part of {color}https://jira.intrasoft-intl.com/browse/IRM-36809 _x000D_
_x000D_
continuing  and dependent : [https://jira.intrasoft-intl.com/browse/IRM-30785] {color}_x000D_
_x000D_
{color:#c1c7d0}On previous section of the functionality the availability of items publicly was enabled. On top of that we need admin to be able to configure which items can be available publicly. {color}_x000D_
_x000D_
*Functional Requirements* _x000D_
_x000D_
{color:#c1c7d0}Configure the items that can be publicly available in db level : {color}_x000D_
 * {color:#c1c7d0}Admin may define which reference data items can be publicly available.{color}_x000D_
{color:#c1c7d0}Example System parameters cannot be available. Party Classifications can be. {color}_x000D_
 * {color:#c1c7d0}Admin may define which translation items can be publicly available.{color}_x000D_
{color:#c1c7d0}Example: Party page labels can be available, Exceptions labels may not. {color}_x000D_
 * {color:#c1c7d0}Admin may define which service items can be publicly available.{color}_x000D_
{color:#c1c7d0}Example: VAT form cannot be publicly available, Registration forms can{color}_x000D_
_x000D_
Permissions:  (depends on  IRM-34224 ) _x000D_
 * Specific rights should be assigned to an admin to be able to configure the above settings. _x000D_
_x000D_
{color:#c1c7d0}Additional Considerations{color}_x000D_
 * {color:#c1c7d0}Audit logs capture configuration changes{color}_x000D_
 * {color:#c1c7d0}Documentation is updated to describe the configuration options and default behavior.{color}_x000D_
 * {color:#c1c7d0}Automated tests validate unauthenticated access and expected responses for each endpoint.{color}_x000D_
 * {color:#c1c7d0}Backward compatibility is preserved for existing operations{color}_x000D_
_x000D_
 _x000D_
----_x000D_
*Documentation*_x000D_
Document all the above adjustments. _x000D_
_x000D_
 _x000D_
_x000D_
*Non functional requirements*_x000D_
It is expected team to get aligned with respective teams and reassure that is not creating issues or the related NFRs will be tested :_x000D_
Performance , Security, Accessibility, Usability _x000D_
DODs should be fulfilled.</t>
  </si>
  <si>
    <t># Specific rights should be assigned to an admin to be able to configure the above settings. </t>
  </si>
  <si>
    <t>continuing  and dependent : [https://jira.intrasoft-intl.com/browse/IRM-30785] _x000D_
_x000D_
On previous section of the functionality the availability of items publicly was enabled. On top of that we need admin to be able to configure which items can be available publicly. _x000D_
_x000D_
*Functional Requirements* _x000D_
_x000D_
Configure the items that can be publicly available in db level : _x000D_
 * Admin may define which reference data items can be publicly available._x000D_
Example System parameters cannot be available. Party Classifications can be. _x000D_
 * Admin may define which translation items can be publicly available._x000D_
Example: Party page labels can be available, Exceptions labels may not. _x000D_
 * Admin may define which service items can be publicly available._x000D_
Example: VAT form cannot be publicly available, Registration forms can_x000D_
_x000D_
Permissions: _x000D_
 * -Specific rights should be assigned to an admin to be able to configure the above settings.- _x000D_
_x000D_
Additional Considerations_x000D_
 * Audit logs capture configuration changes_x000D_
 * Documentation is updated to describe the configuration options and default behavior._x000D_
 * Automated tests validate unauthenticated access and expected responses for each endpoint._x000D_
 * Backward compatibility is preserved for existing operations_x000D_
_x000D_
 _x000D_
----_x000D_
*Documentation*_x000D_
Document all the above adjustments. _x000D_
_x000D_
 _x000D_
_x000D_
*Non functional requirements*_x000D_
It is expected team to get aligned with respective teams and reassure that is not creating issues or the related NFRs will be tested :_x000D_
Performance , Security, Accessibility, Usability _x000D_
DODs should be fulfilled.</t>
  </si>
  <si>
    <t># Admin may define which reference data items can be publicly available._x000D_
 # Admin may define which translation  items can be publicly available._x000D_
 # Admin may define which service items can be publicly available._x000D_
 # Only the configured items as such can be publicly available._x000D_
Note: It is expected audit logs to capture changes. </t>
  </si>
  <si>
    <t>In SS we need to be able to full process orchestration of the form processes and rules.  As some of the tasks to succeed that are already implemented the remaining are the items from [https://jira.intrasoft-intl.com/browse/IRM-24421]  (Authorization management) _x000D_
_x000D_
 _x000D_
 * *SS Authorization Management*_x000D_
 **  Includes API-level security only (no row-level)._x000D_
 ** Covers function-level security (e.g. API access by user role)._x000D_
 ** Needs to incorporate securable objects, user structure, etc._x000D_
 ** No row-level security expected._x000D_
_x000D_
_x000D_
Notes : see also https://jira.intrasoft-intl.com/browse/IRM-15101 _x000D_
----_x000D_
 </t>
  </si>
  <si>
    <t>* Authorization Management- full capabilities in SS_x000D_
 ** Includes API-level security only (no row-level)._x000D_
 ** Covers function-level security (e.g. API access by user role)._x000D_
 ** Needs to incorporate securable objects, user structure, etc._x000D_
 ** No row-level security expected.</t>
  </si>
  <si>
    <t>Be able to use Keycloak in an active cluster mode means setting it up so that multiple Keycloak instances (nodes) run simultaneously, share the same data, and handle requests in parallel — ensuring high availability, scalability, and fault tolerance._x000D_
_x000D_
Each node can:_x000D_
 * Serve login requests_x000D_
_x000D_
 * Handle admin actions_x000D_
_x000D_
 * Process tokens and sessions_x000D_
_x000D_
Keycloak in HA clustering mode: anti-affinity/topology spread constraints/disruption budgets_x000D_
----_x000D_
Note:_x000D_
GR: 24096 users which 10009 are active_x000D_
_x000D_
 _x000D_
_x000D_
*Documentation*_x000D_
Document all the above adjustments. _x000D_
_x000D_
*Non functional requirements*_x000D_
_x000D_
Performance: Run performance tests assuming 20000 active users _x000D_
Security: _x000D_
Need to be compliant L3 Owasp :  [https://confluence.intrasoft-intl.com/spaces/IC/pages/224700513/_Summary+of+security+requirements+m…|https://confluence.intrasoft-intl.com/spaces/IC/pages/224700513/_Summary+of+security+requirements+mapped+with+features+and+ASVs+WIP]_x000D_
DODs should be fulfilled. _x000D_
Accessibility, Usability : The existing system is not affected in a way that needs to be reviewed. If so _x000D_
[https://confluence.intrasoft-intl.com/spaces/IC/pages/46038068/Accessibility] , WCAG 2.1 Level A</t>
  </si>
  <si>
    <t>Ensure high availability, scalability, and fault tolerance when high amount of users are using the system (RM + SS) _x000D_
Keycloak in HA clustering mode: anti-affinity/topology spread constraints/disruption budgets</t>
  </si>
  <si>
    <t>As a revenue authority admin, I need to define how to apply row level security in Human Tasks following existing system logic, as I need to be able to define the visibility and other operations' permissions to the users. _x000D_
I need a reference implementation like the one described below: _x000D_
Row level should check the permissions based on the related items of human task and the relation on party roles or parties based on relationships already defined on the existing reference implementation.  If the related items are more that one,  then the prioritization to define the permissions are : _x000D_
Party _x000D_
Party Role_x000D_
Liability_x000D_
Form_x000D_
Case_x000D_
Payment Segment_x000D_
Bill Segment_x000D_
Overpayment process_x000D_
_x000D_
If no relations, human tasks are public- manages by human task types  allowed operations settings._x000D_
_x000D_
 _x000D_
_x000D_
*Functional Requirements*_x000D_
_x000D_
- As an admin I can define row level security for human tasks based on their related items.  Allowed operation per type will support this function as in other entities in the system (e.g,  Contacts, attachments)_x000D_
_x000D_
 </t>
  </si>
  <si>
    <t>As an admin I can define row level security for human tasks based on their related items. </t>
  </si>
  <si>
    <t>As an admin I need to reassure that permissions of some of the system records are assigned hierarchical. _x000D_
_x000D_
In system Organizational Hierarchy will be implemented via Organizational Units, where a permission level role is assigned. _x000D_
_x000D_
The row level security will initially define the restrictions on records visibility. The hierarchical permissions will now grant permissions when restricted by row level. _x000D_
_x000D_
*Introduction*_x000D_
_x000D_
The hierarchy is expected to be implemented introducing in higher levels leaders that to get leader permissions should be flagged as "Task Assigner " (It is permitted to add members but permissions should  be defined) _x000D_
Higher levels may have visibility permissions to records of the defined types  of the lower records of the same branch. Will not have access to the other branched unless records are publicly visible. _x000D_
_x000D_
Note that some of the below permissions, can be achieved by OPA rules in row level security.  _x000D_
!image-2025-10-09-19-58-53-208.png|width=292,height=349!_x000D_
_x000D_
 _x000D_
_x000D_
 _x000D_
_x000D_
*Functional Requirements*_x000D_
_x000D_
While adding users under Organization units,  the permissions managed in hierarchy level should be defined. _x000D_
 * *Entity/Record types  to be affected Hierarchically by Org Units :*_x000D_
 ** Time off requests : Permissions on CRUD, Assignments, Approvals based on user's Organization for Time Off requests_x000D_
 ** Human Task (Assignments ):  Permission to Assign _x000D_
 ** Cases (Assignments ):  Permission to Assign _x000D_
 ** Users (Visibility)  : visibility of details _x000D_
 ** Resource Calendars : Permissions to see assigned calendar details _x000D_
_x000D_
 * *Default Visibility &amp; Ownerships*_x000D_
Owner/Mine  : I am assigner or the user that represents this record_x000D_
Manager: I am in higher hierarchy "IS HEAD"_x000D_
 ** The above users (owner, manager) gain by default read access to records._x000D_
 ** i.e. per entity: _x000D_
Human Tasks, Cases :  a) Assigned to Human task or b) if unassigned , eligible user or manager of eligible user_x000D_
User : User + Manager_x000D_
Resource Calendars : Assigned user  + Manager_x000D_
Time off requests : Requestor /User  + Manager_x000D_
 ** The users not assigned to any category does not have visibility to records. _x000D_
_x000D_
 * *Sharing Assignments Permissions per Hierarchy levels per Organizational Level* **_x000D_
 ** Lower level same branch -&gt; permissions  for the users assigned below in hierarchy_x000D_
 ** Same level same branch  -&gt; permissions  for the users assigned in same level of hierarchy_x000D_
 ** Higher level same branch or top level -&gt; permissions  for the users assigned higher in hierarchy_x000D_
 ** Same level Different branch_x000D_
 ** Higher level Different branch or top level_x000D_
 ** Lower level Different branch _x000D_
 ** Mine - see above_x000D_
 ** Admin : a special permission to see and modify all_x000D_
 ** Permissions may be combined if user is assigned to several org units _x000D_
 * *Permissions* _x000D_
 ** *Read* Entity type records , Select Record type (e.g. Time Off requests)  /  *DEFAULT PERMISSIONS when IS HEAD*_x000D_
 ** *Assign* Entity type records , Select Record type (e.g. Time Off requests)_x000D_
 ** *Approve* Entity type records , Select Record type (e.g. Time Off requests)_x000D_
 ** *Edit* Entity type records , Select Record type (e.g. Time Off requests)_x000D_
 ** *Cancel* Entity type records , Select Record type (e.g. Time Off requests)_x000D_
 ** *Delegate Tasks* Entity type records , Select Record type (e.g. Time Off requests)_x000D_
_x000D_
 _x000D_
_x000D_
*Examples :* _x000D_
_x000D_
if the categories are like that and should be combined in a matrix_x000D_
|*Hierarchy level Permissions Editability* _x000D_
*(in Organizational units)*|*Define related entity*| |_x000D_
|Read  per Entity type records|Select Record type (e.g. Time Off requests)  / DEFAULT PERMISSIONS if IS HEAD| |_x000D_
|Assign  per Entity type records|Select Record type (e.g. Time Off requests , Human Tasks and Cases Assignments)| |_x000D_
|Approve  per Entity type records|Select Record type (e.g. Time Off requests)| |_x000D_
|Edit  per Entity type records|Select Record type (e.g. Time Off requests)| |_x000D_
|Cancel  per Entity type records|Select Record type (e.g. Time Off requests)| |_x000D_
|Delegate Tasks per Entity type records|Select Record type (e.g. Time Off requests)| |_x000D_
| | | |_x000D_
| | | |_x000D_
|*Task Assign allowed level*|*Hierarchy sharing Task Assignment Permission (in Organizational units)*|{*}Only if head?{*}{*}{{*}}|_x000D_
|Lower level same branch_x000D_
i.e., permissions  for the users assigned below in hierarchy|Select Record type  "Task Assign" or "Time off requests"|&lt;define&gt;|_x000D_
|Same level same branch_x000D_
i.e., permissions  for the users assigned in same level of hierarchy|Select Record type "Task Assign" or "Time off requests"| |_x000D_
|Higher level same branch (one above plus is head = my manager)  or top level_x000D_
i.e., permissions  for the users assigned higher in hierarchy|Select Record type "Task Assign" or "Time off requests"|&lt;define&gt;|_x000D_
|Same level Different branch|Select Record type "Task Assign" or "Time off requests"| |_x000D_
|Higher level Different branch or top level|Select Record type "Task Assign" or "Time off requests"|&lt;define&gt;|_x000D_
|Lower level Different branch |Select Record type "Task Assign" or "Time off requests"|&lt;define&gt;|_x000D_
|Mine (i.e., I am the user ID or I am an assigned user - see above notes in feature) |Select Record type "Task Assign" or "Time off requests"| |_x000D_
|Admin  (can see all, modify all)|Select Record type "Task Assign" or "Time off requests"| |_x000D_
_x000D_
 _x000D_
_x000D_
i.e., we need to define were needed : _x000D_
 * _x000D_
 ** *Sharing Assignments Permissions per Hierarchy levels per Organizational Level :* _x000D_
 ***  "&lt;Task&gt; Assign" in Lower level same branch / *DEFAULT PERMISSIONS when IS HEAD*_x000D_
 ***  "&lt;Task&gt; Assign" in Same level same branch_x000D_
 ***  "&lt;Task&gt; Assign" only mine_x000D_
 *** ... _x000D_
 ** *Sharing Assignments Permissions per Hierarchy levels per Organizational Level  :* _x000D_
 ***  "Time off requests" in Lower level same branch / *DEFAULT PERMISSIONS when IS HEAD*_x000D_
 ***  "Time off requests" in Same level same branch _x000D_
 ***  "Time off requests" in Higher level same branch or top level_x000D_
 *** ... _x000D_
 ***  "Time off requests" only mine_x000D_
 ***  "Time off requests" Admin (can see all, modify all)_x000D_
_x000D_
 _x000D_
_x000D_
 _x000D_
_x000D_
*1)* If I need to be able a team to share *calendars* and basic details in same level only I need to _x000D_
 _x000D_
*Resource Calendar  :* _x000D_
||Level||Permission||_x000D_
|Same level same branch|Read |_x000D_
|Lower level same branch|Read |_x000D_
|Higher level same branch |Read |_x000D_
|Mine|Read |_x000D_
|Admin|All|_x000D_
_x000D_
 _x000D_
_x000D_
*User :*_x000D_
||Level||Permission||_x000D_
|Same level same branch|Read |_x000D_
|Lower level same branch|Read |_x000D_
|Higher level same branch |Read |_x000D_
|Mine|Read |_x000D_
|Admin|All|_x000D_
| | |_x000D_
_x000D_
*Time Off Requests :* _x000D_
||Level||Permission||_x000D_
|Same level same branch (same team)|Read |_x000D_
|Lower level same branch - Not head (team)|Read |_x000D_
|Lower level same branch  - IS HEAD (team)| Read|_x000D_
|Higher level same branch - more than one level above Not head|Read|_x000D_
|Higher level same branch - more than one level above is Head|Read|_x000D_
|Higher level same branch /One level above  - IS HEAD (My manager) |Approve|_x000D_
|Mine|Edit +  Cancel|_x000D_
|Admin|All|_x000D_
| | |_x000D_
_x000D_
 _x000D_
_x000D_
 _x000D_
_x000D_
*2)* *Task* Assignments _x000D_
 _x000D_
*Human Tasks* _x000D_
Same level same branch , Read _x000D_
Lower level same branch  , Read _x000D_
Higher level same branch  - (not head) , Read , Edit_x000D_
Higher level same branch  - IS HEAD -   Assign, Delegate, Edit_x000D_
Mine , Edit, Delegate_x000D_
Admin, * all _x000D_
_x000D_
 _x000D_
_x000D_
*Cases*_x000D_
Same level same branch , Read _x000D_
Lower level same branch  , Read _x000D_
Higher level same branch  - (not head) , Read , Edit_x000D_
Higher level same branch  - IS HEAD -   Assign, Delegate, Edit_x000D_
Mine , Edit, Delegate_x000D_
Admin, * all _x000D_
----_x000D_
 _x000D_
_x000D_
 _x000D_
_x000D_
 _x000D_
_x000D_
 </t>
  </si>
  <si>
    <t>As an admin I need to define permissions per Operational Report Type in order to allow or prohibit the usage and the generation of report types to users. _x000D_
Some reports should not be visible to certain users because:_x000D_
a) Reports should be grouped or restricted based on user groups (e.g., by department)._x000D_
b) Removing non-useful options improves the user experience by presenting only valid and relevant reports._x000D_
c) Certain reports (e.g., aggregated reports) may be inappropriate when user access to parties is restricted._x000D_
d) Some detailed reports should not be widely visible, especially when RLS applies but FLS does not._x000D_
_x000D_
*Introduction*_x000D_
In User access groups we support Allowed operations to drill down the permissions of data to several entities types. _x000D_
_Contractual requirement :"In the software, it should be possible to save the report templates in a local or central library, where different permission levels control which templates are available to which agent.​"__x000D_
_x000D_
*Functional Requirements*_x000D_
 * Admins can select *Allowed  Operations for Operational Report Types* within the Allowed Operations section of User Access Groups. Admins can add and remove report types and relevant operations. _x000D_
 * Changes to permissions take effect immediately without requiring system restart._x000D_
_x000D_
 * Only reports matching the assigned permissions will be visible and available for generation by users in the group._x000D_
 * If a restricted report is accessed directly (e.g., via link or API), the system must block access and return an appropriate error._x000D_
_x000D_
Considerations: Performance behavior _x000D_
_x000D_
 _x000D_
_x000D_
*Documentation*_x000D_
Document all the above adjustments. _x000D_
_x000D_
 _x000D_
_x000D_
*Non functional requirements*_x000D_
Performance , Security, Accessibility, Usability  DODs should be fulfilled. _x000D_
_x000D_
 _x000D_
_x000D_
*Notes:* _x000D_
The Audit logs for such entities will be managed by a different feature. </t>
  </si>
  <si>
    <t>By enabling administrators to define permissions per {*}Operational Report Type{*}, the system will:_x000D_
 * *Improve user experience* by removing irrelevant or non-useful reports, reducing clutter and making valid options easier to find._x000D_
_x000D_
 * *Increase security and compliance* by ensuring sensitive or aggregated reports are only visible to authorized groups_x000D_
_x000D_
 * *Support organizational governance* by allowing reports to be managed and grouped by departments, roles, or other access structures._x000D_
_x000D_
 * *Fulfill contractual obligations* by providing permission-controlled access to report templates stored in local or central libraries._x000D_
_x000D_
 * *Enhance accountability* by logging all permission changes and attempted unauthorized access in the audit trail._x000D_
_x000D_
The expected outcome is a *more secure, compliant, and user-friendly reporting environment* that aligns with both business requirements and regulatory expectations.</t>
  </si>
  <si>
    <t>* Admins can select *Allowed Operational Report Types* within the Allowed Operations section of User Access Groups. Admins can add and remove report types and relevant operations_x000D_
 * Changes to permissions take effect immediately without requiring system restart._x000D_
 * Users only see reports of the report types are permitted to._x000D_
 * If a restricted report is accessed directly (e.g., via link or API), the system must block access and return an appropriate error.</t>
  </si>
  <si>
    <t>As an admin, I want to restrict access to sensitive personal data, so that only users that have a legitimate reason to access this data are granted access and unauthorized access to this data is prevented._x000D_
_x000D_
*Introduction*_x000D_
_x000D_
This feature is related to the epic IRM-3106 in which requirements have been documented to secure the information in the revenue management system from unauthorized access._x000D_
_x000D_
This feature is related to IRM-30322 in which requirements have been documented to classify fields  (or characteristics or categories of attachments) in the application as fields that contain non-personal, personal or sensitive personal data GDPR. However, not each field that has been classified to contain (sensitive) personal data will always contain personal data, as these fields (e.g. identifier or address fields) may also be used to record data for parties that are not natural persons. Only if the data in these fields is related to a natural person (see IRM-20315), it can be considered personal data. Exception to this rule is data that cannot be related to or has not yet been related to a specific party, such as data in forms, uploaded payment data or messages in the message store that cannot or not yet be related to a specific party. This data should be considered personal if the data has been classified as such._x000D_
Depends on [https://jira.intrasoft-intl.com/browse/IRM-20322] _x000D_
_x000D_
 _x000D_
_x000D_
*Out of scope :* _x000D_
Archive db_x000D_
Define classifications for financial details and relevant datasets (see [https://jira.intrasoft-intl.com/browse/IRM-23836] )_x000D_
_x000D_
 _x000D_
_x000D_
+Clarifications:+_x000D_
classify fields  : as discussed  we mean restrict access to records based on record type and defined classification levels _x000D_
_x000D_
+Expected Behaviors to be available :+ _x000D_
+Visibility:+ _x000D_
Field masking, e.g. Name = *****_x000D_
Record hidden , e.g. record not returned_x000D_
+Search+_x000D_
Record hidden, e.g., No results returned, Result excluded completely_x000D_
Field masking,  e.g., Result returned but masked_x000D_
+Logs+_x000D_
Logs should be immutable. Information may be masked. _x000D_
 _x000D_
_x000D_
*Functional Requirements*_x000D_
_x000D_
*For Party , Party Roles, Attachments:*  _x000D_
 * Admin can restrict access to sensitive personal data based on classification level and group of users (e.g. using user access groups)._x000D_
The classification levels are defined in  [https://jira.intrasoft-intl.com/browse/IRM-20322] _x000D_
_x000D_
 * Admin can restrict based on classification levels, who can :_x000D_
 ** _Create__x000D_
 ** _Read ( 2 modes to be able to be configured :  masked or not listing the record)_ _x000D_
 ** _Update_  _x000D_
 ** _Delete__x000D_
 ** _Search_ _x000D_
 ** The above permissions must be enforceable for operations initiated via the UI, direct service calls, or APIs._x000D_
_Suggestion:  Data Access Layer Enforcement of permissions__x000D_
 **  __ It is expected that the visibility of the classified details may be configured by configurators as : masked or non visible. (see also ILs)_x000D_
_x000D_
 * Admin should be able to remove (masking or removing record visibility)  access of records based on classification levels, from data areas of Party,  party role, Attachments_x000D_
_x000D_
+Examples:+ _x000D_
An Admin can successfully configure a User Access Group to have "Read" access to "Personal Data" but be denied "Read" access to "Sensitive Personal Data"._x000D_
When a user from that group views a list of parties, parties with only "Personal Data" are visible, while parties with "Sensitive Personal Data" are either hidden or have their sensitive fields masked, as configured._x000D_
When the same user performs a search, the results correctly exclude or mask records containing "Sensitive Personal Data"._x000D_
_x000D_
*{color:#172b4d}Identification Labels{color}*_x000D_
 * {color:#172b4d}Identification labels should be displayed according the relevant classifications restrictions. _x000D_
E.g. : If the identifier used in IL (i.e. the primary) is sensitive and not visible by user  (John Takis, Tax Identification Number: 123456789) _x000D_
a) if the mode is to mask sensitive detail -&gt; IL appears with stars instead of identifier. (John Takis, Tax Identification Number: ********** )_x000D_
b) if the mode is that the data should not appear in the results -&gt; IL appears  with empty details  (John Takis, Tax Identification Number:  ){color}{color:#172b4d}Similarly in other ILs related with classified data. {color}_x000D_
_x000D_
{color:#172b4d}*Message store*{color}_x000D_
 * {color:#172b4d}Admin should be able to remove (masking or removing record visibility)  access of records based on classification levels, from Message store. Permission set as per above mentioned list (view, search ,etc.).{color}_x000D_
_x000D_
*{color:#172b4d}Operational Reports{color}*_x000D_
 * {color:#172b4d}Visibility of records in Operational reports are restricted (masking or removing record visibility) based on above mentioned classification levels and permissions. {color}_x000D_
_x000D_
*{color:#172b4d}Other related entities/cross-entity propagation{color}*_x000D_
 * {color:#172b4d}Restrictions must propagate to any entity that displays or uses classified data._x000D_
Visibility of records in all system records*  are restricted (masking or removing record visibility) based on above mentioned classification levels and permissions._x000D_
*Examples :  {color}_x000D_
_x000D_
 * _x000D_
 ** Forms,_x000D_
 ** Cases,_x000D_
 ** Human task,_x000D_
 ** Taxpayer accounts related (e.g. : liabilities, bill segments, bills, Fts, Journal entries, suppression, assessments)_x000D_
 ** Registration related (e.g. : Candidate lists, Operational Plans, Calendar records - timeoff, assignments-, Organizational units , Asset relationships,  revenue type Registrations, Obligations, user right) _x000D_
 ** Users, user roles,  Object access groups_x000D_
 ** Notifications_x000D_
 ** Contacts_x000D_
 ** Notes_x000D_
_x000D_
 _x000D_
_x000D_
*Governance* _x000D_
The permissions will be defined by admin as described In [https://jira.intrasoft-intl.com/browse/IRM-39113] _x000D_
_x000D_
 _x000D_
_x000D_
*Documentation*_x000D_
Document all the above adjustments. _x000D_
_x000D_
 _x000D_
_x000D_
*Non functional requirements*_x000D_
It is expected to reassure that relevant NFRs (Performance , Security, Accessibility, Usability ) are tested and are not negatively affecting the product.  _x000D_
DODs should be fulfilled. _x000D_
----_x000D_
Notes: _x000D_
_x000D_
!image-2025-06-17-07-42-29-150.png|width=761,height=434!</t>
  </si>
  <si>
    <t>*A) For Party , Party Roles, Attachments:*  _x000D_
 # Admin can restrict access to sensitive personal data based on classification level and group of users (e.g. using user access groups)._x000D_
 # Admin can restrict based on classification levels, who can :_x000D_
 ## _Create__x000D_
 ## _Read ( 2 modes to be able to be configured :  masked or not listing the record)_ _x000D_
 ## _Update_  _x000D_
 ## _Delete__x000D_
 ## _Search_ _x000D_
 ## The above permissions must be enforceable for operations initiated via the UI, direct service calls, or APIs._x000D_
_Suggestion:  Data Access Layer Enforcement of permissions__x000D_
 ##  It is expected that the visibility of the classified details may be configured by configurators as : masked or non visible. (see also ILs)_x000D_
 # Admin should be able to remove (masking or removing record visibility)  access of records based on classification levels, from data areas of Party,  party role, Attachments_x000D_
 # An API call made by the user's credentials returns data consistent with their configured permissions._x000D_
 # Admin should be able to remove (masking or removing record visibility)  access of records based on classification levels, from logs:  Security, Audit, Access logs , Exceptions_x000D_
_x000D_
*{color:#172b4d}B) Identification Labels{color}*_x000D_
 # {color:#172b4d}Identification labels should be displayed according the relevant classifications restrictions. {color}_x000D_
_x000D_
{color:#172b4d}*C) Message store*{color}_x000D_
 # {color:#172b4d}Admin should be able to remove (masking or removing record visibility)  access of records based on classification levels, from Message store. Permission set as per above mentioned list (view, search ,etc.).{color}_x000D_
_x000D_
*{color:#172b4d}D) Operational Reports{color}*_x000D_
 # {color:#172b4d}Visibility of records in Operational reports are restricted (masking or removing record visibility) based on above mentioned classification levels and permissions. {color}_x000D_
_x000D_
*{color:#172b4d}E) Other related entities/cross-entity propagation{color}*_x000D_
 # {color:#172b4d}Restrictions must propagate to any entity that displays or uses classified data._x000D_
Visibility of records in all system records*  are restricted (masking or removing record visibility) based on above mentioned classification levels and permissions.{color}_x000D_
_x000D_
 * _x000D_
 ** Forms,_x000D_
 ** Cases,_x000D_
 ** Human task,_x000D_
 ** Taxpayer accounts related (e.g. : liabilities, bill segments, bills, Fts, Journal entries, suppression, assessments)_x000D_
 ** Registration related (e.g. : Candidate lists, Operational Plans, Calendar records - timeoff, assignments-, Organizational units , Asset relationships,  revenue type Registrations, Obligations, user right) _x000D_
 ** Users, user roles,  Object access groups_x000D_
 ** Notifications_x000D_
 ** Contacts_x000D_
 ** Notes_x000D_
_x000D_
*F) Governance* _x000D_
The permissions will be defined by admin as described In [https://jira.intrasoft-intl.com/browse/IRM-39113] _x000D_
_x000D_
*G) Other*_x000D_
 * All related technical documentation is updated.</t>
  </si>
  <si>
    <t>Reference Implementation - Self Service Filing &amp; Payments (2026)</t>
  </si>
  <si>
    <t>As an admin, I want to define what services are provided on the portal (e.g. view account overview, view obligation overview, view CIT return, file CIT return, pay an obligation, or file an objection) and what portal resources (e.g. menu item, input form, page or action) and permissible operations are required for each of these services, so that a portal user can easily grant sub-users and/or representative users access to these services for the parties in specific roles to which this portal user has been linked or has been granted access to._x000D_
_x000D_
 _x000D_
_x000D_
Specifically, it should include the security solution for submitting forms and making payments which were descoped from part 1 feature. Any other item required according to architecture decisions should be considered here._x000D_
_x000D_
When this is implemented the self service application should not user any pass through endponts towards the backend system _x000D_
_x000D_
 _x000D_
_x000D_
Check linked stories for relevant work in this feature</t>
  </si>
  <si>
    <t>As a self service user, I want to see the details of a specific filing obligation for a specific taxpayer, so that I can see what forms have been created and/or already filed as a result of this obligation, what amounts have been assessed as a result of filing these forms, and what other information has been exchanged with the revenue authority related to this filing obligation such as supporting documents and notices.
*Introduction*
Some example wireframes have been attached to this feature. In case the content on the wireframes differs from the functional requirements, then the functional requirement should be used as input when implementing this feature.
*Functional Requirements*
 * User can see the details of a specific filing obligation for a specific taxpayer
 ** Actions:
 *** {color:#172b4d}User can open a new or draft amended tax return form for a filing obligation. Assumption is that the correct tax return form is opened for the specific tax type for which the overview is provided. Also, the assumption is that the tax return form can be prefilled with data that is already known - for example the taxpayer details, filing period details and data from the original tax return. User can only open a new or draft amended tax return if an original tax return has been submitted for this filing obligation. Assumption is that the user can only amend a tax return for specific tax types (e.g. for corporate income tax).{color}
 *** {color:#172b4d}User can open a payment form (see IRM-3542 for an example of a payment form) to pay the sum of all current positive balances of any payment obligations that are related to a specific filing obligation (e.g. late filing penalty or tax assessment and any related charges that were added after filing a tax return for this filing obligation). Assumption is that the payment form can be prefilled with data that is already known - for example the taxpayer details and the payment obligation details. User can only open a payment form if there is an outstanding amount that needs to be paid for these payment obligations.{color}
 *** {color:#172b4d}User can open a form to request a refund if an overpayment exists for one or more payment obligations that are related to a specific filing obligation (e.g. late filing penalty or tax assessment and any related charges that were added after filing a tax return for this filing obligation). Assumption is that the refund request form can be prefilled with data that is already known - for example the taxpayer details and the details of the payment obligations for which an overpayment exists. User can only open a refund request form if an overpayment amount exists for any of the payment obligations.{color}
 *** {color:#172b4d}User can open a form to request to offset an overpayment that exists for one or more payment obligations that are related to a specific filing obligation (e.g. late filing penalty or tax assessment and any related charges that were added after filing a tax return for this filing obligation). Assumption is that the request overpayment offset form can be prefilled with data that is already known - for example the taxpayer details and the overpayment amount that can be offset.{color}
 *** {color:#c1c7d0}User can upload a supporting document that can be used by the revenue authority to validate the content of the submitted tax return. User can only upload a document if the obligation to file a tax return has been met.
 *** User can open a financial overview (see IRM-3452) for the payment obligations that are related to a specific filing obligation (e.g. late filing penalty or tax assessment and any related charges that were added after filing a tax return for this filing obligation).
 * User can see what amounts have been assessed related to a specific filing obligation (e.g. late filing penalty or tax assessment that was added after filing a tax return for this filing obligation). Any charges (e.g. late payment penalty or interest) that are levied towards these original assessments are not considered in this overview.
 ** Data set - can contain data for multiple assessments
 *** Filing type: the type of submission that was done (e.g. submit preliminary, original or amended tax return)
 *** Letter reference number: unique reference number of the assessment notice in which the taxpayer was informed about the assessment
 *** Assessed amount: the amount that was assessed{color}
 * {color:#172b4d}User can see what draft tax returns exist for a specific filing obligation. These tax returns have not been submitted yet.{color}
 ** {color:#172b4d}Data set - can contain data for multiple draft tax returns - most often just one draft form{color}
 *** {color:#172b4d}Form type: the type of form that was saved as a draft{color}
 *** {color:#172b4d}Form reference number: the reference number of the form that was saved as a draft{color}
 *** {color:#172b4d}Last updated date: the date the draft form was last updated{color}
 *** {color:#172b4d}Status: the status of the form that was saved as a draft (e.g. saved){color}
 ** {color:#172b4d}Actions:{color}
 *** {color:#172b4d}User can open the draft tax return (see IRM-3539 for an example of a value added tax return form){color}
 * {color:#172b4d}User can see what supporting documents have been uploaded for a specific filing obligation.{color}
 ** {color:#172b4d}Data set - can contain data for multiple supporting documents{color}
 *** {color:#172b4d}Document type: the type of supporting document that was submitted to the revenue authority{color}
 *** {color:#172b4d}Document reference number: a unique reference number of the supporting document that was submitted to the revenue authority{color}
 *** {color:#172b4d}Submission date: the date the supporting document was submitted to the revenue authority{color}
 *** {color:#172b4d}Status: the status of submitting a supporting document (e.g. submitted){color}
 ** {color:#172b4d}Actions:{color}
 *** {color:#172b4d}User can open a supporting document{color}
 * {color:#172b4d}User can see what letters (e.g. reminder letter, notice letter) were sent to the taxpayer by the revenue authority.{color}
 ** {color:#172b4d}Data set:{color}
 *** {color:#172b4d}Letter type: the type of letter that was sent to the taxpayer{color}
 *** {color:#172b4d}Letter reference number: a unique reference for the letter that was sent to the taxpayer{color}
 *** {color:#172b4d}Description: a description of the letter that was sent to the taxpayer{color}
 *** {color:#172b4d}Letter date: the date the letter was considered to have been delivered to the taxpayer{color}
 ** {color:#172b4d}Actions:{color}
 *** {color:#172b4d}User can open a letter (see attached wireframe){color}</t>
  </si>
  <si>
    <t>As a self service user, I want to see the details of a specific payment, so that I can understand when and how the payment was made, understand what was paid and see the related payment receipt.
*Introduction*
Some example wireframes have been attached to this feature. In case the content on the wireframes differs from the functional requirements, then the functional requirement should be used as input when implementing this feature.
*Functional Requirements*
 * User can see the details of a specific payment
 ** Data set:
 *** Payment date: the date on which a payment was made by the user
 *** Payment method: the method that was used to make the payment
 *** Amount paid: the amount that was paid by the user
 *** Status: the status of the payment that was made by the user (e.g. accepted and cancelled)
 * User can see what payment form was submitted to make the payment
 * Data set
 ** Form type: the type of form that was submitted
 ** Form reference number: the reference number of the form that was submitted
 ** Submission date: the date the form was submitted
 ** Status: the status of the form that was submitted (e.g. submitted, being processed or processed)
 * Actions:
 ** User can open a submitted payment form (see IRM-3542 for an example of a payment form)
 * User can see the payment receipt that was provided after having completed the payment
 ** Data set:
 *** Receipt number: a unique reference for the payment receipt that was provided
 *** Creation date: the date the receipt was created
 ** Actions:
 *** User can open the receipt (see attached wireframe)
 * User can see what was paid with the payment.
 ** Data set:
 *** Tax type: description of the tax type to which the payment was distributed for the taxpayer
 *** Period: description of the period (if any) to which the payment was distributed for the taxpayer
 *** Amount paid: the amount that was paid to the specific tax type and period for the taxpayer</t>
  </si>
  <si>
    <t>As a self service user, I want to see what payments were made for a specific taxpayer, so that I understand when those payments were made, what payment methods were used, how much was paid and see the statuses of these payments.
*Introduction*
Some example wireframes have been attached to this feature. In case the content on the wireframes differs from the functional requirements, then the functional requirement should be used as input when implementing this feature.
*Functional Requirements*
 * User can see the payments that were made for a specific taxpayer
 ** Filters:
 *** Year: user can choose to view the payments for all years or for a specific year
 *** Status: user can choose to view the payments with any status or to view only payments with a specific status
 ** Data set:
 *** Payment date: the date on which a payment was made by the user
 *** Payment method: the method that was used to make the payment
 *** Amount paid: the amount that was paid by the user
 *** Status: the status of the payment that was made by the user (e.g. accepted, rejected and cancelled)
 ** Actions:
 *** User can open the details of a specific payment (see IRM-3545)</t>
  </si>
  <si>
    <t>As a self service user, I want fill in and submit a payment form to pay the amounts owed for certain payment obligations, so that I can meet these payment obligations towards the revenue authority.
*Introduction*
Some example wireframes have been attached to this feature. In case the content on the wireframes differs from the functional requirements, then the functional requirement should be used as input when implementing this feature.
*Functional Requirements*
 * User can see a payment form
 ** Data set:
 *** Taxpayer details
 **** Taxpayer name: name of the taxpayer for which the payment obligations exist - assumption is that the taxpayer name can be prefilled and is read-only
 **** Identification type: the primary identification type of the taxpayer - assumption is that the identification type can be prefilled and is read-only
 **** Identification number: the primary identification number of the taxpayer - assumption is that the identification type can be prefilled and is read-only
 *** Payment details
 **** Payment method: payment methods that the user can select from - payment method credit card is used as an example in this example
 **** Payment service provider: payment service providers that the user can select from - payment service provider can only be selected if there are multiple payment service providers that support the selected payment method
 **** Credit card: types of credit cards that the user can choose from
 **** Credit card number: number on the user's credit card
 **** Expiry date month: credit card will expire at the end of this month
 **** Expiry date year: credit card will expire in this year
 **** CVV Security Code: security code that can be found on the back of the credit card
 **** Name: name that is displayed on the front of the card
 *** Payment Obligations - can contain data of multiple payment obligations
 **** Tax type: description of the tax type for which the payment obligation exists - assumption is that this information is prefilled based on the payment obligations that were selected on a previous page (see for example IRM-3451 and IRM-3541) and read-only
 **** Period: description of the period (if any) for which the obligation to pay certain liabilities exist (e.g. late filing penalty or tax assessment and any related charges that were added after filing a tax return for this period) - assumption is that this information is prefilled based on the payment obligations that were selected on a previous page (see for example IRM-3451 and IRM-3541) and read-only
 **** Payable amount: the total outstanding amount for a payment obligation - assumption is that this information is prefilled based on the payment obligations that were selected on a previous page (see for example IRM-3451 and IRM-3541) and read-only
 **** Payment amount: amount that the user can enter to indicate how much should be paid for a specific payment obligation - assumption is that the payment amount is equal to the payable amount by default
 **** Total payable amount: the sum of the payable amounts of the selected payment obligations - assumption is that this amount is calculated and read-only
 **** Total payment amount: the sum of the amount that will be paid for the selected payment obligations - assumption is that this amount is calculated and read-only
 ** Actions:
 *** User can print a payment form as a PDF
 *** User can submit a payment form once the form has been filled in. User can see if there are any validation issues that need to be resolved before the value added tax return can be submitted. User can see a confirmation if the payment was successfully processed (see attached wireframe). User can open a payment receipt if the payment was successfully processed (see attached wireframe).</t>
  </si>
  <si>
    <t>As a self service user, I want to see what payment obligations exist for a specific taxpayer, so that I can take action to pay what is owed by the taxpayer to the revenue authority.
*Introduction*
Some example wireframes have been attached to this feature. In case the content on the wireframes differs from the functional requirements, then the functional requirement should be used as input when implementing this feature.
*Functional Requirements*
 * User can see the current payment obligations for a specific taxpayer
 ** Data set:
 *** Tax type: description of the tax type for which the obligation to pay certain liabilities exist
 *** Period: description of the period (if any) for which the obligation to pay certain liabilities exist (e.g. late filing penalty or tax assessment and any related charges that were added after filing a tax return for this period)
 *** Payable amount: the amount that the taxpayer is obliged to pay for the specific tax type in the specific period (if any)
 *** Status: the status of the payment action that the taxpayer is obliged to perform - user can see whether the action is considered overdue or not
 ** Actions:
 *** User can select one or more payment obligations for which the user wants to take action to pay what is owed to the revenue authority
 *** User can open a payment form (see IRM-3542) to provide the information that is required to pay the selected payment obligations</t>
  </si>
  <si>
    <t>As a taxpayer, I want to see and pay my outstanding liabilities from the self service portal, so that I can understand and meet my payment obligations towards the revenue authority.
*Introduction*
This feature describes how the taxpayer can use the taxpayer self service portal to initiate a payment to pay outstanding liabilities.
The steps the taxpayer must follow to initiate and complete a payment may vary depending on the type of integration between ICARUS and the payment service providers (a.k.a. payment gateways or PSPs). Integration types to consider are (1) hosted - taxpayer leaves self service portal to complete payment on PSP portal, (2) direct post - PSP page that is used to complete the payment is embedded in a frame on self service portal and (3) non-hosted - self service portal provides features to capture all payment details and uses an API to submit details to the PSP. This feature describes the requirements assuming the 3rd type of integration is used.
Revenue authorities can depending on the requirements provide various options on the self service portal to pay outstanding liabilities, including for example (1) pay party role, (2) pay specific tax account, (3) pay a specific filing period, (4) pay a specific pay plan, (5) pay a specific collection notice, (6) pay a specific tax return, or (7) pay a specific single assessed liability (e.g. tax, penalty or interest). This feature describes the requirements for the 3rd and 7th option.
Revenue authorities can depending on the requirements provide various payment methods on the self service portal to pay outstanding liabilities. Examples include (1) credit card, (2) debit card, (3) PayPal and other similar services, (4) M-Pesa, Paym and other similar services, (5) direct debit, (6) PDS2 and other similar services and (7) guarantees registered at the revenue authority. This feature describes the requirements for the 1st option.
Revenue authorities and/or payment service providers may charge convenience fees. Information on any applicable fees must be presented to the portal user before submitting the payment. Convenience fee requirements will be documented in another feature.
As credit card details are used in the self service portal, the product should cater for features to allow the revenue authority to be PCI-DSS compliant. Relevant PCI-DSS requirements will be documented in another feature.
*Functional requirements*
 * User can select outstanding liabilities for payment. Examples in scope for this feature are:
 ** User can see a list with outstanding liabilities. Examples of properties to display in the list are the debt category, revenue type, filing period, notice reference number, payable amount and status of the liability (e.g. pending or overdue). User can select one or more outstanding liabilities for payment. See example on attached screenshot 'ICARUS Self Service Pay Specific Assessed Liabilities Example.png'. Multi-select and passing data to another action will be implemented as part of IRM-401.
 ** User can see the assessed liabilities (including outstanding liabilities) for a specific filing period (on the filing obligation details page). User can choose to pay all outstanding liabilities for the filing period or choose to pay a single assessed liability. See example on attached screenshot 'ICARUS Self Service Pay Specific Filing Period Example.png'.
 * User can enter the following data in the sample payment form.
 See example of form in attached screenshot 'ICARUS Self Service Payment Form Credit Card Example.png'
 ** Taxpayer Details
 *** Taxpayer Name (prefilled and read-only)
 *** Identification Type (prefilled and read-only)
 *** Identification Number (prefilled and read-only)
 ** Payment Details
 *** Payment Method (configurable list)
 *** Payment Service Provider (configurable list)
 Payment Service Provider field is only shown if there are multiple Payment Service Providers defined that support the selected Payment Method
 *** Credit Card (configurable list)
 *** Credit Card Number
 *** Expiry Date - Month
 *** Expiry Date - Year
 *** CVV Security Code
 *** Name on Card
 ** Payment Obligations (multiple; prefilled based on selected outstanding liabilities)
 *** Debt Category (prefilled)
 *** Revenue Type (prefilled)
 *** Period (prefilled)
 *** Reference Number (prefilled)
 *** Payable Amount (prefilled)
 *** Payment Amount
 User can enter the payment amount for each row with outstanding liability details.
 *** Total Payable Amount (calculated)
 *** Total Payment Amount (calculated)
 * User can see currency symbol for amounts.
 * User can save a draft of the payment form.
 * User can print the payment form to PDF.
 * User can submit the payment form to the Payment Service Provider.
 * User can see a payment confirmation message if the payment was successfully processed after submission. Examples of data displayed on the payment confirmation are the payment status, payment date, payment amount and payment receipt number. See example on attached screenshot 'ICARUS Self Service Payment Confirmation.png'.
 * If the payment could not be processed after submission, the user can see the validation exceptions in the payment form. Examples of reasons why the payment could not be processed are invalid credit card number and credit card is expired. The user should be able to correct the data entered in the payment form or to abort the attempt to pay
 * User can open the payment receipt. Examples of data displayed on the payment receipt are taxpayer name, taxpayer identification type, taxpayer identification number, taxpayer address, payment method, payment date, payment amount, and information about what was paid (e.g. tax type and filing period) (will be handled by IRM-380)
 * User can print the payment receipt to PDF (will be handled by IRM-380)
 *Note* that the form described above refers to the case of paying transactions. A different form should be created for the case of paying an obligation (Pay button on upper part of "ICARUS Self Service Pay Specific Filing Period Example.png"</t>
  </si>
  <si>
    <t>NA</t>
  </si>
  <si>
    <t>Functional and non-functional requirements have been implemented</t>
  </si>
  <si>
    <t>Reference Implementation - Application Processes (2026)</t>
  </si>
  <si>
    <t>As an IRM Admin, I should be able to configure workflows, that enforce four-eyes approval within business processes, ensuring that one user initiates an action and a different user validates and approves it before completion._x000D_
_x000D_
*Introduction* _x000D_
_x000D_
This feature is a result of PSD-12702 for UBM project, however it is anticipated that all implementations may use this functionality to cover different business cases. As it is described in the related PSD: _x000D_
_x000D_
At present, SOLON does not support double attestation (four eye principle) out of the box in human case management, which conflicts with the following requirement specified in SKV's contract (applicable to UBM as well):_x000D_
_x000D_
 _x000D_
|​3.2.2.2.1.16|​Functional|​Case Management|​In the software, it shall be possible to configure the actions that require verification (double attestation) by two different case workers during manual handling, including at least:_x000D_
 - Manual registration of debiting/crediting_x000D_
 - Manual modification of a transaction on a tax account_x000D_
 - Manual administration of Swedish and foreign disbursement accounts_x000D_
 - Manual registration and modification of a disbursement block​|​LKVFM-2.9.306|_x000D_
_x000D_
 _x000D_
_x000D_
UBM need the possibility to employ double attestation on human tasks, such that a change affected by the completion of the case is verified by at least 2 distinct case workers. This is for example needed for imposing sanctions on either individual people, credit institutions, or countries, where one case worker would create the case, and another one would validate the right target is being sanctioned, approve the case, turn it back to the initiator, who could then complete the task and thereby enforce the sanction. A rejection should naturally not enforce anything, but require a change in the human task from the initiator, or closing of the case altogether. _x000D_
_x000D_
Dependent user stories for sanctions are attached as a PNG. They are not yet created as User Stories in toolkit. Furthermore manual registration of payment methods (e.g. for international bank accounts) require double attestation. It is expected that more functional cases that require double attestation will appear. As such, a generic approach to employing double attestation on a human task flow is needed._x000D_
_x000D_
A workaround is being worked on that could support double attestation, but is a process that requires a lot of manual setup (see attachment). If SOLON had the capability of staging a change for entities in a human task (without persisting it), waiting for either approval or rejection, the requirements for double attestation would be a simpler task to support. _x000D_
_x000D_
*Functional Requirements*_x000D_
_x000D_
&gt; An admin must be able to create, edit, and delete workflow templates for different business processes_x000D_
_x000D_
&gt; An admin must be able to configure the states (e.g., {_}Pending → Submitted → Approved → Completed{_}) and transitions between them. _x000D_
_x000D_
&gt; An admin must be able to define one or more approval steps within a workflow. _x000D_
_x000D_
&gt; An admin must be able to assign which roles (e.g., Maker, Checker) can perform each workflow step. _x000D_
_x000D_
&gt; An admin must be able to enforce that the same user cannot perform both maker and checker roles in the same workflow instance. _x000D_
_x000D_
&gt; An admin must be able to define rules for assigning checkers (e.g., based on transaction type, workers profile, business unit, availability)._x000D_
_x000D_
&gt; An admin must be able to configure whether one or multiple checkers are required before an item moves forward. _x000D_
_x000D_
&gt; An admin must be able to set conditions (e.g., value thresholds, registration characteristics) that trigger additional approval steps. _x000D_
_x000D_
&gt; An admin must be able to configure escalation paths if approvals are delayed beyond a defined time. _x000D_
_x000D_
&gt; An admin must be able to configure which users(roles) receive notifications when an action is required._x000D_
_x000D_
&gt; An admin must be able to set reminder frequencies and escalation notifications. _x000D_
_x000D_
&gt; An admin must be able to configure who can view pending, approved, or rejected workflow items. _x000D_
_x000D_
&gt; An admin must be able to monitor the status of workflow instances (pending, approved, rejected, completed)._x000D_
_x000D_
&gt; An admin must be able to ensure all workflow actions are logged with user ID, timestamp, and action type. _x000D_
_x000D_
&gt; An admin must be able to generate reports on workflow performance (e.g., approval times, bottlenecks, compliance with four-eyes). _x000D_
_x000D_
&gt; An admin must be able to define workflow steps once and reuse them across different business processes. _x000D_
_x000D_
&gt; An admin must be able to configure workflows without coding, using parameters (roles, thresholds, states). _x000D_
_x000D_
&gt; An admin _must be able to maintain multiple versions of a workflow template and activate/deactivate them as needed.__x000D_
_x000D_
 </t>
  </si>
  <si>
    <t>Support four-eye principle as base in IRM</t>
  </si>
  <si>
    <t>&gt; An admin must be able to create, edit, and delete workflow templates for different business processes_x000D_
_x000D_
&gt; An admin must be able to configure the states (e.g., {_}Pending → Submitted → Approved → Completed{_}) and transitions between them. _x000D_
_x000D_
&gt; An admin must be able to define one or more approval steps within a workflow. _x000D_
_x000D_
&gt; An admin must be able to assign which roles (e.g., Maker, Checker) can perform each workflow step. _x000D_
_x000D_
&gt; An admin must be able to enforce that the same user cannot perform both maker and checker roles in the same workflow instance. _x000D_
_x000D_
&gt; An admin must be able to define rules for assigning checkers (e.g., based on transaction type, workers profile, business unit, availability)._x000D_
_x000D_
&gt; An admin must be able to configure whether one or multiple checkers are required before an item moves forward. _x000D_
_x000D_
&gt; An admin must be able to set conditions (e.g., value thresholds, registration characteristics) that trigger additional approval steps. _x000D_
_x000D_
&gt; An admin must be able to configure escalation paths if approvals are delayed beyond a defined time. _x000D_
_x000D_
&gt; An admin must be able to configure which users(roles) receive notifications when an action is required._x000D_
_x000D_
&gt; An admin must be able to set reminder frequencies and escalation notifications. _x000D_
_x000D_
&gt; An admin must be able to configure who can view pending, approved, or rejected workflow items. _x000D_
_x000D_
&gt; An admin must be able to monitor the status of workflow instances (pending, approved, rejected, completed)._x000D_
_x000D_
&gt; An admin must be able to ensure all workflow actions are logged with user ID, timestamp, and action type. _x000D_
_x000D_
&gt; An admin must be able to generate reports on workflow performance (e.g., approval times, bottlenecks, compliance with four-eyes). _x000D_
_x000D_
&gt; An admin must be able to define workflow steps once and reuse them across different business processes. _x000D_
_x000D_
&gt; An admin must be able to configure workflows without coding, using parameters (roles, thresholds, states). _x000D_
_x000D_
&gt; An admin _must be able to maintain multiple versions of a workflow template and activate/deactivate them as needed.__x000D_
_x000D_
 </t>
  </si>
  <si>
    <t>Operational Reporting Enhancements (2026)</t>
  </si>
  <si>
    <t>As an admin or delivery team member, I need to be able to generate Operational Reports setting specific parameters (as per existing reports design)  and automatically schedule its distribution to a list of recipients._x000D_
_x000D_
*Introduction* _x000D_
_x000D_
As per [https://jira.intrasoft-intl.com/browse/PSD-12025] , and https://jira.intrasoft-intl.com/browse/IRM-28177  we will need to define as base the scheduled operational reports process. _x000D_
_x000D_
+References:+_x000D_
It is assumed that in Batch applications there is already available the way for admin to flexibly define parameters per batch process. [https://jira.intrasoft-intl.com/browse/IRM-26543]  _x000D_
Operational reports:  [https://jira.intrasoft-intl.com/browse/IRM-27576] _x000D_
Scheduled Process :  [https://jira.intrasoft-intl.com/browse/IRM-13558] , Scheduled Process Category:  OPERATIONAL_REPORT_x000D_
Process as Base (in product) : https://jira.intrasoft-intl.com/browse/IRM-28177 _x000D_
_x000D_
Implementation many be based on https://jira.intrasoft-intl.com/browse/IRM-26951 , https://jira.intrasoft-intl.com/browse/IRM-766 _x000D_
_x000D_
+New requirements:+ _x000D_
A list of recipients may be selected. _x000D_
_x000D_
 _x000D_
_x000D_
*Functional requirement*_x000D_
 * Batch process requires as additional  parameters_x000D_
 ** A party or Optionally : the recipients list as another parameter (e.g.  in a csv file)  _x000D_
 ** User can select a list as per https://jira.intrasoft-intl.com/browse/IRM-766 _x000D_
 * Report will be sent as email to all recipients listed. _x000D_
_x000D_
_x000D_
 </t>
  </si>
  <si>
    <t>By introducing a Batch Process for Scheduled Reports Generation and Distribution, administrators and users will gain the ability to automatically generate and distribute any BASE operational report (e.g., Statement of Accounts, Returned Payouts, Intercompany Incoming Payments, Payouts, Payments for Manual Distribution, Accounts Receivable Ageing).</t>
  </si>
  <si>
    <t>* Report can be scheduled to delivered to many recipients using a list_x000D_
 * Batch process requires the list of recipients_x000D_
 * Report can be sent to many recipients </t>
  </si>
  <si>
    <t>Form Processing Enhancements (2026)</t>
  </si>
  <si>
    <t>As an Administrator, I need the ability to record the user responsible for creating and submitting a form, as in many cases this user may not be the same as the Party associated with the form._x000D_
_x000D_
 _x000D_
_x000D_
 _x000D_
_x000D_
*Functional Requirements* _x000D_
_x000D_
*a)* Optional fields in Form metadata_x000D_
*Created By* : Reference to a Party Role ID representing the user who created the form_x000D_
*Posted By* : Reference to a Party Role ID representing the user who submitted/posted the form_x000D_
*External System Created Date/Time* (external_created_dttm) :Timestamp indicating when the form was created in an external system (similar to the Party record field)_x000D_
_x000D_
*b)* user may search forms using the above fields._x000D_
_x000D_
*c)* Enable user-define-characteristics (Data Area)  in forms for other metadata related items. (Data Area = Form Details)  _x000D_
Example: Import Date from external system. (Date field)_x000D_
_x000D_
*d)* Apply Notes in Forms in RM and SS _x000D_
In UI add Notes only in RM_x000D_
_x000D_
 _x000D_
_x000D_
*Documentation*_x000D_
Document all the above adjustments. _x000D_
_x000D_
 _x000D_
_x000D_
*Non functional requirements*_x000D_
It is expected that the NFRs are considered and examined: Performance , Security, Accessibility, Usability _x000D_
_x000D_
DODs should be fulfilled. </t>
  </si>
  <si>
    <t>By adding these fields, customers will be able to migrate efficiently their data. This functionality allows proper auditability, traceability, and operational transparency.</t>
  </si>
  <si>
    <t>*a)* Optional fields in Form metadata_x000D_
Created by : Related to a Party Role ID_x000D_
Posted by : Related to Party Role ID_x000D_
external_created_dttm (as in Party record)_x000D_
_x000D_
*b)* user may search forms using the above fields_x000D_
_x000D_
*c)* Enable user define characteristics in forms _x000D_
_x000D_
*d)*  Apply Notes in Forms in RM and SS _x000D_
In UI add Notes only in RM</t>
  </si>
  <si>
    <t>As an admin I need to be able to define in which event prefill will run even if I need to make it run when opening a form. _x000D_
_x000D_
Related : [https://jira.intrasoft-intl.com/browse/PSD-14744] _x000D_
_x000D_
*Background*_x000D_
_x000D_
Prefill is not functional by opening the form. User should be able to receive the form prefilled._x000D_
I cannot select if I need to run prefill along with validations or not.  _x000D_
_x000D_
*Functional Requirements*_x000D_
 * Be able to execute Drools rules automatically when the form opens, without requiring a button click. (Trigger {{prefill}} without requiring any user input). _x000D_
 * Introduce an optional parameter in the validation endpoint to allow each project to decide whether validation should run independently of prefill, depending on their specific needs._x000D_
This solution would keep the current behavior unchanged by default while providing additional flexibility where required._x000D_
_x000D_
_x000D_
_x000D_
Note in https://jira.intrasoft-intl.com/browse/PSD-15129 _x000D_
Please add an *optional parameter* to the *{{checkForm}}* endpoints (for both *IRM* and {*}ISS{*}) that allows the caller to decide whether the *prefill* logic should be executed or skipped._x000D_
_x000D_
 _x000D_
_x000D_
*Documentation*_x000D_
Document all the above adjustments. _x000D_
_x000D_
*Non functional requirements*_x000D_
It is expected team to get aligned with respective teams and reassure that is not creating issues or the related NFRs will be tested :_x000D_
Performance , Security, Accessibility, Usability _x000D_
DODs should be fulfilled._x000D_
_x000D_
 </t>
  </si>
  <si>
    <t>By making this configuration possible we enable customers to use prefill as per their needs. </t>
  </si>
  <si>
    <t>* Introduce an optional parameter in the validation endpoint to allow each project to decide whether validation should run independently of prefill, depending on their specific needs._x000D_
 * Be able to execute Drools rules automatically when the form opens, without requiring a button click._x000D_
 * Applicable in forms in RM and SS</t>
  </si>
  <si>
    <t>As a Self Service user I need to submit a form with no filing obligation action prior existing, so that I can submit various types of forms such as registration, application etc._x000D_
_x000D_
*Introduction*_x000D_
_x000D_
Similar to [IRM-34562|https://jira.intrasoft-intl.com/browse/LTX-6888] this feature is a result of LT project where currently, the endpoint *POST* {{/ss-service-management/forms/operate}} requires the parameter {{{}filingObligationAction{}}}. This requirement is too restrictive because there are form cases where a filing obligation action ID is not applicable._x000D_
_x000D_
Example: _x000D_
trying to submit this payload _x000D_
{code:java}_x000D_
{"operation":"SUBMIT","form":{"id":"48e22b40-6eae-4c20-9cf3-dfcf87852d88","party":{"id":"1f0bb9b9-7d73-427b-9fd2-8e8c44b6e605","identificationLabel":null},"formTypeCode":"EXCISE_REG","referenceNumber":null,"sourceCL":"7","sourceCLDescription":"Self Service","receiveDate":"2026-01-13","filingTypeCL":"ORIGINAL","filingTypeCLDescription":"Original","creationTimestamp":"2026-01-13T10:42:46Z","statusCL":"DRAFT","statusCLDescription":null,"changeReasonCL":null,"changeReasonCLDescription":null,"formChangeComment":null,"adjustReasonCL":null,"adjustReasonCLDescription":null,"adjustComment":null,"lastUpdateTimestamp":null,"violationsData":[],"formData":"{\"generalData\":{\"purposeCL\":\"1\",\"registrationType\":\"5\",\"validityPeriod\":\"2026\",\"registrationClassCL\":\"N\",\"registrationValidFrom\":\"2026-01-13\",\"registrationValidTo\":\"2027-01-12\",\"notifyTaxPayer\":true,\"validityTypeCode\":\"4\"},\"locationDetails\":{\"fullAddress\":{\"id\":\"6e4ba29f-9499-441f-b3a8-58acd508cff0\"}},\"heatingDevicesDetails\":{\"heatingDevices\":[{\"deviceName\":\"tet\",\"intendedUseCL\":\"1\",\"fuelConsumption\":1,\"requestedQuantity\":1}],\"allowedQuantity\":1},\"attachments\":[{\"attachmentCategoryCL\":\"1\",\"file\":{\"attachmentId\":\"444b7c04-90a9-4f36-bc9d-6b596c3456d9\",\"fileName\":\"excise (1).txt\",\"sizeInBytes\":70451}}],\"serviceTypeCL\":\"2\",\"formTypeCL\":\"AKC001-1\",\"initiationTypeCL\":\"5\",\"partyRole\":{\"id\":\"addb7489-812e-4fed-946b-65759f5e4a6f\",\"identificationLabel\":\"\"},\"skipValidation\":false,\"taxpayerDetails\":{\"fullName\":\"Melina Mar Melina Mar\",\"partyTypeCode\":\"FA\",\"address\":{\"identificationLabel\":\"C10 13 13E11 LOC10 LOC10-S0 2 YB2 VT2 LT-1234 A_KOM 41730772269\",\"id\":\"6e4ba29f-9499-441f-b3a8-58acd508cff0\"}}}","reportedFormData":null,"processInstanceId":null,"relatedEntities":null,"attachmentDetails":[],"formCorrections":{},"formCorrectionFields":[],"selfServiceReferenceNumber":null}} {code}_x000D_
where filingObligation object is not present, we get the following error:_x000D_
{code:java}_x000D_
{_x000D_
    "message": "Validation failed",_x000D_
    "status": 400,_x000D_
    "timestamp": null,_x000D_
    "path": "/api-gateway-ss/iss-service-management/forms/operate",_x000D_
    "errorCode": "ST-E0110",_x000D_
    "violations": [_x000D_
        {_x000D_
            "fieldName": "filingObligationAction.id",_x000D_
            "rejectedValue": null,_x000D_
            "message": "must not be null",_x000D_
            "errorCode": null_x000D_
        }_x000D_
    ],_x000D_
    "innerViolations": [_x000D_
        {_x000D_
            "fieldName": "filingObligationAction.id",_x000D_
            "rejectedValue": null,_x000D_
            "message": "must not be null",_x000D_
            "errorCode": "ST-COM-V0028"_x000D_
        }_x000D_
    ]_x000D_
} {code}</t>
  </si>
  <si>
    <t>Ability to submit forms via Self Service without having filing obligation action</t>
  </si>
  <si>
    <t>* Forms without {{filingObligationAction.id}} can be submitted successfully._x000D_
 * Forms with {{filingObligationAction.id}} continue to work as expected._x000D_
 * API documentation is updated to reflect that the parameter is optional.</t>
  </si>
  <si>
    <t>As a Self Service user I need to submit a form with no filing obligation action prior existing, so that I can submit various types of forms such as registration, application etc._x000D_
_x000D_
*Introduction* _x000D_
_x000D_
This feature is a result of LT project where currently, the endpoint *POST* {{/self-service-forms}} in the *ui-configuration of self-service* requires the parameter {{{}filingObligationAction.id{}}}. This requirement is too restrictive because there are form cases where a filing obligation action ID is not applicable._x000D_
_x000D_
Problem:_x000D_
 * The parameter {{filingObligationAction.id}} is enforced as required._x000D_
_x000D_
 * Some forms do not need to include a filing obligation action ID._x000D_
 * This leads to unnecessary validation errors and prevents certain forms from being submitted successfully._x000D_
_x000D_
*Funtional Requirement*_x000D_
 * Forms without {{filingObligationAction.id}} can be submitted successfully._x000D_
_x000D_
 * Forms with {{filingObligationAction.id}} continue to work as expected._x000D_
_x000D_
 * API documentation is updated to reflect that the parameter is optional.</t>
  </si>
  <si>
    <t>Ability to submit forms via Self Service without having filing obligation action </t>
  </si>
  <si>
    <t>* Forms without {{filingObligationAction.id}} can be submitted successfully._x000D_
_x000D_
 * Forms with {{filingObligationAction.id}} continue to work as expected._x000D_
_x000D_
 * API documentation is updated to reflect that the parameter is optional.</t>
  </si>
  <si>
    <t>As a solon system implementor I need to be able to add code with more that 10 characters in form rules as to have more characters to create unique descriptive codes_x000D_
_x000D_
 _x000D_
_x000D_
*Functional requirements*_x000D_
_x000D_
I can create forms rule using code with 50 characters.</t>
  </si>
  <si>
    <t>I can create forms rule using code with 50 characters.</t>
  </si>
  <si>
    <t>In SS we need to be able to full process orchestration of the form processes and rules.  As some of the tasks to succeed that are already implemented the remaining are the items from [https://jira.intrasoft-intl.com/browse/IRM-24421]  (Drools runtime )_x000D_
_x000D_
 _x000D_
 * *SS Drools Runtime*_x000D_
 ** full process orchestration of the form processes and rules in SS_x000D_
 ** be able to run be validations and calculations in SS form full _x000D_
 ** Example: showcase the availability of this functionality in an example. _x000D_
 *** Business Registration (organization party type)  Form in SS available for some users or all users_x000D_
Add Legal Name_x000D_
Add Initiation date (DATE OF ESTABLISHMENT) _x000D_
Add Identification number_x000D_
 *** Validations - drools: _x000D_
Legal name should be filled_x000D_
Identification Number :  Tax Identification  type  _x000D_
at least 5 digits_x000D_
If Initiation date&lt; 30 days in the past, display a message : "A penalty will be charged." _x000D_
 *** Prefill form : _x000D_
country = Greece_x000D_
 *** Result _x000D_
Create party with Name and ID _x000D_
Notification sent to SS user that party is logged_x000D_
_x000D_
!image-2026-01-26-13-58-59-471.png!_x000D_
_x000D_
!image-2026-01-26-14-02-28-057.png!_x000D_
----_x000D_
prefill _x000D_
!image-2026-01-26-14-09-36-008.png!</t>
  </si>
  <si>
    <t>* Drools Runtime - Full process drools in SS_x000D_
 ** full process orchestration of the form processes and rules in SS_x000D_
 ** be able to run be validations and calculations in SS form full_x000D_
 ** be able to prefill, check form_x000D_
 **  showcase the availability of this functionality in an example. </t>
  </si>
  <si>
    <t>AEOI, ViDA &amp; Other Data Storage (2026)</t>
  </si>
  <si>
    <t>Based on [https://jira.intrasoft-intl.com/browse/IRM-30356] ** _x000D_
on of the solution flow steps " *_Storage and EU Data Exchange "_* _x000D_
and thus we need to support a solution: _x000D_
 * Central repository for all issued and received e-invoices._x000D_
 * Supports tax control, audit, analytics, and EU data exchange (e.g., via {*}VIES 2.0{*})._x000D_
 * Must comply with national tax law *and* EU data protection rules (GDPR). _x000D_
_x000D_
 _x000D_
_x000D_
Also to ensure: _x000D_
 * *Data integrity* (accurate, complete, auditable)_x000D_
 ** *Immutable (WORM) storage:* prevent tampering or deletion._x000D_
 ** *Retention automation:* apply expiry dates and legal-hold exceptions._x000D_
 ** *Allow Integrity checks:* hash verification and periodic audits._x000D_
_x000D_
 * *Scalability &amp; performance* (handles national volume)_x000D_
 * *Interoperability* (VIES 2.0, EU standards)_x000D_
 * *Security &amp; privacy compliance* (GDPR + national law)_x000D_
 * *Governance &amp; traceability* (audit-ready at all times)_x000D_
_x000D_
 _x000D_
----_x000D_
+*Solution Considerations*+ _x000D_
 * *Core* _x000D_
 ** *Structured DB + payload store:* relational DB (e.g., PostgreSQL) for key fields; object/WORM storage for full files._x000D_
{*}Scaling{*}_x000D_
*Checksum*_x000D_
*Storage &amp; indexing:* fast access to invoice metadata and totals; keep original payloads for audit.{*}{{*}}_x000D_
 ** *Schema*_x000D_
*Ingestion &amp; validation:* accept e-invoices in various formats (UBL, CEN, XML); check syntax and business rules_x000D_
{*}Canonical data model:{*} normalize invoices into a consistent schema for processing and reporting._x000D_
_x000D_
 * *Integrations*_x000D_
 ** *Exchange integration:* interface with VIES 2.0 and other EU Member States (summary or full invoices)._x000D_
{*}VIES 2.0 adapter:{*} validate VAT IDs, send/receive cross-border summaries or full invoices._x000D_
 ** *Internal systems:* link to taxpayer master, audit, analytics, and archival modules._x000D_
 ** *Reporting/export:* feed BI dashboards and legal reports._x000D_
_x000D_
 *  *Auditing &amp; Reporting*_x000D_
 ** *Search &amp; reporting:* support compliance queries, risk analysis, and statistical reporting._x000D_
 ** *Audit &amp; traceability:* log every event—submission, modification, access, and exchange._x000D_
_x000D_
 _x000D_
_x000D_
--------------------------------------------_x000D_
_x000D_
Notes - _x000D_
 * Monitoring, alerting, and reconciliation for VIES exchanges._x000D_
_x000D_
 * Backup, disaster recovery, and business-continuity planning._x000D_
_x000D_
 * Role segregation: operations / auditors / developers._x000D_
_x000D_
 * Periodic reviews of exemption and retention configurations._x000D_
_x000D_
 _x000D_
_x000D_
 </t>
  </si>
  <si>
    <t>Content Management Integration (2026)</t>
  </si>
  <si>
    <t>Integration with CMS_x000D_
_x000D_
i.e. : productize what LT did in a generic way (not drupal specific) </t>
  </si>
  <si>
    <t>Operability Enhancements (2026)</t>
  </si>
  <si>
    <t>W{-}e need the following improvements in self service:{-}_x000D_
 * -Ability to call backend apis as operations in a generic way-_x000D_
 * -Ability to call operations that create entities other than forms-_x000D_
 * -Call services without token validation This is handled by different Feature IRM-30785-_x000D_
_x000D_
 * {*}RM &amp;SS , Call proxy service{*}s_x000D_
 ** Call proxy services from SS to RM or to 3rd parties (validation from RM or from 3rd parties details in SS) _x000D_
 ** Call proxy services from RM or to 3rd parties (validation from SS or from 3rd parties details in RM) _x000D_
(e.g. ask validations and input from external systems during forms creation, calls on behalf)</t>
  </si>
  <si>
    <t>Facilitator / Accelarator for Implementation Teams</t>
  </si>
  <si>
    <t>Documentation clarifications on how implementors can do. _x000D_
_x000D_
-Improvements in self service:-_x000D_
 * -Ability to call backend apis as operations in a generic way-_x000D_
 * -Ability to call operations that create entities other than forms-_x000D_
 * -Apply security in forms operation api-_x000D_
 * -Call services without token validation-_x000D_
_x000D_
 * Call proxy services from SS to RM or to 3rd parties (validation from RM or from 3rd parties details in SS) _x000D_
 * Call proxy services from RM or to 3rd parties (validation from SS or from 3rd parties details in RM) </t>
  </si>
  <si>
    <t>User &amp; 3rd Party Access Management Enhancements (2026)</t>
  </si>
  <si>
    <t>As an admin user, _x000D_
I need to capture the status, source system and integration time of representations defined as to be able to know how the representations were created._x000D_
_x000D_
*{color:#ff8b00}CHECK ! Review the LT branch for any implemented functionalities that can be merged into the product. ([https://netcompany.sharepoint.com/sites/NCTMS.GR.LT_TAX/Delte%20dokumenter/Forms/AllItems.aspx?id=%2Fsites%2FNCTMS%2EGR%2ELT%5FTAX%2FDelte%20dokumenter%2F03%2EExecuting%2FImplementation%2FBP03%2FDeliverables&amp;p=true&amp;ga=1)]{color}*    _x000D_
_x000D_
{color:#172b4d}_x000D_
*Background*_x000D_
_x000D_
Representations are already implemented in the application as . _x000D_
In this features_x000D_
[https://jira.intrasoft-intl.com/browse/IRM-4743] _x000D_
[https://jira.intrasoft-intl.com/browse/IRM-4744]_x000D_
[https://jira.intrasoft-intl.com/browse/IRM-4745] (Subusers)_x000D_
[https://jira.intrasoft-intl.com/browse/IRM-4746]   {color}{+}(Subusers){+}{color:#172b4d}_x000D_
[https://jira.intrasoft-intl.com/browse/IRM-5026] _x000D_
[https://jira.intrasoft-intl.com/browse/IRM-36665] _x000D_
[https://jira.intrasoft-intl.com/browse/IRM-32538]   {color}{color:#172b4d}(data areas and support external systems as in LT branch)_x000D_
Delegations enhancements in [https://jira.intrasoft-intl.com/browse/IRM-38408] {color}_x000D_
_x000D_
 _x000D_
_x000D_
*Functional requirements*_x000D_
_x000D_
 _x000D_
_x000D_
*Additional details /fields:* _x000D_
 * Admin and Procedures may log (new fields)_x000D_
"{*}Source system{*}" (As the common cl used in all similar fields in system) , _x000D_
"{*}Purpose{*}" (as in other cases in system) ,  _x000D_
"{*}External created datetime{*}" (as in parties)_x000D_
*"Requested by External system"* , boolean  (to be used ERP system sends an authorization request)  _x000D_
in {*}Agreements{*},  *Agreements services* , {*}user rights{*}, *party role relationships* (most already available) and any other record that defines representations._x000D_
 * Source System , purpose, external dt fields are *optional.*_x000D_
It is suggested to define a default value for the "Source System"._x000D_
 * System will generate timestamps :  "{*}Created datetime{*}" , "{*}Last modified date time{*}" ,  in {*}Agreements{*},  *Agreements services* , {*}user rights{*}, *party role relationships* (most already available) _x000D_
(see already implemented parts in  [https://jira.intrasoft-intl.com/browse/IRM-32538]  ) _x000D_
 * Admin and users  may search and filter items per Source system, Requested by External system and Create/Modified date time. _x000D_
_x000D_
 _x000D_
_x000D_
 _x000D_
_x000D_
*Versioning*_x000D_
 * Changes should be logged in Audit log._x000D_
_x000D_
 _x000D_
_x000D_
 _x000D_
_x000D_
 _x000D_
_x000D_
*Documentation*_x000D_
Document all the above adjustments. _x000D_
_x000D_
 _x000D_
_x000D_
*Non functional requirements*_x000D_
It is expected team to get aligned with respective teams and reassure that is not creating issues or the related NFRs will be tested :_x000D_
Performance , Security, Accessibility, Usability _x000D_
DODs should be fulfilled._x000D_
_x000D_
 </t>
  </si>
  <si>
    <t>If the system captures and stores metadata such as Source System, Purpose, Created Datetime, and Last Modified Datetime for agreements, agreement services, user rights, party role relationships, and other representation-defining records, then administrators will gain full visibility into how and where representations were defined, resulting in improved traceability, stronger auditability, better integration governance, and faster issue resolution.</t>
  </si>
  <si>
    <t># Admin and Procedures may log "{*}Source system{*}" (As the common cl used in all similar fields in system) , "{*}Purpose{*}" (as in other cases in system) ,  "{*}External created datetime{*}" , _x000D_
 # *"Requested by External system"* , boolean_x000D_
 #  in {*}Agreements{*},  *Agreements services* , {*}user rights{*}, *party tole relationships* (most already available) and any other record that defines representations._x000D_
 # Source System , purpose, external dt fields are *optional.* Suggested to define a default value for the "Source System"._x000D_
 # System will generate "{*}Created datetime{*}" , "{*}Last modified date time{*}" ,  in {*}Agreements{*},  *Agreements services* , {*}user rights{*}, *party tole relationships* (most already available) and any other record that defines representations. _x000D_
 # Admin and users  may search and filter items per Source system and Create/Modified date time, Requested by External system.</t>
  </si>
  <si>
    <t>As an admin I need to be able to define agreement services as per Form Types as to include also registration forms and to be able to define in detail the form that can be submitted by taxpayer's representative.  Similarly I need to be able to define access to specific apis , as an example "submit e-invoices" _x000D_
_x000D_
 _x000D_
_x000D_
*Functional Requirement*_x000D_
_x000D_
Define an right o be used for Agreements:   _x000D_
_x000D_
a) Based on Form Types_x000D_
 * View and Post BUSREG_x000D_
 * View and Post VAT return_x000D_
 * View only VAT return_x000D_
 * View only Busreg and vat return_x000D_
_x000D_
b) -Based on APIs-_x000D_
 * -Be able to access external apis- (example : [https://jira.intrasoft-intl.com/browse/PSD-15198] ) _x000D_
_x000D_
 _x000D_
_x000D_
 _x000D_
_x000D_
 _x000D_
_x000D_
AS-IS: _x000D_
_x000D_
!image-2026-03-05-17-56-01-645.png!_x000D_
_x000D_
AADE :_x000D_
!image-2026-03-05-17-59-15-270.png!_x000D_
_x000D_
_x000D_
_x000D_
*Documentation*_x000D_
Document all the above adjustments. _x000D_
_x000D_
 _x000D_
_x000D_
*Non functional requirements*_x000D_
It is expected team to get aligned with respective teams and reassure that is not creating issues or the related NFRs will be tested :_x000D_
Performance , Security, Accessibility, Usability _x000D_
DODs should be fulfilled.</t>
  </si>
  <si>
    <t>As an SS or RM user with specific rights or admin, I need to be able to relate attachments with representations as to be able to relate Authorization paperwork with representations. _x000D_
*{color:#ff8b00}CHECK ! Review the LT branch for any implemented functionalities that can be merged into the product.{color}*_x000D_
_x000D_
 _x000D_
_x000D_
*Functional requirements*_x000D_
_x000D_
*Basics:* _x000D_
 * If user via a form or in SS or RM Ui, create a representation, document may be related to _x000D_
Agreement, Party Role relations,  Both Party Roles_x000D_
_x000D_
*Versioning*_x000D_
 * Changes should be logged in Audit log._x000D_
_x000D_
 _x000D_
_x000D_
*Documentation*_x000D_
Document all the above adjustments. _x000D_
_x000D_
*Non functional requirements*_x000D_
It is expected team to get aligned with respective teams and reassure that is not creating issues or the related NFRs will be tested :_x000D_
Performance , Security, Accessibility, Usability _x000D_
DODs should be fulfilled._x000D_
----_x000D_
 </t>
  </si>
  <si>
    <t>As an RM user with specific rights or admin, I need to be able to define and manage representations in RM system. _x000D_
The internal tax-authority user must be able to manage the authorizations of the taxpayers. The provided functionality is the same as the one provided in the Self Service portal, with the addition of the possibility to select a Taxpayer to manage._x000D_
_x000D_
*{color:#ff8b00}CHECK ! Review the LT branch for any implemented functionalities that can be merged into the product.{color}*_x000D_
_x000D_
 _x000D_
_x000D_
*Background*_x000D_
Representation = authorization granted by a taxpayer to a representative to act on their behalf for specific services and within a defined validity period._x000D_
_x000D_
*Functional requirements*_x000D_
_x000D_
*Basics:* _x000D_
_x000D_
List of representations available in RM for permitted users to create and manage_x000D_
 * Users with permissions may search for existing representations in a list of SS representations in RM_x000D_
 ** _x000D_
 *** Agreement : From user_x000D_
 *** Agreement : To user_x000D_
 *** Agreement : Start , End date_x000D_
 *** Agreement : Last modified date_x000D_
 *** Agreement : Source system_x000D_
 *** Agreement : Agreement_x000D_
 *** Agreement : Status _x000D_
 *** Agreement : Status Reason  from [https://jira.intrasoft-intl.com/browse/IRM-36665]  _x000D_
 *** other from [https://jira.intrasoft-intl.com/browse/IRM-36665]   , [https://jira.intrasoft-intl.com/browse/IRM-39135] _x000D_
    Agreement :"Purpose" (as in other cases in system) , _x000D_
    Agreement :"External created datetime" (as in parties)_x000D_
    Agreement :"Requested by External system"_x000D_
 *** Agreement service : service_x000D_
 *** Agreement service :  Start , End date_x000D_
 *** Agreement service :  Last modified date_x000D_
 * Lifecycle as in  [https://jira.intrasoft-intl.com/browse/IRM-36665] _x000D_
 * Users with permissions may create representations in RM (via form or RM record)_x000D_
 ** _x000D_
 *** Agreement : select the users _x000D_
From  (Taxpayer)_x000D_
To       (Representative)_x000D_
 *** Agreement : Select period_x000D_
Start_x000D_
End_x000D_
 *** Source should be set as RM system_x000D_
 *** Agreement : Agreement_x000D_
 *** Agreement service : see the list of all services (along with descriptions and included rights) and be able to select the services along the  Start , End date of each_x000D_
 *** Other fields from _x000D_
 *** other from [https://jira.intrasoft-intl.com/browse/IRM-36665]  _x000D_
_x000D_
{*}Validatio{*}{*}ns{*}_x000D_
 * Be able to define and validations with configured parameters as in .[https://jira.intrasoft-intl.com/browse/IRM-32343] _x000D_
_x000D_
*Levels*_x000D_
 * Levels of hierarchy ability to define and display as in [https://jira.intrasoft-intl.com/browse/IRM-36665]  _x000D_
_x000D_
*Functionality*_x000D_
 * Automated expiration enforcement: Deactivation or permissions/representations when End DateTime expires._x000D_
 * Sync RM/SS happens real time_x000D_
_x000D_
*Records Locking*_x000D_
 * When edited in SS record cannot be edited in RM.  (as per Solon locking functionality - if not yet implemented you may split in a different feature)_x000D_
Prevent conflicting or overlapping delegations (or require explicit override)._x000D_
_x000D_
*Notification* _x000D_
 * When saving new representation or updated representation a notification to both users_x000D_
 ** Taxpayer: A new representative defined for you. See related record. &lt;Link of SS representation record)_x000D_
 ** Representative: A new representation is assigned to your account for Taxpayer &lt;Taxpayer Name/ Identifier primary&gt; . See related record. &lt;Link of SS representation record)_x000D_
 * When saving new representation or updated representation a contact may be sent to both users_x000D_
 ** Title : "New representation" _x000D_
 ** Body :  Representative &lt;Representative (Name , primary ID)&gt;  is assigned to &lt;Taxpayer (Name , primary ID) &gt;_x000D_
_x000D_
*Versioning*_x000D_
 * Changes should be logged in Audit log._x000D_
_x000D_
 _x000D_
_x000D_
*Permissions*_x000D_
 * Admin may assign specific permissions to users that can create/update agreements._x000D_
 * Restriction: Only users with “Representation Management” role can create/update._x000D_
_x000D_
 _x000D_
_x000D_
*Documentation*_x000D_
Document all the above adjustments. _x000D_
_x000D_
*Non functional requirements*_x000D_
It is expected team to get aligned with respective teams and reassure that is not creating issues or the related NFRs will be tested :_x000D_
Performance , Security, Accessibility, Usability _x000D_
DODs should be fulfilled._x000D_
----_x000D_
 </t>
  </si>
  <si>
    <t>If RM users with appropriate permissions can centrally define, manage, and audit taxpayer representations for SS within the RM system, then the tax authority will gain stronger control, transparency, and governance over delegated authorizations, resulting in improved compliance oversight, reduced fraud risk, and more efficient case handling.</t>
  </si>
  <si>
    <t>*A. Basics:* _x000D_
 # List of representations available in RM for permitted users to create and manage_x000D_
Users with permissions may search for existing representations in a list of SS representations in RM_x000D_
Agreement : From user_x000D_
Agreement : To user_x000D_
Agreement : Start , End date_x000D_
Agreement : Last modified date_x000D_
Agreement : Source system_x000D_
Agreement : Agreement_x000D_
Agreement : Status_x000D_
Agreement service : service_x000D_
Agreement service :  Start , End date_x000D_
Agreement service :  Last modified date_x000D_
Plus fields from other from [https://jira.intrasoft-intl.com/browse/IRM-36665]   _x000D_
 # Confirm Lifecycle as in  [https://jira.intrasoft-intl.com/browse/IRM-36665]_x000D_
 # Users with permissions may create representations in RM (via form or RM record._x000D_
Agreement : select the users _x000D_
From  (Taxpayer)_x000D_
To       (Representative)_x000D_
Agreement : Select period  : Start, End_x000D_
Source should be set as RM system_x000D_
Agreement : Agreement_x000D_
Agreement service : see the list of all services (along with descriptions and included rights) and be able to select the services along the  Start , End date of each_x000D_
Plus fields from other from [https://jira.intrasoft-intl.com/browse/IRM-36665]   _x000D_
 # {*}{{*}}Automated expiration enforcement: Deactivation or permissions/representations when End DateTime expires._x000D_
 # Sync RM/SS happens real time_x000D_
 # Validations , same as in [https://jira.intrasoft-intl.com/browse/IRM-36665]  _x000D_
 # Levels of hierarchy ability to define and display as in [https://jira.intrasoft-intl.com/browse/IRM-36665]  _x000D_
_x000D_
*B. Records Locking*_x000D_
 # When edited in SS record cannot be edited in RM.  (as per Solon locking functionality - if not yet implemented you may split in a different feature)_x000D_
 # Prevent conflicting or overlapping delegations (or require explicit override)._x000D_
_x000D_
*C. Notification* _x000D_
 # When saving new representation or updated representation a notification to both users_x000D_
 ## Taxpayer: A new representative defined for you. See related record. &lt;Link of SS representation record)_x000D_
 ## Representative: A new representation is assigned to your account for Taxpayer &lt;Taxpayer Name/ Identifier primary&gt; . See related record. &lt;Link of SS representation record)_x000D_
 # When saving new representation or updated representation a contact may be sent to both users_x000D_
 ## Title : "New representation" _x000D_
 ## Body :  Representative &lt;Representative (Name , primary ID)&gt;  is assigned to &lt;Taxpayer (Name , primary ID) &gt;_x000D_
_x000D_
*D. Versioning*_x000D_
 # Changes should be logged in Audit log._x000D_
_x000D_
*E. Permissions*_x000D_
 # Admin may assign specific permissions to users that can create/update agreements._x000D_
 # Restriction: Only users with “Representation Management” role can create/update.</t>
  </si>
  <si>
    <t>As an admin user, _x000D_
I need to capture the status, source system and integration time of representations defined as to be able to know how the representations were created._x000D_
Representations are 2-ways authorized. _x000D_
Representations are multilevels_x000D_
A lifecycle should be defined to representations forms as to be able to temporally saved, validated and revoked. _x000D_
_x000D_
*{color:#ff8b00}CHECK ! Review the LT branch for any implemented functionalities that can be merged into the product. ([https://netcompany.sharepoint.com/sites/NCTMS.GR.LT_TAX/Delte%20dokumenter/Forms/AllItems.aspx?id=%2Fsites%2FNCTMS%2EGR%2ELT%5FTAX%2FDelte%20dokumenter%2F03%2EExecuting%2FImplementation%2FBP03%2FDeliverables&amp;p=true&amp;ga=1)]{color}*    _x000D_
_x000D_
{color:#172b4d}_x000D_
*Background*_x000D_
_x000D_
Representations are already implemented in the application as . _x000D_
In this features_x000D_
[https://jira.intrasoft-intl.com/browse/IRM-4743] _x000D_
[https://jira.intrasoft-intl.com/browse/IRM-4744]_x000D_
[https://jira.intrasoft-intl.com/browse/IRM-4745] (Subusers)_x000D_
[https://jira.intrasoft-intl.com/browse/IRM-4746]   {color}{+}(Subusers){+}{color:#172b4d}_x000D_
[https://jira.intrasoft-intl.com/browse/IRM-5026] _x000D_
[https://jira.intrasoft-intl.com/browse/IRM-32538]   {color}{color:#172b4d}(data areas and support external systems as in LT branch)_x000D_
Delegations enhancements in [https://jira.intrasoft-intl.com/browse/IRM-38408] {color}_x000D_
_x000D_
The purpose of this feature is to validate the current implementation based on new requirements and make small adjustments. _x000D_
_x000D_
{color:#172b4d}In this feature will name: _x000D_
*Requester*            : The user asking someone else to represent them_x000D_
*Representative*    : The user who may act on behalf of the requester. This user may also ask to be represented.  _x000D_
2-ways: Both may be initiate a representation request and the other part will reply._x000D_
Multilevel: Many levels of representation should be supported. {color}_x000D_
_x000D_
     *Authorization schema* /Multiple levels of authorizations  (see also delegations with sub-users in [https://jira.intrasoft-intl.com/browse/IRM-38408] )_x000D_
 * The authorization scheme support  *2-ways.*   _x000D_
*Requester*  to *Representative*     ,_x000D_
*Representative* to *Requester*   _x000D_
 * The authorization scheme support  *multiple levels* of representations. (see sub users :[https://jira.intrasoft-intl.com/browse/IRM-38408] ) _x000D_
i.e., several levels of sub-users may be able to be defined. _x000D_
{color:#505f79}Examples:  {color}_x000D_
{color:#505f79}1) The (account and user) *Legal Person* to a user of *Company's legal representative*{color}_x000D_
{color:#505f79}2) *Company's legal representative*  to an *Accounting firm*  to manage the accountings  of the company{color}_x000D_
{color:#505f79}3) *Accounting firm* to the user  of  *Accountant employee* to delegate/assign the task{color}_x000D_
{color:#505f79}or{color}_x000D_
{color:#505f79}1) A (account and user) *Natural person* to a user of his/her *Guardian* (e.g. father)_x000D_
2) *Guardian* to an *Accounting firm* _x000D_
3) *Accounting firm*  to the *Accounting firm's legal representative*_x000D_
4) *Accounting firm's legal representative to the*  *Accountant employee*{color}_x000D_
 * {color:#172b4d}If a representation is delegated, then the delegation may happen with the rights assigned to the main representative or less. Cannot add more rights to delegator. (As-is){color}_x000D_
 * Admins should be able to view and track the level of representation per Agreement. _x000D_
_x000D_
 _x000D_
----_x000D_
*Functional requirements*_x000D_
_x000D_
 _x000D_
_x000D_
{color:#172b4d}*Configuration*{color}_x000D_
 * {color:#172b4d}Configurators should be able to define validations for the agreements and levels of agreements (Dependent on [https://jira.intrasoft-intl.com/browse/IRM-38408]  )_x000D_
(Example :  _x000D_
Max_depth :  May delegate for up to 3 levels , if Account to user is not count as representation and first representation is level 0 _x000D_
Non allowed circular representations)  {color}_x000D_
 * {color:#172b4d}Configurators may *define Agreement types* (Agreement cl) e.g. , Legal Representation , Legal Representation{color}_x000D_
 * Configurators may *define their own statuses and lifecycle.*_x000D_
 * Customers may define the default Source system and purpose values (CLs){*}{{*}}_x000D_
_x000D_
 _x000D_
_x000D_
*Additional Configuration level*_x000D_
 * Configurators may define if in SS they need to capture :  agreements, agreement services (as is ) but also the *agreement service rights*  (see LT implementation with new table in ss schema)  to be able to define the rights per agreement service (see [https://netcompany.sharepoint.com/sites/NCTMS.GR.LT_TAX/Delte%20dokumenter/Forms/AllItems.aspx?id=%2Fsites%2FNCTMS%2EGR%2ELT%5FTAX%2FDelte%20dokumenter%2F03%2EExecuting%2FImplementation%2FBP03%2FDeliverables%2FDD120%20%2D%20Physical%20Datamodel&amp;viewid=9186892f%2Df5b0%2D4a0b%2Da210%2D187a381e18c8&amp;p=true)] _x000D_
_x000D_
      Considerations: _x000D_
 * _x000D_
 ** {color:#172b4d}Configurators should be able to define criteria to define the list of allowed representatives_x000D_
(Example  : If Account = Company , Representative id not the legal company representative can be an Accounting firm or employee of a firm with permission of Books category A) {color}_x000D_
_x000D_
*Search for users*_x000D_
 * User search users to be selected for representation only by IDs but cannot see other user details _x000D_
_x000D_
*Levels*_x000D_
 - As a user I may  delegate the representation to another existing user.  The levels of delegation may be *multiple as noted in examples above* ._x000D_
 - {*}{{*}}{color:#172b4d}As a user  I may see the level of the representation and the representative that assign this to me in the UI.{color} _x000D_
 - Lifecycle is maintained for all representation levels._x000D_
_x000D_
*Lifecycle Permissions* _x000D_
 * Admin, Users and Procedures may log *"Change status reason"* , text  (e.g. revoked reason, cancel reason)  in *Agreements.* _x000D_
 * Users and procedures may set the *status* for Agreements. (available field and lifecycle). _x000D_
 * Αdmins should be able to view and track the level of representation per Agreement. _x000D_
 * Delegated permissions are *equal or less that* representation rights from delegator, i.e. permissions inheritance or remove some rights but cannot add more that already assigned to the delegator._x000D_
Representator 1 : Agreement Service 1,  with rights 1,2  -&gt;   Delegated representator 2 : Agreement Service 1,  with rights 1,2 _x000D_
or_x000D_
Representator 1 : Agreement Service 1,  with rights 1,2  -&gt;  Delegated representator 2 : Agreement Service 1,  with right 1_x000D_
_x000D_
In case of some representations as sub users, then needs to follow implementation in  [https://jira.intrasoft-intl.com/browse/IRM-38408] _x000D_
 * Permissions on requests forms  may be based on the  Lifecycle. _x000D_
for status change, reason may be filled in Optionally (see above field Change status reason{*}){*}  _x000D_
Status Field is RO  in UI , buttons will manage the flow. _x000D_
(e.g. , as is implemented in product) _x000D_
 ** _x000D_
 *** *Pending* (Temporally save , not applied/committed not considered) -(To avoid incorrect Requester  or representative selected (similar names, wrong identifier).  _x000D_
Created by *Representative* or  *Requester*  (see above 2-ways and multilevel)_x000D_
Set by Admin in SS/RM_x000D_
_x000D_
 * _x000D_
 ** _x000D_
 *** {*}Access Proposed{*}: Requested agreement but not processed_x000D_
Set by the process  (that was previously initiated by  Representative  or  Requester )_x000D_
Set by Admin in SS/RM_x000D_
_x000D_
 * _x000D_
 ** _x000D_
 *** *Access Denied* :   Agreement is not established_x000D_
 Set by the process/system  because of an error or incorrect selection of representation users or other validation._x000D_
Status Field is RO for the users_x000D_
 Set by Admin in SS/RM_x000D_
_x000D_
 * _x000D_
 ** _x000D_
 *** *Access Granted :* agreement/representation is valid. (Configured value as the cl value that provides access)   _x000D_
Set by the process based on what replied  by  Representative  or  Requester (the receiver of the request) _x000D_
Set by Admin in SS/RM_x000D_
_x000D_
 * _x000D_
 ** _x000D_
 *** *Access Revoked :* agreement/representation is not valid any more._x000D_
Set by the process based on what replied  by  Representative  or  Requester (the receiver of the request) _x000D_
Revoked by process because of end date reached _x000D_
Revoked by any part of the agreement _x000D_
Set by Admin in SS/RM_x000D_
_x000D_
 * _x000D_
 ** _x000D_
 *** *Canceled  :* agreement/representation is not valid_x000D_
Set by the process based on what replied  by  Representative  or  Requester (the receiver of the request) _x000D_
Set by Admin in SS/RM_x000D_
_x000D_
 * _x000D_
 ** _x000D_
 *** After cancel and revoke record cannot change any status._x000D_
User need to create a new record to extend this. _x000D_
_x000D_
                                     !image-2026-03-10-09-10-29-034.png!_x000D_
_x000D_
 _x000D_
 * If in  representation  1-&gt;2-&gt;3-&gt;4  i.e, 1-&gt;2 and  2-&gt;3 and  3-&gt;4  _x000D_
If  1-&gt;2  is canceled then 2-&gt;3 και 3-&gt;4 get canceled _x000D_
If 2-&gt;3  is canceled then 3-&gt;4  is canceled but 1-&gt;2 is not. _x000D_
Same with revokes. _x000D_
_x000D_
 * To be accepted a  representation  1 to 4 (1-&gt;2-&gt;3-&gt;4) there should have been accepted the 1-&gt;2 , 2-&gt;3, 3-&gt;4_x000D_
_x000D_
 _x000D_
_x000D_
*Versioning*_x000D_
 * Changes should be logged in Audit log._x000D_
_x000D_
 _x000D_
_x000D_
!image-2026-04-06-13-17-11-066.png|width=1025,height=570!_x000D_
!image-2026-03-10-10-34-26-315.png!_x000D_
_x000D_
 _x000D_
_x000D_
 _x000D_
_x000D_
*Documentation*_x000D_
Document all the above adjustments. _x000D_
_x000D_
 _x000D_
_x000D_
*Non functional requirements*_x000D_
It is expected team to get aligned with respective teams and reassure that is not creating issues or the related NFRs will be tested :_x000D_
Performance , Security, Accessibility, Usability _x000D_
DODs should be fulfilled._x000D_
_x000D_
 </t>
  </si>
  <si>
    <t>{color:#172b4d}*Configuration*{color}_x000D_
 * {color:#172b4d}Configurators may *define maximum depth of representations delegations levels* {color}_x000D_
 * {color:#172b4d}Configurators should be able to define validations for the agreements and levels of agreements (Dependent on [https://jira.intrasoft-intl.com/browse/IRM-38408]  )_x000D_
(Example :  _x000D_
Max_depth :  May delegate for up to 3 levels , if Account to user is not count as representation and first representation is level 0 _x000D_
Non allowed circular representations)  {color}**_x000D_
 * {color:#172b4d}Configurators may *define Agreement types* (Agreement cl) e.g. , Legal Representation , Legal Representation{color}_x000D_
 * Configurators may *define their own statuses and lifecycle.*_x000D_
 * Customers may define the default Source system and purpose values (CLs) _x000D_
_x000D_
*Search for users*_x000D_
 * User search users to be selected for representation only by IDs but cannot see other user details _x000D_
_x000D_
*New schema &amp; Configuration*_x000D_
 * Configurators may define if in SS they need to capture :  agreements, agreement services (as is ) but also the *agreement service rights* _x000D_
_x000D_
*Levels*_x000D_
 - As a user I may  delegate the representation to another existing user.  The levels of delegation may be *multiple as noted in examples above* ._x000D_
 - {*}{{*}}{color:#172b4d}As a user  I may see the level of the representation and the representative that assign this to me in the UI.{color} _x000D_
 - Lifecycle is maintained for all representation levels._x000D_
_x000D_
*Lifecycle and flow*_x000D_
 # Admin, Users and Procedures may log *"Change status reason"* , text  (e.g. revoked reason, cancel reason)  in *Agreements.* _x000D_
 # Users and procedures may set the *status* for Agreements. (available field and lifecycle). _x000D_
 # Αdmins should be able to view and track the level of representation per Agreement. _x000D_
 # Delegated permissions are *equal or less that* representation rights from delegator, i.e. permissions inheritance or remove some rights but cannot add more that already assigned to the delegator._x000D_
Representator 1 : Agreement Service 1,  with rights 1,2  -&gt;   Delegated representator 2 : Agreement Service 1,  with rights 1,2 _x000D_
or_x000D_
Representator 1 : Agreement Service 1,  with rights 1,2  -&gt;  Delegated representator 2 : Agreement Service 1,  with right 1_x000D_
 # Permissions on requests forms  may be based on the  Lifecycle. _x000D_
for status change, reason may be filled in Optionally (see above field Change status reason{*}){*}  _x000D_
Status Field is RO  in UI , buttons will manage the flow. _x000D_
 # If in  representation  1-&gt;2-&gt;3-&gt;4  i.e, 1-&gt;2 and  2-&gt;3 and  3-&gt;4  _x000D_
If  1-&gt;2  is canceled then 2-&gt;3 και 3-&gt;4 get canceled _x000D_
If 2-&gt;3  is canceled then 3-&gt;4  is canceled but 1-&gt;2 is not. _x000D_
Same with revokes. _x000D_
 # To be accepted a  representation  1 to 4 (1-&gt;2-&gt;3-&gt;4) there should have been accepted the 1-&gt;2 , 2-&gt;3, 3-&gt;4_x000D_
In case of some representations as sub users, then needs to follow implementation in  [https://jira.intrasoft-intl.com/browse/IRM-38408] _x000D_
_x000D_
*Audit log*_x000D_
 # Changes of  {*}Agreements{*},  *Agreements services* , *user rights* should be logged in Audit log.</t>
  </si>
  <si>
    <t>As an admin user, I need to capture and manage Start Date and End Date fields in the system that define the validity period of granted permissions, so that access rights can be controlled accurately and limited to specific timeframes._x000D_
_x000D_
*{color:#ff8b00}CHECK ! Review the LT branch for any implemented functionalities that can be merged into the product.{color}*_x000D_
_x000D_
*Functional requirements*_x000D_
_x000D_
*Basics:* _x000D_
 * Start and End date are captured as datetime and properly defined time zone in Agreements._x000D_
 * Start and End date are captured as datetime and properly defined time zone in Agreements services._x000D_
 * Start and End date are captured as datetime and properly defined time zone in user rights._x000D_
 * The permissions should be enforced or recalled in datetime level.  (along status define in [https://jira.intrasoft-intl.com/browse/IRM-36665]) _x000D_
 * If no end date is defined the system should clearly flag in UI  "No End Date”_x000D_
_x000D_
Note: Already available fields in Party role relationship._x000D_
_x000D_
*Timezone* _x000D_
 * Display datetime in the user’s configured timezone._x000D_
 * Validity must be calculated based on stored system time (not client browser time)._x000D_
 * Daylight Saving Time (DST) transitions must not cause early expiration or extended validity._x000D_
_x000D_
*Versioning*_x000D_
 * Changes should be logged in Audit log._x000D_
_x000D_
*Validations* _x000D_
 * End Date cannot be earlier than Start Date._x000D_
 * Start Date is mandatory._x000D_
_x000D_
*Documentation*_x000D_
Document all the above adjustments. _x000D_
_x000D_
*Non functional requirements*_x000D_
It is expected team to get aligned with respective teams and reassure that is not creating issues or the related NFRs will be tested :_x000D_
Performance , Security, Accessibility, Usability _x000D_
DODs should be fulfilled._x000D_
_x000D_
 </t>
  </si>
  <si>
    <t>If the system allows administrators to define and manage precise Start and End datetime values (with timezone control) for user rights and agreements, then access to system functionalities will be automatically aligned with authorized validity periods, resulting in improved security control, reduced unauthorized access risk, stronger audit compliance, and lower manual administration effort.</t>
  </si>
  <si>
    <t>*A) Basics:* _x000D_
 # Start and End date are captured as datetime and properly defined time zone in Agreements._x000D_
 # Start and End date are captured as datetime and properly defined time zone in Agreements services._x000D_
 # Start and End date are captured as datetime and properly defined time zone in user rights._x000D_
 # The permissions should be enforced or recalled in datetime level. _x000D_
 # If no end date is defined the system should clearly flag in UI  "No End Date”_x000D_
_x000D_
*B) Timezone* _x000D_
 # Display datetime in the user’s configured timezone._x000D_
 # Validity must be calculated based on stored system time (not client browser time)._x000D_
 # Daylight Saving Time (DST) transitions must not cause early expiration or extended validity._x000D_
_x000D_
*C) Versioning*_x000D_
 # Changes should be logged in Audit log._x000D_
_x000D_
*D) Validations* _x000D_
 # End Date cannot be earlier than Start Date._x000D_
 # Start Date is mandatory.</t>
  </si>
  <si>
    <t>*As a* System Administrator,_x000D_
_x000D_
*I want to* extend the data model for representations and authorizations,_x000D_
_x000D_
*So that* we can support integrations with external systems, (LT project)._x000D_
h3. *Functional Requirements*_x000D_
 * *Irm Admin Interface:* An IRM administrator must be able to navigate to the "Self Service Rights" configuration menu and see new, optional fields to specify a {{System}} (from a code list) and a {{Purpose}} (text field) when creating or editing a right. If left blank, the system should behave as it currently does._x000D_
 * {*}Self Service Interface{*}: In the Outbound/Inbound Agreements screens, the systemCL of the Right should be visible wherever Rights are displayed, _x000D_
_x000D_
h3. *Non-Functional Requirements* _x000D_
 *  *DDL Changes (Registration):*_x000D_
 ** *c_right:*_x000D_
 *** *systemCL :* Codelist Item (Optional)_x000D_
 *** {*}externalSystemRightCode{*}: External System Code (Optional) _x000D_
 *** {*}dataArea{*}: JSON (optional)    _x000D_
 ** *party_role_relationship:*_x000D_
 *** *partyRoleRelationshipStatusCL:* Codelist Item (Optional)_x000D_
 ** *user_right:*_x000D_
 *** {*}dataArea{*}: JSON (optional)    _x000D_
 * {*}Self Service Registry Adapter APIs{*}:_x000D_
 ** Self Service Registry adapter APIs should be extended to expose the new information included in c_right and party_role_relationship from IRM. New information added in user_right is internal and should not be exposed via Self Service Regisry Adapter APIs</t>
  </si>
  <si>
    <t># The {{c_right}} table must be extended to include a {{systemCL and externalSystemRightCode}} column to identify the source system and a {{dataArea}} column to store additional fields, like purpose._x000D_
 # The {{party_role_relationship}} table must be extended with a {{partyRoleRelationshipStatusCL}} column to manage the lifecycle of the representation for extenral systems (Will not be used for Solon Tax rights)._x000D_
 # The {{user_right}} table must be extended with a {{dataArea}} column to store external system identifiers like {{{}savedMark{}}}, {{{}eskisId{}}}, and {{{}extSystemId{}}}._x000D_
 # The "Self Service Rights" configuration screen in the IRM admin interface must be updated to include optional fields for {{System}} and {{{}Purpose{}}}._x000D_
 # The system must remain fully backward compatible, ensuring existing Self Service representations and authorizations continue to function without change.</t>
  </si>
  <si>
    <t>Exemptions (2026)</t>
  </si>
  <si>
    <t>As a revenue authority I need to be able to implement Policy-driven exclusions for assessments and other liabilities ti the taxpayers to promote sectors, fairness, or development goals. (Other examples on their purposes :  Encourage social or economic development. , support specific sectors or vulnerable groups. , simplify tax administration for low-value cases. align with policy objectives (e.g., promoting investment, education, or sustainability) ) ._x000D_
_x000D_
The exceptions may be of several *types* e.g. _x000D_
*Geographic* exemptions : to develop special zones_x000D_
*Activity* exemptions : develop verticals based on Taxpayer activities exemptions  _x000D_
*Party type* exemptions , *Party size* exemptions_x000D_
_x000D_
*Introduction*_x000D_
_x000D_
Already applied in system _x000D_
*Waivers:* Relief based on a discretionary decision to "forgive" or "cancel" a debt (mostly interest or penalty) _x000D_
It is applied after liability is assessed but before payment._x000D_
Amount is no longer collectible_x000D_
_x000D_
{*}Write-offs{*}: An accounting action to remove an uncollectible debt from active accounts (not the same as forgiveness)._x000D_
It is applied after the debt is confirmed and collectible. _x000D_
Amount is legally due but no longer pursued. _x000D_
_x000D_
*Suppression:* _x000D_
A temporary hold or administrative decision to suppress or defer issuing an assessment , interest._x000D_
It is applied during the assessment/process. _x000D_
The due amount exists but it is not communicated or enforced yet.  _x000D_
_x000D_
New :_x000D_
*Exemption:* _x000D_
A lawful exclusion from a tax obligation defined in legislation or policy._x000D_
It is applied before a due amount/liability arises. _x000D_
(e.g. Charitable organizations are exempt from income tax.)_x000D_
The tax {*}never becomes due{*}—it’s not assessed or recorded as payable._x000D_
_x000D_
[Revenue type Registration]-&gt;  Apply Exemptions_x000D_
[Obligations] -&gt;  Exempt items excluded_x000D_
Other: _x000D_
[Assessment]-&gt;  Suppressions may be applied_x000D_
[Billing &amp; Payment] -&gt;   Waivers may be issued_x000D_
[Collection/ Enforcement]-&gt;  Write-offs recorded_x000D_
[Audit &amp; Compliance]-&gt; for all_x000D_
 _x000D_
_x000D_
*Functional Requirements*_x000D_
_x000D_
*Admin :*_x000D_
I can define Exception types [ Type, Status,  Period or permanent ,  Can be applied manually?,  Approvers list or profiles,  filters on how to define related audience/scope, filters on what will be exemptions requested, define details on the policy applied , legal reason/decision ]_x000D_
_x000D_
I can apply Exceptions to taxpayers massively.  [Workflow,  Approvals,  Keep attachments, Keep contacts  , RTR and Obligations status , StartDate, EndDate, Status, Reason , timestamp, batch id ] _x000D_
 * Define approvers lists or profiles_x000D_
 * Define approval process_x000D_
 * Functionality on permanent or time defined exceptions_x000D_
 * Define Legal bases_x000D_
 * How to define scope_x000D_
 * How to define targeted actions_x000D_
 * Validations should be applied._x000D_
_x000D_
*User :*_x000D_
I can apply Exceptions to taxpayers manually.  _x000D_
_x000D_
*Addiitonally,*  _x000D_
 * New statuses for Obligations_x000D_
 * Balances review_x000D_
 * Forms updated filters with exceptions_x000D_
 * Traceability _x000D_
 * I can report on the exemptions applied</t>
  </si>
  <si>
    <t>Extensibility Enhancements (2026)</t>
  </si>
  <si>
    <t>As a revenue authority admin , I need to have the ability to extend the data schema of Financial transaction types , as commonly provided in the application by a data Area field. There are several details need to be added that cannot be supported by product. _x000D_
_x000D_
*Functional Requirement*_x000D_
 - Need to be able to add custom information in Financial transaction type_x000D_
_x000D_
Examples:  External Code_x000D_
_x000D_
Notes: _x000D_
 - Add optional column data_area to _x000D_
 - Update APIs to support new dataArea field _x000D_
 - Add CustomValidationService _x000D_
 - General User data characteristics details [https://jira.intrasoft-intl.com/browse/IRM-29295]</t>
  </si>
  <si>
    <t>* Need to be able to add custom information in Financial transaction Type config records</t>
  </si>
  <si>
    <t>As a revenue authority admin , I need to have the ability to extend the data schema of GL Account configuration object, as commonly provided in the application by a data Area field. There are several details need to be added that cannot be supported by product. _x000D_
_x000D_
*Functional Requirement*_x000D_
 - Need to be able to add custom information in Gl Account config page  (Taxpayer accounting ,c_gl_account) _x000D_
_x000D_
_x000D_
_x000D_
Examples: _x000D_
_x000D_
Related a different GL account of higher level , eg. field name "Higher Level GL Account" , lookup GL accounts. _x000D_
_x000D_
Notes: _x000D_
 - Add optional column data_area to c_gl_account_x000D_
 - Update Party APIs to support new dataArea field _x000D_
 - Add CustomValidationService _x000D_
 - General User data characteristics details https://jira.intrasoft-intl.com/browse/IRM-29295</t>
  </si>
  <si>
    <t>* Need to be able to add custom information in Gl Account config page  (Taxpayer accounting ,c_gl_account) </t>
  </si>
  <si>
    <t>As a revenue admin I need to have available data area and user define characteristics for : _x000D_
 * Party Address,_x000D_
 * Party State,_x000D_
 * Party Name_x000D_
 * Organizational_unit_x000D_
 * Obligation_x000D_
_x000D_
+*Functional Requirements*+_x000D_
_x000D_
 Have available *Data Area and enable user define characteristics, per party type*_x000D_
 * Party Address, (Example : Comments , free text) _x000D_
 * Party State, (Example : Comments , free text) _x000D_
 * Party Name (Example : Comments , free text) _x000D_
 * Organizational_unitr (Example : Comments , free text) _x000D_
 * Obligation (Example : Revenue Year , free text) _x000D_
_x000D_
 _x000D_
_x000D_
*Documentation*_x000D_
Document all the above adjustments. _x000D_
_x000D_
*Non functional requirements*_x000D_
Performance , Security, Accessibility, Usability  DODs should be fulfilled. </t>
  </si>
  <si>
    <t>Data Area available (and enable user define characteristics), per party type for: ** _x000D_
 * Party Address,_x000D_
 * Party State,_x000D_
 * Party Name_x000D_
 * Organizational_unit_x000D_
 * Obligation</t>
  </si>
  <si>
    <t>As an admin, I want to define and maintain user-defined characteristics for payment events, so that these characteristics can be used to store data on instances of payment events.
*Functional Requirements*
 * Admin can define user-defined characteristics that must be available for a payment event
 * Admin can edit the properties of a user-defined characteristics, such as a unique identifier, description, help text, data type, data length, predefined value, lookup values, required, visible, and display only. Examples of data types that can be supported for these characteristics are string, date/time, number, amount, code list (e.g. region) and a reference to another type of entity in the application.
 * Reference Type of Entity
 ** Admin can define multiple user-defined characteristics that reference the same type of entity if instances of that type of entity can have a different meaning for a payment event
 ** Admin can define whether a user-defined characteristic can reference only one or multiple instances of a specific type of entity
 ** Admin can define what properties are shown for each type of entity that is referenced by a certain user-defined characteristic
 * Reference Code List
 ** Admin can define multiple user-defined characteristics that reference the same code list
 ** Admin can define whether a user-defined characteristic can reference only one or multiple code list items of a specific code list
 * Admin can remove a user-defined characteristic for a payment event if there are no referential constraints
 * Admin can disable a user-defined characteristic for a payment event if the characteristic is no longer relevant
 * Admin can enable a disabled user-defined characteristic for a payment event if the characteristic is deemed relevant again
 * Admin should be warned when adding or editing user-defined characteristics when payment events exist
 * Grouping
 ** Admin can group characteristics. Group can contain sub-groups.
 ** Admin can edit a group, for example the description
 ** Admin can delete a group, provided there are no referential constraints
 ** User can rearrange groups and sub-groups
 ** User can rearrange the characteristics within the payment event, groups or sub-groups
 * Rules
 ** Admin can define rules for a characteristic to validate the data that will be entered by the user
 ** Admin can define rules for a characteristic to determine if the characteristic should be visible or invisible
 ** Admin can define rules for a characteristic to determine if a characteristic is required or not
 ** Admin can define rules for a characteristic to determine when the characteristic should be editable or not
 ** Admin can define an error message that must be shown when the data entered by the user does not comply with the validation rule</t>
  </si>
  <si>
    <t>Billing &amp; Assessments Enhancements (2026)</t>
  </si>
  <si>
    <t>As an admin, I need to configure the bill segment types generated by the Transfer Amount process so they align with existing, predefined bill segment configurations used in other relevant procedures (e.g., for the same revenue types and bill segment categories)._x000D_
_x000D_
In the as-is, one Bill segment type is defined and be used for source and target bill segments._x000D_
_x000D_
 _x000D_
_x000D_
*Functional Requirements*_x000D_
_x000D_
 _x000D_
_x000D_
*A) New Bill Segment Type field, next to existing:* _x000D_
 * Alternative Target Bill segment type _x000D_
Lookup bill segment type and filters may be used to locate proper type._x000D_
 * Optional field_x000D_
 * Add Tooltip: This value applies to the target bill segment if filled. If no filled the default bill segment type will be applied to target bill segment as in source bill segment. _x000D_
 * Add it in search filters._x000D_
_x000D_
*B) Existing Bill Segment Type field:*_x000D_
 * New label : Default Bill segment type_x000D_
 * Be able to search by  using fields to locate proper type._x000D_
 * Add Tooltip: This value applies to the source bill segment and will also be applied to the target bill segment unless a different bill segment type is explicitly selected._x000D_
_x000D_
Consideration : Bill type should support both bill segment types. _x000D_
_x000D_
 _x000D_
_x000D_
*C) Mechanism:*_x000D_
 * Default bill segment type is mandatory. _x000D_
 * Default Bill segment type will be used for source bill segment._x000D_
 * Alternative Target Bill segment type  will be used for target bill segment._x000D_
 * If Alternative Target Bill segment type id not filled, then Default Bill segment type will be used for target bill segment._x000D_
_x000D_
 _x000D_
_x000D_
*Documentation*_x000D_
Document all the above adjustments. _x000D_
_x000D_
*Non functional requirements*_x000D_
It is expected that the team is manage to collaborate with specialists and ensure that the solution improves or maintain the product's : _x000D_
Performance , Security, Accessibility, Usability  _x000D_
It is expected that all DODs are fulfilled. </t>
  </si>
  <si>
    <t>By enabling admins to configure separate bill segment types for source and target segments in the Transfer Amount process, we ensure alignment with existing, predefined bill segment configurations used across other procedures. This reduces configuration duplication, minimizes manual corrections, and improves consistency across revenue types and bill segment categories.</t>
  </si>
  <si>
    <t>*A) New Bill Segment Type field, next to existing:* _x000D_
 * Alternative Target Bill segment type _x000D_
Lookup bill segment type and filters may be used to locate proper type._x000D_
 * Optional field_x000D_
 * Add Tooltip: This value applies to the target bill segment if filled. If no filled the default bill segment type will be applied to target bill segment as in source bill segment. _x000D_
 * Add it in search filters._x000D_
_x000D_
*B) Existing Bill Segment Type field:*_x000D_
 * New label : Default Bill segment type_x000D_
 * Be able to search by  using fields to locate proper type._x000D_
 * Add Tooltip: This value applies to the source bill segment and will also be applied to the target bill segment unless a different bill segment type is explicitly selected._x000D_
_x000D_
Consideration : Bill type should support both bill segment types. _x000D_
_x000D_
 _x000D_
_x000D_
*C) Mechanism:*_x000D_
 * Default bill segment type is mandatory. _x000D_
 * Default Bill segment type will be used for source bill segment._x000D_
 * Alternative Target Bill segment type  will be used for target bill segment._x000D_
 * If Alternative Target Bill segment type id not filled, then Default Bill segment type will be used for target bill segment.</t>
  </si>
  <si>
    <t>For Ad-hoc obligations : _x000D_
As a revenue official, I want to see that a party in a specific role was, is or is going to be obliged to pay an assessment in instalments, so that I can check whether this party in a specific role is meeting the obligation to pay these instalments on time and in full and can take measures if this is not the case. i.e, I need to be able to add several payment action under an ad-hoc obligations to represent Installments similarly to what is happening in the Periodic Obligations.  _x000D_
This can be used for Inheritance tax, legacy data migration processes, other cases like Guarantees. _x000D_
_x000D_
The goal is to be able to add more than payment obligation actions per obligation for ad-hoc obligations, similarly to what happens with periodic obligations. _x000D_
_x000D_
Relevant : [https://jira.intrasoft-intl.com/browse/IRM-11522] , [https://jira.intrasoft-intl.com/browse/IRM-10419] _x000D_
_x000D_
*Functional Requirements*_x000D_
_x000D_
*Basics*_x000D_
 * User and admin can create multiple payment obligation actions under an ad-hoc obligation (revenue type category = Ad-hoc)  as installments, following the structure of the non ad-hoc obligations with installments. _x000D_
 ** User can add a Filing and more that one Payment Actions in ad-hoc Obligation, flagged as Installments _x000D_
 ** User can define the Category as is in periodic ones : Preliminary, Original_x000D_
 ** User can define the due date (as happens now)_x000D_
 ** Status is managed by the system (as happens now). _x000D_
 ** One set of actions per category will be permitted and I can add more that one payment actions if type is installment but one if it is once- off,  . I.e., same validations as in periodic ones regarding grouping per category, _x000D_
 * User can see the list of pay instalment actions that a party in a specific role -  was, is or is going to be  - obliged to perform for a specific revenue type for a specific revenue period or once-off. User can see information that identifies a pay instalment action and its status to the user, such as action category (e.g. preliminary or original), action type, action reference number, action due date, amount and action status (e.g. active or closed)._x000D_
 * User can create manually the payment obligation actions (as happens now)._x000D_
 * User can sort the list._x000D_
 * User can open a pay instalment action to see more details and update if needed. _x000D_
_x000D_
 _x000D_
_x000D_
-*Advanced:*- _x000D_
_x000D_
-*Additional functionality:*- _x000D_
-To be able for the user to create several installments, a set of predefined rules may be ready in a way that  :- _x000D_
-User will add some parameters such as already logged start date, due date , will add some additional such as : number of installments,  duration between installments, type of action (payment) to be created and margin to grace date. Will click a button and installments will be created.  Then user will be able to update the entries.- _x000D_
 * -Admin can define the rule in the revenue type on how  to create the installments for ad-hoc revenue types (suggestion : Dynamic Rules)- _x000D_
 ** -Rules will be able via parameters added by user to generate payment actions under an ad-hoc obligation.-  _x000D_
 ** -Rule will calculate a) the ad-hoc installments / payment actions :  according set by user start date, duration between installments , number of installments , margin of grace date, category . b) Filing actions according Start date , due date of the obligation, margin of Grace date , category-_x000D_
_x000D_
-+Consideration+-_x000D_
-User should be able to define the rule to create the installments (e.g.  Dynamic Rules or batches)- _x000D_
-Rules should be able via parameters added by user to generate payment actions under an ad-hoc obligation.-  _x000D_
-Rule may calculate a) the ad-hoc installments / payment actions :  according set by user start date, duration between installments , number of installments , margin of grace date, category . b) Filing actions according Start date , due date of the obligation, margin of Grace date , category-_x000D_
_x000D_
 _x000D_
_x000D_
*Documentation*_x000D_
Document all the above adjustments. _x000D_
_x000D_
 _x000D_
_x000D_
*Non functional requirements*_x000D_
It is expected that the NFRs are considered and examined: Performance , Security, Accessibility, Usability _x000D_
_x000D_
DODs should be fulfilled. _x000D_
_x000D_
 _x000D_
_x000D_
 _x000D_
----_x000D_
Notes_x000D_
[https://dev.icarus/revenue-management/page/Obligation/2c578925-f183-475b-a19a-82cb25ebeb11?subType=ADHOC]_x000D_
_x000D_
!image-2024-08-16-17-29-08-392.png!_x000D_
----_x000D_
Notes: _x000D_
_x000D_
 </t>
  </si>
  <si>
    <t># User and admin can create multiple payment obligation actions under an ad-hoc obligation (revenue type category = Ad-hoc)  as installments, following the structure of the non ad-hoc obligations with installments. _x000D_
 ## User can add a Filing and more that one Payment Actions in ad-hoc Obligation, flagged as Installments _x000D_
 ## User can define the Category as is in periodic ones : Preliminary, Original_x000D_
 ## User can define the due date (as happens now)_x000D_
 ## Status is managed by the system (as happens now). _x000D_
 ## One set of actions per category will be permitted and I can add more that one payment actions if type is installment but one if it is once- off,  . I.e., same validations as in periodic ones regarding grouping per category, _x000D_
 # User can see the list of pay instalment actions and relevant details_x000D_
 # User can create manually the payment obligation actions (as happens now)._x000D_
 # User can sort the list._x000D_
 # User can open a pay instalment action to see more details and update if needed. </t>
  </si>
  <si>
    <t>Tax Accounts Enhancements (2026)</t>
  </si>
  <si>
    <t>As a revenue authority officer I need to be able to export list of GL Accounts with filters as selected in GL Accounts list view. _x000D_
(Export similar to  [https://jira.intrasoft-intl.com/browse/IRM-29306] )_x000D_
_x000D_
 _x000D_
_x000D_
*Functional Rquirements*_x000D_
 - In  GL Accounts List Page, user is able to filter GL accounts , and then easily click to export the list in excel file. _x000D_
Same mechanism is now used in Parties list page_x000D_
_x000D_
 _x000D_
_x000D_
------------------------------------------------------------------------------------_x000D_
_x000D_
*Documentation*_x000D_
_x000D_
All configuration options, split strategies, and rule evaluation logic must be fully documented._x000D_
_x000D_
Documentation must include (where applicable) :_x000D_
 * Usage and Configuration examples_x000D_
 * Reference implementations_x000D_
 * Operational guidelines , Performance considerations_x000D_
_x000D_
 _x000D_
_x000D_
*Non functional requirements*_x000D_
_x000D_
The solution must maintain or improve the product’s:_x000D_
_x000D_
*Performance* – large datasets and multi-sheet evaluation must not degrade processing times_x000D_
*Security* – no exposure of sensitive configuration data_x000D_
*Accessibility* – configuration screens and documentation must remain accessible_x000D_
*Usability* – splitting logic must be understandable and maintainable by admins_x000D_
Additionally:_x000D_
The team must collaborate with domain specialists to validate the above._x000D_
_x000D_
All Definition of Done ({*}DoD{*}) criteria must be met.</t>
  </si>
  <si>
    <t>By expanding the export functionality beyond just the visible rows on the screen, users will: Save time by avoiding repetitive manual copy/paste.  Be able to analyze complete filtered datasets, not just UI subsets. Increase efficiency and productivity in reporting, reconciliation, and data analysis tasks.</t>
  </si>
  <si>
    <t>- Enable Exporting List Views filtered results functionality, as applied in Registration. </t>
  </si>
  <si>
    <t>This will provide Revenue Authority users with a clear, consolidated view of all financial activities within a specific reconciliation period for a taxpayer's Tax Account, improving efficiency and accuracy.</t>
  </si>
  <si>
    <t>As a revenue officer I should be able to define a threshold amount for a revenue type registration so that the system can support Tax Account implementation. _x000D_
_x000D_
*Introduction* _x000D_
_x000D_
This analysis outlines the requirements for introducing a threshold amount field in the Revenue Type Registration entity to support Tax Account functionality in Solon Tax. The threshold field will enable implementation teams to configure automatic threshold determination rules while maintaining manual editability during the initial implementation phase. _x000D_
_x000D_
The threshold amount will be used in Tax Account scenarios where specific monetary limits determine processing behavior, validation rules, or reporting requirements. This field provides the foundation for threshold-based business logic while allowing implementation teams flexibility in defining automatic calculation rules._x000D_
_x000D_
*Functional Business Requirements*_x000D_
_x000D_
Add a new field thresholdAmount to the Revenue Type Registration entity that:_x000D_
_x000D_
&gt; Stores a monetary threshold value for tax account processing_x000D_
&gt; Supports decimal precision for accurate financial calculations_x000D_
&gt; Allows null values (optional field)_x000D_
&gt; Is editable by users during creation and updates_x000D_
&gt; Can be automatically populated by system rules (future enhancement)_x000D_
_x000D_
_x000D_
_x000D_
This enhancement provides the foundational threshold capability required for Tax Account implementations while maintaining the flexibility needed for diverse implementation requirements and future automatic rule integration._x000D_
_x000D_
*Documentation*_x000D_
Document all the above adjustments for introducing a threshold amount filed in revenue type registration._x000D_
_x000D_
 _x000D_
_x000D_
*Non functional requirements*_x000D_
Performance , Security, Traceability, Accessibility, Usability  DODs should be fulfilled. </t>
  </si>
  <si>
    <t>Enables flexible threshold-based processing for Tax Account implementations while providing implementation teams control over automatic threshold determination rules.</t>
  </si>
  <si>
    <t>* Revenue Type Registration entity includes new threshold amount field_x000D_
 * Field accepts decimal monetary values same used across the system ie 2 decimals_x000D_
 * Field is optional (nullable) during creation and updates_x000D_
 * Field is editable through standard Revenue Type Registration_x000D_
 * Field value is persisted and retrievable through existing APIs_x000D_
 * Field supports standard validation patterns (non-negative values, reasonable precision)_x000D_
 * Field is included in Revenue Type Registration export/import functionality_x000D_
 * Field appears in relevant UI screens for Revenue Type Registration management when applicable ie Tax account implementation.</t>
  </si>
  <si>
    <t>Accessibility Enhancements (2026)</t>
  </si>
  <si>
    <t>This enabler focuses on improving the accessibility of the Solon Tax application in alignment with recognized standards. Enhancements implemented during this PI aim to ensure that users of all abilities can effectively interact with the system, in compliance with WCAG 2.1 AA and EN 301 549 guidelines._x000D_
_x000D_
Enabler includes effort for UI/UX Accessibility Audit activities.</t>
  </si>
  <si>
    <t>By implementing accessibility improvements according to WCAG 2.1 AA and EN 301 549, the Solon Tax product becomes more inclusive and compliant with European accessibility requirements. This ensures equal access for all users, enhances user satisfaction, reduces the risk of non-compliance penalties, and strengthens the product's reputation and market reach in the public sector.</t>
  </si>
  <si>
    <t>* Accessibility improvements are implemented according to WCAG 2.1 AA and EN 301 549 standards._x000D_
_x000D_
 * Identified accessibility gaps from prior audits or internal reviews are addressed within the scope of the current PI._x000D_
_x000D_
 * Key UI components meet minimum color contrast ratios and provide proper focus management._x000D_
_x000D_
 * Application is fully navigable via keyboard without loss of functionality._x000D_
_x000D_
 * Screen reader users can correctly interpret content structure, labels, and ARIA attributes._x000D_
_x000D_
 * QA validation confirms compliance through automated and manual accessibility testing._x000D_
_x000D_
 * Documentation is updated to reflect accessibility compliance status and testing results.</t>
  </si>
  <si>
    <t>Reference Implementation - Self Service Account Overview (2026)</t>
  </si>
  <si>
    <t>As a self service user, I want to see an overview of a taxpayer account that I can access, so that I can confirm this is the taxpayer account that I intended to access, can understand the obligations for this account, can see notifications sent to this account and see the taxpayer account balances.
*Introduction*
This feature is related to IRM-3447 in which requirements have been doccumented to see an overview of a taxpayer account on the self service.
Some example wireframes have been attached to this feature.  In case the content on the wireframes differs from the functional requirements, then the functional requirement should be used as input when implementing this feature.
*Functional requirements*
 * User can see registration details of the taxpayer.
 ** {color:#c1c7d0}Data set:{color}
 *** {color:#c1c7d0}Name: the primary name of the taxpayer for which the account overview is shown{color}
 *** {color:#c1c7d0}ID type: the type of the primary identifier of the taxpayer for which the account overview is shown{color}
 *** {color:#c1c7d0}ID number: the primary identifier number of the taxpayer for which the account overview is shown{color}
 *** {color:#c1c7d0}Address: the preferred address for communication with the taxpayer for which the account overview is shown{color}
 *** {color:#c1c7d0}Email: the preferred email address for communication with the taxpayer for which the account overview is shown{color}
 ** Actions:
 *** {color:#172b4d}User can open the registration details{color}
 *** {color:#172b4d}User can open and update the registration details{color}
 * {color:#c1c7d0}User can see the current balances for each tax type for which this taxpayer was registered{color}
 ** {color:#c1c7d0}Data set - can contain data for multiple tax types{color}
 *** {color:#c1c7d0}Tax type: a tax type for which this taxpayer was registered{color}
 *** {color:#c1c7d0}Balance: the current balance for a tax type for which a taxpayer was registered - any period in which the tax type was applicable for this taxpayer should be considered when calculating the balance{color}
 ** {color:#c1c7d0}Actions:{color}
 *** {color:#c1c7d0}User can open the details for a specific tax type for which this taxpayer was registered (see IRM-3449){color}
 * {color:#c1c7d0}User can see the past, present, and future obligations and their status for the taxpayer account in a timeline{color}
 ** {color:#c1c7d0}Data set - can contain data for multiple obligations{color}
 *** {color:#c1c7d0}Tax type: the tax type for which the obligation exists{color}
 *** {color:#c1c7d0}Obligation action type: the type of action that the taxpayer is obliged to take{color}
 *** {color:#c1c7d0}Period: the period for which the obligation exists (if any){color}
 *** {color:#c1c7d0}Status: the status of the action that the taxpayer is obliged to take - user can for example see if the action has been completed or not - and see for actions that have not been completed yet whether the action is considered overdue or not (e.g. overdue is red, due is orange and completed is green){color}
 *** {color:#c1c7d0}Obligation Due date: the date by which the action, that the taxpayer is obliged to take, must be completed{color}
 ** {color:#c1c7d0}Actions:{color}
 *** {color:#c1c7d0}User can open the details for a specific obligation{color} (see IRM-3451)
 * {color:#c1c7d0}User can see the latest notifications{color}
 ** {color:#c1c7d0}Data set - can contain data for multiple notifications{color}
 *** {color:#c1c7d0}Notification date: the date the notification was sent to the taxpayer{color}
 *** {color:#c1c7d0}Notification message: the notification message header{color}
 *** {color:#c1c7d0}Notification read or unread: indication whether the user has read the message ate least once or not{color}
 *** {color:#c1c7d0}Notification importance: the importance of the notification{color}
 ** {color:#c1c7d0}Actions:{color}
 *** {color:#c1c7d0}User can open the details for a specific notification{color}</t>
  </si>
  <si>
    <t>Penalty &amp; Interest Enhancements (2026)</t>
  </si>
  <si>
    <t>As a revenue authority officer I would like Solon RM to consider in credit interest calculation, all payments received from a taxpayer, both allocated and unallocated, so that final interest calculation is accurate and can be used in relevant processes.  _x000D_
_x000D_
*Introduction*_x000D_
This feature was originally introduced for SKV implementation of Reimbursement Interest in [https://jira.intrasoft-intl.com/browse/IRM-15910] the credits from Bill segments are considered in the calculations. To complete this interest calculation, system needs to consider all payment segments as well. _x000D_
_x000D_
Moving forward for the implemetation of the Tax Account in Northern countries but also for other implementations, in order to calculate interest accurately all payment segments, allocated and unallocated needs to be considered.  _x000D_
_x000D_
Update the existing CREDIT_INT PI (Penalty &amp; Interest) rule to calculate reimbursement interest on credit unallocated payment segments for tax account scenarios, ensures taxpayers receive proper interest on all credit amounts._x000D_
_x000D_
Currently, the system calculates interest only on bill segment balances. However, when for example liability amendments occur (e.g., reducing a VAT liability from €100 to €80 after a €100 payment has been made), the resulting €20 credit unallocated payment segment does not accrue interest in favor of the taxpayer. This creates an unfair situation where taxpayer funds held by the tax authority do not earn the required interest. _x000D_
_x000D_
To enhance understanding of this feature and facilitate analysis tasks please find below a business example as well as business cases where Solon Tax results in unallocated payment segments._x000D_
_x000D_
*System Requirements*_x000D_
 * PI Rule Enhancement: Rule Code = CREDIT_INT (Reimbursement Interest Rule) Enhancement: Update calculation logic to include credit unallocated payment segments (next to credits on bill segments that is already implemented). _x000D_
_x000D_
*Business Example*_x000D_
_x000D_
&gt; Initial State:_x000D_
_x000D_
VAT Liability: €100 (debit)_x000D_
_x000D_
Payment Made: €100 (credit)_x000D_
_x000D_
Result: Liability fully paid, balance = €0_x000D_
_x000D_
&gt; After Amendment:_x000D_
_x000D_
Amendment: VAT liability reduced by €20 (becomes €80)_x000D_
_x000D_
Payment Remains: €100 (unchanged)_x000D_
_x000D_
Result: €20 credit unallocated payment segment_x000D_
_x000D_
_Current Behavior:__x000D_
_x000D_
Interest calculated only on bill segment balances, thus €20 credit unallocated payment segment earns no interest_x000D_
_x000D_
_Required Behavior:__x000D_
_x000D_
Interest calculated on bill segment balances AND credit unallocated payment segments, thus €20 credit unallocated payment segment earns monthly interest in favor of taxpayer_x000D_
_x000D_
 _x000D_
_x000D_
*Example Business Cases resulting in Unallocated Payment Segments*_x000D_
 # Payment Suspense Scenarios, where for example invalid reference number results to a payment that cannot be allocated to a specific party role._x000D_
 # Payment File Processing Errors during automated payment file processing due to for example corrupted payment data or reference number mismatch._x000D_
 # Insufficient liability balance for full allocation as per the business example above. _x000D_
 # Payment Event State Transitions, when for example re-opening completed payment events where original segments need to be cancelled or payment event re-distribution scenarios requiring segment reallocation. _x000D_
_x000D_
*Documentation*_x000D_
Document all the above adjustments for penalty and interest rule "CREDIT_INT". _x000D_
_x000D_
 _x000D_
_x000D_
*Non functional requirements*_x000D_
Performance , Security, Traceability, Accessibility, Usability  DODs should be fulfilled. </t>
  </si>
  <si>
    <t>Enhance credit interest calculation to include unallocated payment segments, so as to provide an accurate interest calculation. </t>
  </si>
  <si>
    <t>Calculate *credit* / reimbursement interest for *unallocated credits on a payment segment* (next to credits on bill segments that is already implemented).</t>
  </si>
  <si>
    <t>Reference Implemenation - VAT (2026)</t>
  </si>
  <si>
    <t>As a revenue officer, I would like to add debts and payments to a tax account, so that I am able to demo how Solon supports a VAT account (i.e., Tax Account only for VAT)._x000D_
_x000D_
*Introduction* _x000D_
_x000D_
This feature aims to create the necessary configuration for a Tax Account reference imp[lementation. The Overview of the Tax Account that is needed in all implementations using a Tax Account is in scope of feature ... _x000D_
_x000D_
*Functional Requirements*_x000D_
_x000D_
*Core Configuration Requirements*_x000D_
 # *Revenue Type Configuration*_x000D_
_x000D_
 * *"VAT for Tax Account" Revenue Type* with flags:_x000D_
 * taxAccount: true - Enable tax account functionality_x000D_
 * reconciliationPeriod: true - Enable reconciliation period support_x000D_
_x000D_
 * {*}Revenue Type Category{*}: PERIODIC_x000D_
 * {*}Revenue Type Actions{*}: FILING, PAYMENT_x000D_
 * {*}Calendar Integration{*}: Link to appropriate revenue calendars{*}{{*}}_x000D_
_x000D_
 _x000D_
 * *"VAT for Tax Account Ad hoc" Revenue Type* with flags:_x000D_
_x000D_
 * _x000D_
 ** taxAccount: true - Enable tax account functionality_x000D_
 ** reconciliationPeriod: true - Enable reconciliation period support_x000D_
_x000D_
 * {*}Revenue Type Category{*}: Ad Hoc_x000D_
 * {*}Revenue Type Actions{*}: PAYMENT_x000D_
_x000D_
 _x000D_
 # *Reconciliation Period Management*_x000D_
_x000D_
 * *Reconciliation Period Entity* configuration with:_x000D_
 * Period codes (e.g., "2024M1", "2024M2")_x000D_
 * Start and end dates for each period_x000D_
 * Active/Inactive status management_x000D_
_x000D_
 * *Revenue Type Registration Reconciliation Period* linking:_x000D_
 * Opening and closing balances per period_x000D_
 * Party informed indicator_x000D_
_x000D_
 # *Financial Transaction-Reconciliation period*_x000D_
_x000D_
 * {*}FT Reconciliation Period Link{*}: Enable FTs to reference reconciliation periods_x000D_
 * {*}Automatic Period Assignment{*}: Link FTs to reconciliation periods based on creation date_x000D_
 * {*}Validation Rules{*}: Ensure only revenue types with reconciliationPeriod: true can link to periods_x000D_
_x000D_
 # *Tax Account UI Configuration*_x000D_
_x000D_
 * {*}Specialized UI Schema{*}: entitySubType: 'TaxAcc_RP' for Revenue Type Registration_x000D_
 * {*}Balance Display{*}: Show opening/closing balances per reconciliation period_x000D_
 * {*}Period Timeline{*}: Visual representation of reconciliation periods_x000D_
 * {*}Balance Update Interface{*}: Enable manual balance adjustments with audit trail_x000D_
_x000D_
*Business Process Requirements*_x000D_
 # *Balance Management*_x000D_
_x000D_
 * {*}Opening Balance Recording{*}: Support initial balance entry per reconciliation period_x000D_
 * {*}Closing Balance Calculation{*}: Automatic calculation based on transactions and adjustments_x000D_
 * {*}Balance Transfer{*}: Opening balance of next period equals closing balance of previous period_x000D_
 * {*}Manual Adjustments{*}: Allow authorized balance corrections with proper validation_x000D_
_x000D_
 # *Debt and Payment Processing*_x000D_
_x000D_
 * {*}Debt Recording{*}: Create financial transactions for VAT liabilities_x000D_
 * {*}Payment Processing{*}: Record and allocate VAT payments to specific periods_x000D_
 * {*}Cross-Period Allocation{*}: Support payment allocation across multiple reconciliation periods_x000D_
 * {*}Interest and Penalty Calculation{*}: Apply to overdue amounts per period_x000D_
_x000D_
 _x000D_
_x000D_
*Documentation*_x000D_
Document all the above configuration for introducing a reference implementation for the Tax Account is vital for Demos and future implementation needs. _x000D_
_x000D_
 _x000D_
_x000D_
 </t>
  </si>
  <si>
    <t>By enhancing Solon Tax with a reference implementation for VAT Tax Account functionality, we will enable revenue officers to efficiently manage VAT debts and payments through reconciliation periods, providing a comprehensive demonstration of Solon Tax's capability to support requirements for VAT Tax Account.</t>
  </si>
  <si>
    <t>• Revenue Type VAT is configured with both taxAccount and reconciliationPeriod flags enabled_x000D_
• Reconciliation periods can be created, updated, and linked to VAT revenue type registrations_x000D_
• Financial transactions automatically link to appropriate reconciliation periods based on creation date_x000D_
• Opening and closing balances can be recorded and maintained per reconciliation period_x000D_
• Tax Account UI displays comprehensive period timeline with balance information_x000D_
• Revenue officers can add debts (assessments) and record payments against specific reconciliation periods_x000D_
• Balance calculations are accurate across period boundaries_x000D_
• Party informed status can be tracked and updated per reconciliation period_x000D_
• System validates that only reconciliation-period-enabled revenue types support period functionality_x000D_
• Audit trail captures all balance changes and period-related activities_x000D_
_x000D_
Documentation on the configuration guide for the necessary configuration needed to have the reference implementation of the Tax Account up and running. </t>
  </si>
  <si>
    <t>As a RM User, I would like to see a warning when I fill in intracommunity transaction fields in the VAT Return Form, so that I am informed of my obligations to submit the corresponding VIES Statement in the respective deadline._x000D_
_x000D_
*Introduction* _x000D_
_x000D_
This feature enhances the VAT Return Form by implementing a warning mechanism for intracommunity transactions. The enhancement includes field label corrections to enhance understanding of these fields and a business-critical warning to ensure taxpayers comply with VIES Statement submission requirements. _x000D_
_x000D_
 _x000D_
_x000D_
*Functional Requirements*_x000D_
_x000D_
*Field Label Corrections*_x000D_
The following field labels in the VAT Return Form will be renamed to accurately reflect their purpose:_x000D_
_x000D_
VAT on Sales Section:_x000D_
_x000D_
TOTAL SALES BUYER OBLIGATED → Intracommunity Sales_x000D_
TOTAL SALES BUYER NOT OBLIGATED → Intracommunity Sales without VAT_x000D_
VAT on Purchases Section:_x000D_
_x000D_
TOTAL PURCHASES BUYER OBLIGED FOR VAT → Intracommunity Purchases_x000D_
TOTAL PURCHASES BUYER NOT OBLIGED FOR VAT → Intracommunity Purchases without VAT_x000D_
_x000D_
_x000D_
_x000D_
*Warning Implementation*_x000D_
When any of the intracommunity transaction fields contain values, the system shall display a warning message:_x000D_
_x000D_
Warning Message:_x000D_
_x000D_
"For these transactions, in addition to the VAT return, you are required to submit the corresponding *VIES Statement* by the 25th day of the following month."_x000D_
_x000D_
Warning Behavior:_x000D_
 * Warning appears when any intracommunity field has a non-zero value_x000D_
 * User can proceed with form submission despite the warning_x000D_
 * Warning persists until form is submitted or fields are cleared</t>
  </si>
  <si>
    <t>This enhancement aims to showcase an example of Solon Tax capability for warnings. Business case aims to reduce taxpayer compliance errors by providing clear field labeling and proactive warnings about VIES Statement obligations.</t>
  </si>
  <si>
    <t>h3. Field Label Updates_x000D_
_x000D_
All four intracommunity transaction fields display updated labels as specified below: _x000D_
_x000D_
VAT on Sales Section:_x000D_
_x000D_
{{TOTAL SALES BUYER OBLIGATED}} → *{{Intracommunity Sales}}*_x000D_
_x000D_
{{TOTAL SALES BUYER NOT OBLIGATED}} → *{{Intracommunity Sales without VAT}}*_x000D_
VAT on Purchases Section:_x000D_
_x000D_
{{TOTAL PURCHASES BUYER OBLIGED FOR VAT}} → *{{Intracommunity Purchases}}*_x000D_
_x000D_
{{TOTAL PURCHASES BUYER NOT OBLIGED FOR VAT}} → *{{Intracommunity Purchases without VAT}}*_x000D_
 * Labels are consistent across all form views (edit, read-only, validation)_x000D_
 * Field functionality remains unchanged - only labels are updated_x000D_
_x000D_
h3. Warning Implementation_x000D_
_x000D_
When any of the intracommunity transaction fields contain values, the system shall display a warning message:_x000D_
_x000D_
*Warning Message:*_x000D_
{quote}"For these transactions, in addition to the VAT return, you are required to submit the corresponding *VIES Statement* by the 25th day of the following month."_x000D_
{quote}_x000D_
h3. Warning Display Logic_x000D_
 * Warning appears when any intracommunity field (Amount or Adjustment) contains non-zero values_x000D_
 * Warning message displays the exact text specified above with "{*}VIES Statement{*}" in bold_x000D_
 * Warning is classified as a warning (not error) allowing form submission to proceed_x000D_
 * No impact on existing form functionality or performance_x000D_
_x000D_
h3. Warning Persistence_x000D_
 * Warning remains visible throughout form editing session_x000D_
 * Warning disappears when all intracommunity fields are cleared/set to zero_x000D_
 * Warning does not prevent form validation, saving, or submission_x000D_
_x000D_
h3. User Experience_x000D_
 * Warning appears in the standard warning notification area_x000D_
 * Warning uses appropriate warning styling (amber/yellow color scheme)_x000D_
 * Warning includes appropriate warning icon_x000D_
 * Warning message is clearly readable and professionally formatted</t>
  </si>
  <si>
    <t>Reference Implementation - PAYE (2026)</t>
  </si>
  <si>
    <t> _x000D_
_x000D_
*A)  PIT  form (RM, ISS)*  prerequisites :  _x000D_
 * _x000D_
 ** [https://jira.intrasoft-intl.com/browse/IRM-16272]_x000D_
 ** [https://jira.intrasoft-intl.com/browse/IRM-16273]_x000D_
 ** [https://jira.intrasoft-intl.com/browse/IRM-15337]_x000D_
 ** [https://jira.intrasoft-intl.com/browse/IRM-19256]_x000D_
_x000D_
*B) Pay as you earn logic* _x000D_
Reference Implementations including forms, calculations, demo data + possibly new entities (also included in registration new entities)_x000D_
 * _x000D_
 ** for 3rd parties / employer _x000D_
 *** _x000D_
 **** Create a new Form (or another solution )  for Tax Employee Services  (in GR one amount for all employees not drill down) /  Form for Yearly Payroll statement per employee (could be a log to each taxpayer with some details) to get the  amounts for the taxpayer  (withholding form) _x000D_
 **** Demo data RT calendar and RT (preliminary and monthly collection) _x000D_
 **** Calculations for estimations /Preliminary  tax assessments_x000D_
 **** Payments per RTR _x000D_
 **** Prepare the functionality to get  Amendments based on new calculations_x000D_
 **** Payments reconciliation (what we have already) _x000D_
 ** Taxpayer_x000D_
 *** _x000D_
 **** Capture the data per taxpayer (possibly new entity)_x000D_
 **** Load taxes info in the PIT form for each taxpayer (Batch)_x000D_
 **** Notifications for Amendments postdated updates-  if there has been a retrospective change in the data and parameters that affect the tax calculation (implemented as example in Municipality tax)_x000D_
_x000D_
 - _x000D_
 ** _x000D_
 *** _x000D_
 ---- SS :  Preliminary assessment  notice for Taxpayer_x000D_
 ---- SS :  Prefilled PIT form  (see above) _x000D_
 ---- SS : Taxpayer Objection to PIT_x000D_
_x000D_
*C) Monthly and yearly Processing*_x000D_
 - Perform a comprehensive processing of all parties/party roles once a month (monthly reconciliation) including complex calculation areas (e.g.  p&amp;I,  calculate balances, etc)._x000D_
 - Perform comprehensive reconciliations in scheduled times for all taxpayers in the tax year at the time of the final tax assessment for several taxes.</t>
  </si>
  <si>
    <t>Reference Implementation - CIT (2026)</t>
  </si>
  <si>
    <t>As an ICARUS Self Service user, I want to submit a CIT Return form that captures all necessary Information needed to create a tax assessment for CIT.
*Prerequisites*
 An entity should be:
 1. Registered in IRM System, thus have a TIN
 2. Registered for CIT in IRM
 prior to submit a CIT return form.
The following *actions* should be available in ICARUS Self Service: 
 1. Open a CIT Return form, from the list of existing filing obligations.
 2. Create a CIT Return form and save it as a draft. User should be able to open the draft at a later point and proceed with editing.
 3. Print a CIT Return form in a PDF format should be available.
 4. Submit a CIT Return form to the back-end system.
5. Taxpayer should be able to see the submission date ie the date the form was submitted to the revenue authority. 
6. Taxpayer should be able to see a unique form reference number.
The following *validations* on the CIT Return form should be available in ICARUS Self Service. Note that these are only sample validation rules since these may differentiate per country:
 # In Section "Filing Period Details" Fields "Filing Period Start and End Dates" create a validation for filing period based on the filing frequency defined to verify the period selected is complaint. Ex. If filing frequency is annual then 12 month period should be selected.
 # In Section "Filing Period Details" Field "If you do not have to complete ... please tick this box" create a validation when this field is selected then remaining input amount sections to calculate CIT should not be available to edit. Tax amount for this period should be set to zero. 
 # In Section "Net Income" only fields "Returns and Allowances, Cost of Goods Sold, Depreciation and Amortization" should be allowed to accept negative values (Zero value should be allowed). 
 # In Section "Final Tax Assessment"when field "Other Adjustments" has a value different than zero then Attachment Category "Miscellaneous related attachments" should be required prior submitting the form.</t>
  </si>
  <si>
    <t>Submit a CIT Return on ICARUS Self Service</t>
  </si>
  <si>
    <t>Type</t>
  </si>
  <si>
    <t>Corrective Maintenance (2026)</t>
  </si>
  <si>
    <t>Demo Environment (2026)</t>
  </si>
  <si>
    <t>Notification Management Enhancements (2026)</t>
  </si>
  <si>
    <t>Payment Processing Enhancements(2026)</t>
  </si>
  <si>
    <t>Presales Support (2026)</t>
  </si>
  <si>
    <t>Preventive Maintenance (2026)</t>
  </si>
  <si>
    <t>Project Support (2026)</t>
  </si>
  <si>
    <t>Release Activities (2026)</t>
  </si>
  <si>
    <t>Task Management Enhancements (2026)</t>
  </si>
  <si>
    <t>Taxpayer 360 Degree View incl. Alerts Enhancements (2026)</t>
  </si>
  <si>
    <t>Batch Processing (2026)</t>
  </si>
  <si>
    <t>Reference Implementation - VAT (2026)</t>
  </si>
  <si>
    <t>Enriched Jira Features.Summary</t>
  </si>
  <si>
    <t>Enriched Jira Features.Description</t>
  </si>
  <si>
    <t>Enriched Jira Features.Benefit Hypothesis</t>
  </si>
  <si>
    <t>Enriched Jira Features.Acceptance Criteria</t>
  </si>
  <si>
    <t>GR,TshirtSize_XXL,pi28_candidate,pi28_p1</t>
  </si>
  <si>
    <t>GR,PI27_leftover,SELF_SERVICE_SERVICES_MANAGEMENT,pi28_candidate,pi28_p1</t>
  </si>
  <si>
    <t>GR,Generic,LOCALIZATION,MVP,TshirtSize_M,pi28_candidate,pi28_p1</t>
  </si>
  <si>
    <t>IRM-20399</t>
  </si>
  <si>
    <t>PenTest - Harden API requests with expression patterns allowed</t>
  </si>
  <si>
    <t>2024-09-18T12:02:45.000+0300</t>
  </si>
  <si>
    <t>pi25_candidate,pi25_p3,pi26_candidate,pi26_p2,pi27_candidate,pi28_candidate</t>
  </si>
  <si>
    <t>IRM-27731</t>
  </si>
  <si>
    <t>Augment additional Guidelines for items not covered in template (Spring/Spring Boot/Kafka etc)</t>
  </si>
  <si>
    <t>2025-06-23T14:48:58.000+0300</t>
  </si>
  <si>
    <t>AppSec,Documentation,pi26_candidate,pi27_candidate,pi27_p3,pi28_candidate</t>
  </si>
  <si>
    <t>IRM-27733</t>
  </si>
  <si>
    <t>Enforce applicable guidelines in CI</t>
  </si>
  <si>
    <t>2025-06-23T15:28:06.000+0300</t>
  </si>
  <si>
    <t>Documentation,pi26_candidate,pi27_candidate,pi27_p3,pi28_candidate</t>
  </si>
  <si>
    <t>*A) GL Decision Line Volume Support*_x000D_
 * Decision rule sheets must support modern XLSX row limits (1,048,576+ rows), not legacy XLS limits (65,536 rows)._x000D_
_x000D_
*B) Split GL Decision Tables Across Multiple Sheets or Files*_x000D_
 * As an admin/configurator, I must be able to define and use more than one spreadsheet or files for GL Decision Tables._x000D_
 * Splitting must be rule-driven and configurable._x000D_
_x000D_
*C) Rule Evaluation Mechanism*_x000D_
_x000D_
The system must determine which spreadsheet(s) or file(s) to read based on configured split rules._x000D_
_x000D_
*D)   Reference Implementation Split Strategies (Examples)*_x000D_
as described in functional requirements_x000D_
_x000D_
*E) Customers are able to use custom in process implementation*_x000D_
be able to adjust a custom implementation in process to run in order  to create journal entries.</t>
  </si>
  <si>
    <t>GR,GR_Early_C,GR_Early_D,IRM:PI27S01_start,IRM:PI27S04_end,IRM:PI27S05_end,MVP,SELF_SERVICE_SERVICES_MANAGEMENT,TshirtSize_XL,add_in_notes,pi26_candidate,pi26_p3,pi27_candidate,pi27_p1,ready</t>
  </si>
  <si>
    <t>IRM-30525</t>
  </si>
  <si>
    <t>Training environment</t>
  </si>
  <si>
    <t>2025-10-10T17:42:54.000+0300</t>
  </si>
  <si>
    <t>MVP,TshirtSize_XL,other</t>
  </si>
  <si>
    <t>IRM-30526</t>
  </si>
  <si>
    <t>Training material and courses</t>
  </si>
  <si>
    <t>2025-10-10T17:45:46.000+0300</t>
  </si>
  <si>
    <t>MVP,TshirtSize_L,other</t>
  </si>
  <si>
    <t>IRM-30635</t>
  </si>
  <si>
    <t xml:space="preserve">SOLON TAX Application Security Core Enablement </t>
  </si>
  <si>
    <t>2025-10-15T22:19:52.000+0300</t>
  </si>
  <si>
    <t>AppSec,Roadmap2026</t>
  </si>
  <si>
    <t>IRM-30636</t>
  </si>
  <si>
    <t>SOLONTAX Supply Chain Security Enablement</t>
  </si>
  <si>
    <t>2025-10-15T23:04:01.000+0300</t>
  </si>
  <si>
    <t>IRM-30639</t>
  </si>
  <si>
    <t>Horizontal Security Controls Design Specification &amp; Documentation</t>
  </si>
  <si>
    <t>2025-10-16T10:22:13.000+0300</t>
  </si>
  <si>
    <t>IRM-34706</t>
  </si>
  <si>
    <t>PI27 DevOps Release and Environment Support</t>
  </si>
  <si>
    <t>2026-01-22T09:50:27.000+0200</t>
  </si>
  <si>
    <t>FATnottestable,IATnottestable,No_Doc,pi27_candidate,pi27_p1</t>
  </si>
  <si>
    <t>IRM-35280</t>
  </si>
  <si>
    <t>PI27 DevOPs Meetings and Training</t>
  </si>
  <si>
    <t>2026-01-29T11:10:57.000+0200</t>
  </si>
  <si>
    <t>IRM-35281</t>
  </si>
  <si>
    <t>PI27 DevOps - Infrastructure and Maintenance activities</t>
  </si>
  <si>
    <t>2026-01-29T11:29:31.000+0200</t>
  </si>
  <si>
    <t>IRM-35282</t>
  </si>
  <si>
    <t>PI27 DevOps Cluster Upgrades</t>
  </si>
  <si>
    <t>2026-01-29T11:35:53.000+0200</t>
  </si>
  <si>
    <t>IRM-35283</t>
  </si>
  <si>
    <t>Pi27 DevOps Evolution</t>
  </si>
  <si>
    <t>2026-01-29T11:37:25.000+0200</t>
  </si>
  <si>
    <t>IRM-35519</t>
  </si>
  <si>
    <t>PI27 DBA Activities and Environment Support</t>
  </si>
  <si>
    <t>2026-02-02T12:26:16.000+0200</t>
  </si>
  <si>
    <t>GTM,TshirtSize_M,pi29_candidate,pi29_p1</t>
  </si>
  <si>
    <t>As a revenue officer, I want to have an overview of the financial transactions for a revenue type registration that represents a tax account, so that I can see an aggregated, holistic and coherent representation of the financial data of the the tax account in a specificied reconciliation period. _x000D_
_x000D_
*Introduction*_x000D_
_x000D_
This feature describes the functional business requirements for a new single taxpayer overview page within Solon Tax, named the "Tax Account Overview". This new feature will introduce a period-centric overview. It will aggregate and present all financial transactions (FTs) related to a selected _reconciliation period(s)_ for a given revenue type registration, providing an immediate, consolidated view of that period's financial status. _x000D_
_x000D_
The purpose of this page is to provide a consolidated view of all Financial Transactions (FTs) associated with a specific reconciliation period for a taxpayer's Tax Account._x000D_
_x000D_
Currently, while Solon Tax supports the concept of a Tax Account ({{{}Skattekonto{}}}) and links Financial Transactions to reconciliation periods, there is no dedicated user interface that presents this information in a single, easily accessible view. This feature will bridge that gap, improving visibility and efficiency for Revenue Authority users managing these accounts._x000D_
_x000D_
As a reference countries that "Tax Account" is most prevalent in Europe, particularly in Scandinavia and the Nordics, which are global leaders in e-government. _x000D_
_x000D_
Currently implementation exists for the "Single Taxpayer Overview" pages, often refered to as 360 View, where a "Taxpayer Financial Overview" exists and can be used as reference. Particularly the last accordion of this page referred as " Financial Details per Financial Transaction". This is a page where all financial transactions for all revenue types are displayed and not only Tax Account that is the scope of this feature. _x000D_
_x000D_
*Functional Requirements*_x000D_
h4. Navigation_x000D_
_x000D_
A new redirect link shall be introduced on the *Revenue Type Registration (RTR)* page._x000D_
 * This link shall only be visible for RTRs that are configured as a "Tax Account" (i.e., where the {{isTaxAccount}} flag on the associated Revenue Type is true)._x000D_
 * The link will navigate the user to the new "Tax Account Overview" page, passing the context of the current RTR and the selected reconciliation period._x000D_
 * Assumption is that the existing link from the party role will continue to function as is with the additional view in scope of this feature for the Tax Account. _x000D_
_x000D_
h4. Page Content and Layout_x000D_
_x000D_
The "Tax Account Overview" page will contain the following elements:_x000D_
 * *Filters:* User should be able to filter the following information:_x000D_
_x000D_
 * _x000D_
 ** Reconciliation Period Filter_x000D_
 ** From: 01/01/2026 _x000D_
 ** To: 31/01/2026 or To: 31/03/2026, meaning more than one reconciliation periods can be selected. _x000D_
_x000D_
 _x000D_
 * *"Update P&amp;I" Button:* User should be able to see and select the "Update P&amp;I" button where he/she can enter the "RECALCULATEFROMDATE" to run Penalty &amp; Interest. _x000D_
_x000D_
 * *Financial Transactions Table:* A table displaying all Financial Transactions linked to the selected reconciliation period for the given Tax Account. The table should be read-only and provide standard functionalities like sorting, pagination and Column Configurator. The table should start with an opening balance for the period selected and end with the closing balance. _x000D_
_x000D_
Opening Balance of a period should be equal to the closing balance of the previous period. Opening balance should be the running balance of all financial transactions prior to date from selected in the filters. _x000D_
_x000D_
Closing Balance of a period is the running balance and should be equal to the Opening of that period plus any financial transaction related to that period such as debts, payments (both allocated and unallocated), interests, write offs, refunds... _x000D_
_x000D_
Available Columns (data) for FTs should be:  _x000D_
 * Creation Date_x000D_
 * Effective Date (eg. Period Reference - Period the debt/payment refers to)_x000D_
 * Accounting Date _x000D_
 * Origin _x000D_
 * FT ID_x000D_
 * Revenue Type _x000D_
 * FT Type _x000D_
 * Posting Reason_x000D_
 * Liability Balance _x000D_
 * Running Balance_x000D_
_x000D_
Please refer to the attached example_updated for a comprehensive view of the Tax Account Overview page._x000D_
h3. Assumptions &amp; Dependencies_x000D_
 * The Revenue Type entity has a configurable attribute to designate it as a "Tax Account."_x000D_
 * The Financial Transaction entity has an attribute ({{{}reconciliationPeriodCode{}}}) to link it to a specific Reconciliation Period._x000D_
_x000D_
*Key features highlighted in this view:*_x000D_
 * *Opening Balance:* The view starts with the "Opening Balance" showing the tax account's debt from before the selected period._x000D_
 * *Running Balance:* A column shows the balance after every single transaction, which is crucial for analysis._x000D_
 * *Detailed Descriptions:* Transactions are clearly labeled (e.g., "Payroll Tax Assessment," "Payment Received")._x000D_
 * *Period Reference:* A column links a transaction back to the original tax period it relates to (e.g., Q4-2025), which is vital for an officer's investigation._x000D_
_x000D_
 _x000D_
_x000D_
*Non functional requirements*_x000D_
It is expected team to get aligned with respective teams and reassure that is not creating issues or the related NFRs will be tested :_x000D_
Performance , Security, Accessibility, Usability _x000D_
DODs should be fulfilled._x000D_
_x000D_
More over related to performance the team is expected to provide a solution on how the opening balance will be retrieved considering all past debts. Note that past debts may be related to periods, that may differ per revenue authority, for the last 10 years for example. </t>
  </si>
  <si>
    <t>* When I am on a revenue type registration for a Tax Account, I can see and click a "View Tax Account Overview" link for that RTR, more details specified in the functional requirements._x000D_
 * After clicking the link, I am navigated to a new page titled "Tax Account Overview" for that Tax Account._x000D_
 * As a User I am able to filter the from and to reconciliation periods I am interested to see financial transactions for, more details specified in the functional requirements. _x000D_
 * User should be able to see in the UI a Table with financial transactions is updated with an opening and closing balance as per attached example_updated and functional requirements in this feature, more details specified in the functional requirements._x000D_
 * User should be able to see and select the "Update P&amp;I" button where he/she can enter the "RECALCULATEFROMDATE" to run Penalty &amp; Interest. </t>
  </si>
  <si>
    <t>IRM-39515</t>
  </si>
  <si>
    <t>Tooling | Internal Documents Review Process - DRAFT MR</t>
  </si>
  <si>
    <t>2026-03-22T16:24:03.000+0200</t>
  </si>
  <si>
    <t>NC_Methodology_Tooling,process</t>
  </si>
  <si>
    <t>Export Code List</t>
  </si>
  <si>
    <t>IRM-40987</t>
  </si>
  <si>
    <t>Amplio Batch - Java foundation 4.0</t>
  </si>
  <si>
    <t>IRM-41013</t>
  </si>
  <si>
    <t>IRM-41015</t>
  </si>
  <si>
    <t>Improvements / Challenges - (Current PI28)</t>
  </si>
  <si>
    <t>IRM-41016</t>
  </si>
  <si>
    <t>GR,REFERENCE_DATA,TshirtSize_M,pi27_candidate,pi29_candidate</t>
  </si>
  <si>
    <t>As an admin, I want to import information for one or more code lists, so that this information can be used to add or update these code lists and their related code list items._x000D_
_x000D_
*Functional Requirements*_x000D_
 * Admin can select a file that contains structured information (e.g. in XML format) on one or more code lists and their related code list items. The file structure will be available in the Solon documentation. _x000D_
 * Admin can upload the information from the selected file. _x000D_
Assumption is that admin can by uploading the file add new code lists and their related code list items, add a new code list item to an existing code list, and add or update new data pertaining an existing code list or code list item except for any data that uniquely identifies this code list or code list item. _x000D_
Assumption that admin cannot by uploading the file delete any code lists or code list items._x000D_
 * Admin can see that the information from the selected file was used to add or update the code lists and their related code list items for which information was included in the selected file._x000D_
 * UI: Admin may access controls to upload an codelist with codelist items  with attributes and relationships._x000D_
 * Exceptions will be thrown if upload cannot be successfully completed with error descriptions. _x000D_
(non available related item, non available attribute, wrong expiration dates) </t>
  </si>
  <si>
    <t>As an admin or user with proper permissions, I want to export the information of a specific code list and its related code list items, so that this information can be edited or used in another tool._x000D_
_x000D_
*Functional Requirements*_x000D_
 * Admin can choose to download the information of a specific code list and its related code list items in a structured format (e.g. using XML, csv, xls) , in selected language. _x000D_
Will contain information with codes and descriptions (where applicable) for  : _x000D_
 ** Codelist  , related categories and attributes_x000D_
 ** Codelist Items  with columns_x000D_
a) Code,  b) Description, c) Order,   d)Attributes and attribute values, _x000D_
e) Related codelist items in category cross (with codelist-s related info) (codelist code, description , codelist item code description) , _x000D_
f)   related codelist items within codelist _x000D_
 * Admin can provide a name for the file in which the information must be stored and can indicate in what folder this file should be saved_x000D_
 * Admin can see that a file with the information for that specific code list and its related code list items was created after the download was completed._x000D_
 * UI: User may see controls to export codelist in common codelist UI page. and in codelists list view._x000D_
_x000D_
 _x000D_
_x000D_
*Documentation*_x000D_
Document all the above adjustments. _x000D_
_x000D_
 _x000D_
_x000D_
*Non functional requirements*_x000D_
Performance , Security, Accessibility, Usability  DODs should be fulfilled. </t>
  </si>
  <si>
    <t>* Admin can choose to download the information of a specific code list and its related code list items in a structured format (e.g. using XML, csv, xls) , in selected language. _x000D_
Will contain information with codes and descriptions (where applicable) for  : _x000D_
 ** Codelist  , related categories and attributes_x000D_
 ** Codelist Items  with columns_x000D_
a) Code,  b) Description, c) Order,   d)Attributes and attribute values,_x000D_
e) Related codelist items in category cross (with codelist-s related info) (codelist code, description , codelist item code description) ,_x000D_
f)   related codelist items within codelist _x000D_
 * Admin can provide a name for the file in which the information must be stored and can indicate in what folder this file should be saved_x000D_
 * Admin can see that a file with the information for that specific code list and its related code list items was created after the download was completed._x000D_
 * UI: User may see controls to export codelist in common codelist UI page. and in codelists list view._x000D_
_x000D_
 </t>
  </si>
  <si>
    <t>As an administrator responsible for configuring the GL Decision Table (Accountant table), iI need to support the extensibility of the solution. _x000D_
I need to introduce additional parameters that control how GL accounts are split across multiple files or tables. This is required to support very high volumes of decision lines and complex business rules._x000D_
I need to allow custom adapters to be used on how rules are created and selected to generate journal entries. _x000D_
_x000D_
These parameters will allow the system to efficiently handle hundreds of special cases, reduce the size and complexity of individual GL decision tables, and improve maintainability by splitting configurations into multiple, logically grouped records. _x000D_
_x000D_
A realistic number of GL decision lines with the assumption that legacy GLs will be removed from time to time, is 200.000 lines_x000D_
_x000D_
 _x000D_
_x000D_
*Functional Requirements* _x000D_
_x000D_
_x000D_
+*1.* Some suggestions on how to support high volumes of rules:+ _x000D_
_x000D_
*A) GL Decision Line Volume Support*_x000D_
 * Decision rule sheets must support modern XLSX row limits (1,048,576+ rows), not legacy XLS limits (65,536 rows)._x000D_
 * The system should support the use of multiple decision lines per transaction (multi-lines), where applicable._x000D_
_x000D_
*B) Split GL Decision Tables Across Multiple Sheets or Files*_x000D_
 * As an admin/configurator, I must be able to define and use more than one spreadsheet or files for GL Decision Tables._x000D_
 * Splitting must be rule-driven and configurable._x000D_
_x000D_
*C) Rule Evaluation Mechanism*_x000D_
_x000D_
The system must determine which spreadsheet(s) to read based on configured split rules._x000D_
One FT may require reading:_x000D_
_x000D_
A single sheet, or Multiple sheets, depending on customer-defined configuration._x000D_
Rule evaluation must be deterministic and transparent (traceable which sheets were evaluated)._x000D_
_x000D_
 _x000D_
_x000D_
*D)   Reference Implementation Split Strategies (Examples)*_x000D_
 * The system should support splitting GL decision tables based on configurable parameters, such as FT Origin, RTR relation with Claimants etc: _x000D_
 ** Segment type of Origin  of Financial transactions (ft_origin_cl) , splitting spreadsheets for Bill segments, Payment segments, Allocation Segments. _x000D_
One sheet for Segment type = Bill segment, one for Payment Segments, one Allocation Segments_x000D_
 ** If Claimant related (if the revenue type registration is related to a claimant) _x000D_
Use a dedicated spreadsheet containing claimant-specific GL mappings._x000D_
i.e., If a revenue type is related to a specific claimant, the system reads only the claimant-specific sheet._x000D_
 ** The revenue type, Domain_x000D_
Certification-related mappings in one sheet. _x000D_
All other revenue/tax types in separate sheets._x000D_
Additional Parameters as reference implementation in GL Decision Table [https://jira.intrasoft-intl.com/browse/IRM-37721] _x000D_
 ** Considerations : Customers may also add a rule, to read for every FT,  2 or more sheets,  as the rules sheet may split per Ledger.   (The system reads from two or more sheets per FT, e.g. one per Ledger.) _x000D_
Other cases may include parameters to split on segment type category/subcategory or revenue type details and some of these details may be also captured in data areas._x000D_
_x000D_
_x000D_
+2. Expandability+_x000D_
_x000D_
*E) Customers are able to use custom in process implementation*_x000D_
Be able to adjust a custom implementation in process to run in order  to create journal entries. Interface (as in allocation) to feed the results in Solon Journal entries_x000D_
_x000D_
 _x000D_
_x000D_
*Documentation*_x000D_
_x000D_
All configuration options, split strategies, and rule evaluation logic must be fully documented._x000D_
_x000D_
Documentation must include:_x000D_
 * Usage and Configuration examples_x000D_
 * Reference implementations_x000D_
 * Operational guidelines , Performance considerations_x000D_
_x000D_
*Non functional requirements*_x000D_
_x000D_
The solution must maintain or improve the product’s:_x000D_
_x000D_
*Performance* – large datasets and multi-sheet evaluation must not degrade processing times_x000D_
*Security* – no exposure of sensitive configuration data_x000D_
*Accessibility* – configuration screens and documentation must remain accessible_x000D_
*Usability* – splitting logic must be understandable and maintainable by admins_x000D_
Additionally:_x000D_
The team must collaborate with domain specialists to validate the above._x000D_
_x000D_
All Definition of Done ({*}DoD{*}) criteria must be met.</t>
  </si>
  <si>
    <t>BASED ON RELATED POC _x000D_
Tool to allow securely and via guided steps to allow a team to _x000D_
a) select elements to be deployed checking dependencies and conflicts_x000D_
b) packaging them_x000D_
c) selects destinations_x000D_
d) validating the actions_x000D_
e) deploy _x000D_
f)  be able to rollback</t>
  </si>
  <si>
    <t>TshirtSize_L,pi28_candidate,pi28_p1</t>
  </si>
  <si>
    <t>h2. Overview_x000D_
_x000D_
This initiative modernizes the Amplio batch processing system by enhancing maintainability, resilience, and operational flexibility. Building on learnings from the Lithuania project, the work focuses on refactoring existing batch jobs rather than creating new features._x000D_
h2. Key Objectives_x000D_
_x000D_
*Resilience &amp; Performance:*_x000D_
 * Isolate failures in payment file processing to prevent single invalid files from halting entire batches_x000D_
 * Implement chunk-based processing for Journal Entry Export to prevent OutOfMemoryError_x000D_
 * Optimize long-running queries to reduce application startup time (Penalty Interest Calculation)_x000D_
_x000D_
*Operational Flexibility:*_x000D_
 * Enable runtime parameters for batch jobs (Obligation Maintenance, Penalty Interest Calculation, Handover Debt, Journal Entry Export) replacing static environment variables_x000D_
 * Implement configuration-based job enable/disable mechanism synchronized with the database_x000D_
_x000D_
*Code Health:*_x000D_
 * Standardize project structure and package naming (replace {{...etl...}} with {{{}...batch.batchjob...{}}})_x000D_
 * Centralize duplicated configurations (Keycloak credentials, DataSource, FeignClient beans)_x000D_
 * Resolve artifact naming conflicts between batch and batch-custom projects_x000D_
 * Clean up redundant POM dependencies_x000D_
_x000D_
h2. Scope_x000D_
_x000D_
*In Scope:* Refactoring, optimization, and standardization of existing batch jobs and infrastructure *Out of Scope:* Framework upgrades, new business logic, UI changes, batch engine migration, new unit tests_x000D_
h2. Business Value_x000D_
 * Improved system resilience and reduced manual intervention_x000D_
 * Enhanced operational flexibility for administrators_x000D_
 * Faster application startup and deployment cycles_x000D_
 * Reduced technical debt and improved long-term maintainability_x000D_
 * More stable and secure codebase</t>
  </si>
  <si>
    <t>The system manages simultaneous record modifications through a  mechanism, ensuring consistent updates and providing users with confirmation on whether their commit was accepted._x000D_
_x000D_
As discussed:_x000D_
 * Data integrity is enforced via optimistic locking (version control)._x000D_
 * -UI locking is optional and only improves user experience  to reduce user conflicts. The system may implement a soft UI lock when a user enters edit mode.-_x000D_
 * Conflict handling strategy is required_x000D_
 * Retry policy for batch/BPMN is required_x000D_
_x000D_
(Notes _x000D_
 * *Optimistic locking* : no long-lived DB lock. Conflict detected when commit_x000D_
_x000D_
 * *Pessimistic locking* : record locked during editing_x000D_
) _x000D_
_x000D_
*Suggestion*_x000D_
_x000D_
Each Party record shall include a version attribute, incremented automatically upon every successful update. Before committing any update (UI, batch, workflow, or API), the system shall verify that the submitted version matches the current version stored in the database , or  Reject the transaction if the versions do not match._x000D_
_x000D_
The system shall verify that the *submitted version matches the current version* in the database._x000D_
_x000D_
{*}Mismatch{*}:_x000D_
 * The transaction is {*}rejected{*}. A message appears in Ui or an exception if thrown (for the caller)  explaining the concurrency conflict error._x000D_
{*}Message{*}: “This record was modified by another user. Please reload and review the latest data.”_x000D_
_x000D_
 * UI:  User must reload the record _x000D_
 * UI :  User may reapply changes and retry._x000D_
_x000D_
 * Batch / BPMN : Retry policy updates  (with a number of attends)_x000D_
 * Batch / BPMN : Reload latest version? _x000D_
 * Batch / BPMN : Log exception_x000D_
_x000D_
*Release mismatch*_x000D_
 * The user commits changes_x000D_
_x000D_
 * The user cancels editing_x000D_
_x000D_
 * The session times out  or by a configurable defined time out _x000D_
_x000D_
*Considerations:* _x000D_
Party record may be updated by more than one Forms and a batch process the same time.  (example: A form to update address and meanwhile an older action because of an asynchronous process or a bpmn waiting for an signal to continue to the next step) to update ID was proceeded) _x000D_
How long UI lock is valid? Could this version locked may be renewable after a refresh, cancelation, time  etc? _x000D_
What happens on browser crash?_x000D_
_x000D_
 _x000D_
_x000D_
!image-2026-02-17-14-08-31-993.png|width=929,height=477!!image-2026-02-17-14-09-26-503.png!_x000D_
_x000D_
*Documentation*_x000D_
Document all the above adjustments. _x000D_
_x000D_
 _x000D_
_x000D_
*Non functional requirements*_x000D_
It is expected to reassure that relevant NFRs (Performance , Security, Accessibility, Usability ) are tested and are not negatively affecting the product.  _x000D_
DODs should be fulfilled. </t>
  </si>
  <si>
    <t>As a revenue officer I need to be able to complete several Party details changes in the same date and system will allow this without effecting uniqueness and overlapping checks that are applied to Party and Party Role child entities with valid-from/valid-to periods._x000D_
_x000D_
The same logic must also apply when system determines which registry records are considered valid for a specific date (e.g., Today view in the UI or a historical date view)._x000D_
_x000D_
The solution should be able to support same day changes for : _x000D_
_x000D_
a) records with valid-from/valid-to dates are considered duplicated or overlapping._x000D_
b) primary records with valid-from/valid-to dates are considered duplicated._x000D_
c) The criteria used to determine which records are valid on a specific reference date (current date or historical date)._x000D_
_x000D_
Child objects to be considered : _x000D_
 * {color:#172b4d}Party role{color}_x000D_
 * {color:#172b4d}party_identifier, party_name{color}_x000D_
 * Party_state, party_address, party_contact ,Bank account  , Preferences,  party_classification, party additional details_x000D_
 * {color:#172b4d}party_role_relationship, asset_party_role_relationship, asset_to_asset_relationship, valuation , party role eligible states {color}_x000D_
_x000D_
Assumption : We assume that the error handing and the exceptions logged as well as the remaining uniqueness validations mechanisms are functional in the product for all registry entities. (Party , Party role, Claimant, User, Organ. Unit, Asset)_x000D_
_x000D_
 _x000D_
_x000D_
*Functional requirements*_x000D_
_x000D_
 _x000D_
_x000D_
*New Fields* _x000D_
 * For all the above mentioned Party child objects, Party , Party Role, add Optional fields _x000D_
Valid State? , Boolean _x000D_
State Reason, Free text _x000D_
 * Make fields searchable_x000D_
 * Make fields visible in the UI_x000D_
 * Make fields updatable as/where the Valid from /to fields are_x000D_
 * Move the information to relevant Party role sections (as Valid from/to) _x000D_
 * Default value of valid_state = true (e.g. when creating a record)_x000D_
 ** All existing records are migrated with valid_state = true_x000D_
 * (!)   Define if a record type should be checked for uniqueness or not _x000D_
Field: Check if unique?  /Boolean_x000D_
_x000D_
*Rules for Unique record check:*_x000D_
_x000D_
For the same record type (or per case additional filters are used, such as in Identifiers the country) _x000D_
If the record is flagged as Valid_x000D_
check  if the period is not overlapping other periods _x000D_
In case of end date = other records start date then the end date overlapping with other record start date is ignored. (i.e. only end date of one period is the same as the start date of another period, see bullet 4) _x000D_
 # If a record  flag Valid? = false : it is ignored during uniqueness checks and for primary checks._x000D_
 # If a record  flag CheckifUnique? = false : it is ignored during uniqueness checks and for primary checks.   (!)_x000D_
 # If a record Start date = End date= Y  , Flag Valid ? = true  : record is selected primary or considered proper entry for date Y   (primary set for start date Y,  if flagged as primary) _x000D_
 # If  Record 1 start date end = A  and end date = X  , valid = true_x000D_
and Record 2 start date = X , end date = B , valid = true_x000D_
both  flag Valid? = true ,  _x000D_
Then these records are not considered overlapping (although in current rule are consider overlapping). _x000D_
On date X, the valid record is Record2 (the record with start date X)_x000D_
Not the one with end date = X (Record 1)._x000D_
 # If Record1: start date is null , end date  = X  , valid = true_x000D_
Record2: start date  = X , end date  = null  , valid = true_x000D_
The record 2 is selected primary or the considered for date x _x000D_
 # If Record1: start date is null , end date  = null  , valid = true_x000D_
Record2: start date  = X , end date  = null   , valid = true_x000D_
 System will not allow this because of overlapping in other days (!)_x000D_
 # If two records of the same type, _x000D_
and both have Valid state = true, _x000D_
when their validity periods overlap (e.g. 5) , the system rejects the change due to overlapping validity periods. (!)_x000D_
 # A record is considered for date D when: _x000D_
valid state = true and _x000D_
start date &lt;= D  and End date is null or end date &gt; D , valid = true_x000D_
 # If multiple changes occur in the same transaction, Uniqueness validation must run after final state._x000D_
 # Notes:_x000D_
 ## If valid to = null means infinite validity_x000D_
 ## API queries using reference dates follow the same validity rules_x000D_
 ## the  included fields in uniqueness checks already considered (e.g. in Identities the countries, or the type of the record) should continue be used._x000D_
_x000D_
 _x000D_
_x000D_
*Apply to :*_x000D_
 * Validation of Uniqueness of primary records per period_x000D_
 * Validation of Uniqueness of records per type (and other flags as per entity) per period_x000D_
 * Define the visibly records that defines the view of today, history date, date in the past _x000D_
_x000D_
*UI :*_x000D_
_x000D_
 Filter history records by valid from _x000D_
 If valid_state = false , state_reason must be populated_x000D_
_x000D_
 _x000D_
_x000D_
 _x000D_
_x000D_
!image-2026-03-03-17-43-14-417.png!_x000D_
_x000D_
15/1 -&gt; Anna Papa_x000D_
_x000D_
 _x000D_
_x000D_
*Documentation*_x000D_
Document all the above adjustments. _x000D_
_x000D_
 _x000D_
_x000D_
*Non functional requirements*_x000D_
Performance , Security, Accessibility, Usability  DODs should be fulfilled. _x000D_
_x000D_
 </t>
  </si>
  <si>
    <t>GR,LT,TshirtSize_M,pi28_candidate,pi28_p1</t>
  </si>
  <si>
    <t>* Configurator may set in codelist fields an optionally used attribute/metadato , e.g. "{-}AutofillIfUnique{-}" --&gt; "{*}{{autofillOnlyOption}}{*}"_x000D_
which attribute will enable in UI the autofill of value in codelist, when only one  codelist item value is available based on filters and related codelist items._x000D_
 * System may display prefilled value in codelist, when only one  codelist item value is available.</t>
  </si>
  <si>
    <t>2026-04-14T11:57:25.000+0300</t>
  </si>
  <si>
    <t>This Support is dependant on the newest version of Amplio being released, which is expected sometime in the beginning of 2026._x000D_
_x000D_
Scope:_x000D_
 # Update to newest version of Amplio_x000D_
 ** Java Foundation 4.0 and Amplio Rho 2.0 are scheduled to be released in January 2026._x000D_
 ** The release will introduce new functionality for the batch engine, for example the possibility to start batch jobs directly from the UI. _x000D_
 ** The upgrade should be coordinated with the Amplioj4Solon team, as revenue-management-batch, Amplio Admin and Amplio Process Engine all need to follow the same version of Amplio._x000D_
 # Technical alignment between Amplio Process Engine, Amplio Batch and SOLON_x000D_
 ** Because of the direct dependencies between the components, It is needed to get them technically aligned. This is both in regards to ensuring immediate support for new functionality but also ensuring maintainability of the projects within the SOLON product team._x000D_
 # Use foundation functionality for batch jobs_x000D_
 ** The scope is both in regards to utilizing improved batch scheduler functionality introduced in future foundation releases, but also ensuring proper multitenancy support, as provided by the foundation.</t>
  </si>
  <si>
    <t>2026-04-14T15:44:30.000+0300</t>
  </si>
  <si>
    <t>2026-04-14T15:59:02.000+0300</t>
  </si>
  <si>
    <t>Scenario: Successfully migrate and verify SCDF jobs_x000D_
_x000D_
GIVEN all remaining SCDF jobs from part one are identified_x000D_
_x000D_
WHEN the jobs are deployed to the target environment_x000D_
_x000D_
THEN each job can be triggered via Postman_x000D_
_x000D_
AND a successful HTTP response is returned_x000D_
_x000D_
 </t>
  </si>
  <si>
    <t>IATNotTestable,TshirtSize_M,irm_pd_pdm_agreed</t>
  </si>
  <si>
    <t>cont. [https://jira.intrasoft-intl.com/browse/IRM-11539] _x000D_
As a revenue official, I want to view a graphical representation of the organizational structure, so that I can see what organizational units are part of the organizational structure and see how these organizational units are related to one another._x000D_
_x000D_
Similarly for party to party hierarchy, I need to be able to see similar representation. _x000D_
a) Org units : Revenue department itself is structured (e.g., Head Office -&gt; Regional Office -&gt; Local Branch)._x000D_
b) Taxpayers:  relationships between legal entities, such as a Holding Company and its subsidiaries, or a franchisor and franchisees or main brand with branches -WHEN THESE FOR A BUSINESS REASON are not expressed in the system as party roles (that is recommended) _x000D_
_x000D_
Dependency:  IRM-36002 _x000D_
_x000D_
 _x000D_
_x000D_
*SCOPE : List view &amp; searching.* _x000D_
_x000D_
*Functional Requirements*_x000D_
_x000D_
+Organizational Units+_x000D_
 * In list page: User may see parent Org units in list views as link. User may click the link to open the parent Org unit. _x000D_
 * In Org unit page: User may see the parent Org unit as a link. User can click to open parent Org unit.  _x000D_
 * In Org unit parent page: User can click a button see an organizational tree where each node in the tree represents an organizational unit. For each organizational unit the user can see information that uniquely identifies an organizational unit._x000D_
 * User can open an organizational unit to see more details._x000D_
 * User may search by parent org units an org unit._x000D_
 * The list should contain only Organizational units _x000D_
 * In list page I can optionally see the column of parent party  (BE &amp; UI)_x000D_
_x000D_
Same with Assets. _x000D_
_x000D_
+Organizations / Taxpayers (Parties)+_x000D_
 * In list page: User may see parent party in list views as link. User may click the link to open the parent party. _x000D_
 * -In Party page: User may see the parent party as a link. User can click to open parent party.  (implemented in [https://jira.intrasoft-intl.com/browse/IRM-36002] )- _x000D_
 * {-}In Party parent page: User can click a button see an parties tree where each node in the tree represents an party For each party the user can see information that uniquely identifies a party.   Implemente{-}d in [https://jira.intrasoft-intl.com/browse/IRM-11539] _x000D_
 * User can open an party unit to see more details._x000D_
 * User may search by parent party a party._x000D_
 * The list should contain only parties (all party types) _x000D_
 * In list page I can optionally see the column of parent party   (BE &amp; UI)_x000D_
 * In History of the party,  users as per permissions can add/edit parent party_x000D_
_x000D_
-+Example :+- _x000D_
-A button available in Level 1 Taxpayer  "Show Hierarchy"- _x000D_
-When click a modal with tree format appears:- _x000D_
_x000D_
-Level 1 Taxpayer A (Business account/ Brand HQs  &amp; Accounting unit)-_x000D_
_x000D_
            -Level 2 TaxpayerA1 (branch)- _x000D_
            -Level 2 TaxpayerA2 (branch)- _x000D_
            -Level 2 TaxpayerA3 (branch)- _x000D_
            -Level 2 TaxpayerA4 (branch)- _x000D_
_x000D_
 _x000D_
_x000D_
 _x000D_
_x000D_
!image-2026-02-15-11-58-59-410.png!_x000D_
_x000D_
!image-2026-02-15-12-09-39-450.png!_x000D_
_x000D_
 _x000D_
_x000D_
!image-2026-02-15-12-23-57-978.png!_x000D_
_x000D_
*Documentation*_x000D_
Document all the above adjustments. _x000D_
_x000D_
 _x000D_
_x000D_
*Non functional requirements*_x000D_
It is expected team to get aligned with respective teams and reassure that is not creating issues or the related NFRs will be tested :_x000D_
Performance , Security, Accessibility, Usability _x000D_
DODs should be fulfilled.</t>
  </si>
  <si>
    <t>+A. Organizational Units+_x000D_
 # In list page: User may see parent Org units in list views as link. User may click the link to open the parent Org unit. _x000D_
 # In Org unit page: User may see the parent Org unit as a link. User can click to open parent Org unit.  _x000D_
 # In Org unit page: User can click a button see an organizational tree where each node in the tree represents an organizational unit. For each organizational unit the user can see information that uniquely identifies an organizational unit._x000D_
 # User can open an organizational unit to see more details._x000D_
 # User may search by parent org units an org unit._x000D_
_x000D_
+B. Taxpayers (Parties)+_x000D_
 # In list page: User may see parent party in list views as link. User may click the link to open the parent party. _x000D_
 # User can open an party unit to see more details._x000D_
 # User may search by parent party a party._x000D_
 # In History of the party,  users as per permissions can add/edit parent party_x000D_
_x000D_
+C. Asset+_x000D_
 # In list page: User may see parent Assets in list views as link. User may click the link to open the parent Asset. _x000D_
 # In Asset page: User may see the parent Asset as a link. User can click to open parent Asset.  _x000D_
 # In Asset page: User can click a button see an Asset tree where each node in the tree represents an Asset. For each Asset the user can see information that uniquely identifies an Asset._x000D_
 # User can open an Asset to see more details._x000D_
 # User may search by parent Asset an Asset._x000D_
 # In History of the asset,  users as per permissions can add/edit parent asset</t>
  </si>
  <si>
    <t>Accessibility,pi28_candidate,pi28_p1</t>
  </si>
  <si>
    <t>Configurability of GL Decision Table - Be able to override by custom application</t>
  </si>
  <si>
    <t>As a configurator I need to be able to bypass using a custom solution the GL decision table mechanism. _x000D_
_x000D_
 _x000D_
_x000D_
*Functional Requirements*_x000D_
 * Be able to bypass the "getGLAccontCodeDecisions" overriding it by a custom application/adapter._x000D_
 ** Move GL decision Code to Custom BE  as it is now the Allocation custom application._x000D_
 ** Important Note : The GL decision drools supported at that time by product  should be default in installation of the Solon._x000D_
_x000D_
------------------------------------------------------------------------------------_x000D_
_x000D_
*Documentation*_x000D_
_x000D_
Please document all updates and implications on this. _x000D_
Of related dtos change we need to report them as breaking changes. _x000D_
_x000D_
 _x000D_
_x000D_
*Non functional requirements*_x000D_
_x000D_
The solution must maintain or improve the product’s:_x000D_
_x000D_
*Performance* – large datasets and multi-sheet evaluation must not degrade processing times_x000D_
*Security* – no exposure of sensitive configuration data_x000D_
*Accessibility* – configuration screens and documentation must remain accessible_x000D_
*Usability* – splitting logic must be understandable and maintainable by admins_x000D_
Additionally:_x000D_
The team must collaborate with domain specialists to validate the above._x000D_
_x000D_
All Definition of Done ({*}DoD{*}) criteria must be met.</t>
  </si>
  <si>
    <t>* Be able to bypass the "getGLAccontCodeDecisions" overriding it by a custom applicaiton/adapter</t>
  </si>
  <si>
    <t>FATnottestable,GR,IATNotTestable,breaking_change,pi27_candidate,pi27_p1</t>
  </si>
  <si>
    <t>C1,DOCUMENT_MANAGEMENT_INTEGRATION,GR,GR_Early_A,IRM:PI26IP_end,MVP,No_Doc,pi26_candidate,pi26_leftover,pi26_p1,pi27_p2</t>
  </si>
  <si>
    <t>C1,GR,GR_Early_D,IRM:PI2705_end,IRM:PI27S04_start,LOCALIZATION,MVP,No_Doc,TshirtSize_L,irm_pd_pdm_agreed,pi27_candidate,pi27_p3</t>
  </si>
  <si>
    <t>GR,TAXPAYER_ACCOUNTING,TshirtSize_XL,pi28_candidate,pi28_p3</t>
  </si>
  <si>
    <t>FATnottestable,IATNotTestable,pi27_candidate,pi27_p1</t>
  </si>
  <si>
    <t>IATNotTestable,No_Doc,pi27_candidate,pi27_p1</t>
  </si>
  <si>
    <t>h2. Overview_x000D_
_x000D_
This initiative modernizes the Amplio batch processing system by enhancing maintainability, resilience, and operational flexibility. Building on learnings from the Lithuania project, the work focuses on refactoring existing batch jobs rather than creating new features._x000D_
h2. Key Objectives_x000D_
_x000D_
*Resilience &amp; Performance:*_x000D_
 * Isolate failures in PAYMENT_FILE_BATCH_JOB to prevent single invalid files from halting entire batch job._x000D_
 * Implement chunk-based processing for Journal Entry Export batch job to prevent OutOfMemoryError_x000D_
 * Optimize long-running queries to reduce application startup time (Penalty Interest Calculation)_x000D_
_x000D_
*Operational Flexibility:*_x000D_
 * Enable runtime parameters for batch jobs (Obligation Maintenance, Penalty Interest Calculation, Handover Debt, Journal Entry Export) replacing static environment variables_x000D_
 * Implement configuration-based job enable/disable mechanism synchronized with the database_x000D_
_x000D_
*Code Health:*_x000D_
 * Standardize project structure and package naming (replace {{...etl...}} with {{{}...batch.batchjob...{}}})_x000D_
 * Centralize duplicated configurations (Keycloak credentials, DataSource, FeignClient beans)_x000D_
 * Resolve artifact naming conflicts between batch and batch-custom projects_x000D_
 * Clean up redundant POM dependencies_x000D_
_x000D_
h2. Scope_x000D_
_x000D_
*In Scope:* Refactoring, optimization, and standardization of existing batch jobs and infrastructure *Out of Scope:* Framework upgrades, new business logic, UI changes, batch engine migration, new unit tests_x000D_
h2. Business Value_x000D_
 * Improved system resilience and reduced manual intervention_x000D_
 * Enhanced operational flexibility for administrators_x000D_
 * Faster application startup and deployment cycles_x000D_
 * Reduced technical debt and improved long-term maintainability_x000D_
 * More stable and secure codebase</t>
  </si>
  <si>
    <t>C1,DOCUMENT_MANAGEMENT_INTEGRATION,FATnottestable,GR,GR_Early_A,IATnottestable,MVP,No_Doc,exclude_from_notes,pi26_candidate,pi26_leftover,pi26_p1,pi27_p2</t>
  </si>
  <si>
    <t>GR,IRM:PI27S04_start,IRM:PI27S05_end,No_Doc,TshirtSize_M,irm_pd_pdm_agreed,pi27_candidate,pi27_p2</t>
  </si>
  <si>
    <t>ACCESSIBILITY,IATNotTestable,No_Doc,pi27_candidate,pi27_p1</t>
  </si>
  <si>
    <t>EXTENSIBILITY,FATnottestable,GR,GR_Early_C,IATNotTestable,pi27_candidate,pi27_p1</t>
  </si>
  <si>
    <t>FATnottestable,IATNotTestable,IRM:PI2705_end,IRM:PI2705_start,TshirtSize_S,irm_pd_pdm_agreed,pi27_candidate,pi27_p1</t>
  </si>
  <si>
    <t>FATnottestable,IATNotTestable,No_Doc,pi27_candidate,pi27_p1</t>
  </si>
  <si>
    <t>GR,IRM:PI27S03_start,IRM:PI27S04_end,No_Doc,irm_pd_pdm_agreed,pi27_candidate,pi27_p2</t>
  </si>
  <si>
    <t>GR,IRM:PI27S03_end,IRM:PI27S03_start,No_Doc,irm_pd_pdm_agreed,pi27_candidate,pi27_p2</t>
  </si>
  <si>
    <t>cont. [https://jira.intrasoft-intl.com/browse/IRM-11539] _x000D_
As a revenue official, I want to view a graphical representation of the organizational structure, so that I can see what organizational units are part of the organizational structure and see how these organizational units are related to one another._x000D_
_x000D_
Similarly for party to party hierarchy, I need to be able to see similar representation. _x000D_
a) Org units : Revenue department itself is structured (e.g., Head Office -&gt; Regional Office -&gt; Local Branch)._x000D_
b) Taxpayers:  relationships between legal entities, such as a Holding Company and its subsidiaries, or a franchisor and franchisees or main brand with branches -WHEN THESE FOR A BUSINESS REASON are not expressed in the system as party roles (that is recommended) _x000D_
_x000D_
Dependency:  IRM-36002 _x000D_
_x000D_
 _x000D_
_x000D_
*SCOPE : List view, searching and party assignment.* _x000D_
_x000D_
*Functional Requirements*_x000D_
_x000D_
+Organizational Units+_x000D_
 * In Org Units page: User can click a button to see an org. units tree where each node in this tree represents an descendant Org. Unit For each node the user can see information that uniquely identifies an Org. Unit. _x000D_
 * Within the tree the user can select to open an organizational unit to see more details in a new page._x000D_
 * In list page: User may click the Parent Org. unit link to open the parent Org unit. _x000D_
 * Users can search for the immediate parent or any ancestor organizational unit._x000D_
_x000D_
+Organizations / Taxpayers (Parties)+_x000D_
 * In Party page history view, the user may assign a parent party._x000D_
 * In Party page as today view it displays a link of the parent Party (if any), which if selected opens the parent Party page._x000D_
 * In list page: User may see any parent party as link. User may click the link to open the parent party in a new page. _x000D_
 * Users can search for the immediate parent or any ancestor party._x000D_
_x000D_
+Assets+_x000D_
 * In Asset page: User can click a button see an Asset tree where each node in the tree represents an descendant Asset. For each entity the user can see information that uniquely identifies this Asset._x000D_
 * Within the descendants' tree representation a user can click any node to see more details in a new page._x000D_
 * In Assets page history view, the user may assign a parent asset._x000D_
 * In Assets page as today view it displays a link of the parent asset (if any), which if selected opens the parent Party page._x000D_
 * In list page: User may see any parent Assets as link. User may click the link to open the parent Asset. _x000D_
 * In Asset page: User can click a button to see an tree representation where each node in the tree represents an descendant Asset. For each Asset the user can see information that uniquely identifies an Asset._x000D_
 * In this tree a user can open in a new page any descendant Asset to see more details._x000D_
 * Users can search for the immediate parent or any ancestor asset._x000D_
_x000D_
-+Example :+- _x000D_
-A button available in Level 1 Taxpayer  "Show Hierarchy"- _x000D_
-When click a modal with tree format appears:- _x000D_
_x000D_
-Level 1 Taxpayer A (Business account/ Brand HQs  &amp; Accounting unit)-_x000D_
_x000D_
            -Level 2 TaxpayerA1 (branch)- _x000D_
            -Level 2 TaxpayerA2 (branch)- _x000D_
            -Level 2 TaxpayerA3 (branch)- _x000D_
            -Level 2 TaxpayerA4 (branch)- _x000D_
_x000D_
 _x000D_
_x000D_
 _x000D_
_x000D_
!image-2026-02-15-11-58-59-410.png!_x000D_
_x000D_
!image-2026-02-15-12-09-39-450.png!_x000D_
_x000D_
 _x000D_
_x000D_
!image-2026-02-15-12-23-57-978.png!_x000D_
_x000D_
*Documentation*_x000D_
Document all the above adjustments. _x000D_
_x000D_
 _x000D_
_x000D_
*Non functional requirements*_x000D_
It is expected team to get aligned with respective teams and reassure that is not creating issues or the related NFRs will be tested :_x000D_
Performance , Security, Accessibility, Usability _x000D_
DODs should be fulfilled.</t>
  </si>
  <si>
    <t>+A. Organizational Units+_x000D_
 # In Org Units page: User can click a button to see an org. units tree where each node in this tree represents an descendant Org. Unit For each node the user can see information that uniquely identifies an Org. Unit. _x000D_
 # Within the tree the user can select to open an organizational unit to see more details in a new page._x000D_
 # In list page: User may click the Parent Org. unit link to open the parent Org unit. _x000D_
 # Users can search for the immediate parent or any ancestor organizational unit._x000D_
_x000D_
+B. Taxpayers (Parties)+_x000D_
 # In Party page history view, the user may assign a parent party._x000D_
 # In Party page as today view it displays a link of the parent Party (if any), which if selected opens the parent Party page._x000D_
 # In list page: User may see any parent party as link. User may click the link to open the parent party in a new page. _x000D_
 # Users can search for the immediate parent or any ancestor party._x000D_
_x000D_
+C. Asset+_x000D_
 # In Asset page: User can click a button see an Asset tree where each node in the tree represents an descendant Asset. For each entity the user can see information that uniquely identifies this Asset._x000D_
 # Within the descendants' tree representation a user can click any node to see more details in a new page._x000D_
 # In Assets page history view, the user may assign a parent asset._x000D_
 # In Assets page as today view it displays a link of the parent asset (if any), which if selected opens the parent Party page._x000D_
 # In list page: User may see any parent Assets as link. User may click the link to open the parent Asset. _x000D_
 # In Asset page: User can click a button to see an tree representation where each node in the tree represents an descendant Asset. For each Asset the user can see information that uniquely identifies an Asset._x000D_
 # In this tree a user can open in a new page any descendant Asset to see more details._x000D_
 # Users can search for the immediate parent or any ancestor asset.</t>
  </si>
  <si>
    <t>As a revenue officer I need to be able to complete several Party details changes in the same date and system will allow this without effecting uniqueness and overlapping checks that are applied to Party and Party Role child entities with valid-from/valid-to periods._x000D_
_x000D_
The same logic must also apply when system determines which registry records are considered valid for a specific date (e.g., Today view in the UI or a historical date view)._x000D_
_x000D_
The solution should be able to support same day changes for : _x000D_
_x000D_
a) records with valid-from/valid-to dates are considered duplicated or overlapping._x000D_
b) primary records with valid-from/valid-to dates are considered duplicated._x000D_
c) The criteria used to determine which records are valid on a specific reference date (current date or historical date)._x000D_
_x000D_
Child objects to be considered : _x000D_
 * {color:#172b4d}Party role{color}_x000D_
 * {color:#172b4d}party_identifier, party_name{color}_x000D_
 * Party_state, party_address, party_contact ,Bank account  , Preferences,  party_classification, party additional details_x000D_
 * {color:#172b4d}party_role_relationship, asset_party_role_relationship, asset_to_asset_relationship, valuation , party role eligible states {color}_x000D_
_x000D_
Assumption : We assume that the error handing and the exceptions logged as well as the remaining uniqueness validations mechanisms are functional in the product for all registry entities. (Party , Party role, Claimant, User, Organ. Unit, Asset)_x000D_
_x000D_
 _x000D_
_x000D_
*Functional requirements*_x000D_
_x000D_
 _x000D_
_x000D_
*New Fields* _x000D_
_x000D_
For all the above mentioned Party child objects, Party , Party Role, add Optional fields_x000D_
 * *Valid State?* , Boolean _x000D_
Default value = true_x000D_
 * *Valid State  Reason*_x000D_
Free text _x000D_
 * (!)   Define if a record type should be checked for uniqueness or not. This may create conflicts that there are suggested rules to overcome. _x000D_
*Field: Check if unique?*  /Boolean_x000D_
Default value = true_x000D_
 * Make fields searchable_x000D_
 * Make fields visible in the UI_x000D_
 * Make fields updatable as/where the Valid from /to fields are_x000D_
 * Move the information to relevant Party role sections (as Valid from/to) _x000D_
 * Default values :_x000D_
 ** All existing records are migrated with valid_state = true_x000D_
 ** All existing records are migrated with Check if unique= true_x000D_
_x000D_
*Rules for Unique record check:*_x000D_
_x000D_
For the same record type (or per case additional filters are used, such as in Identifiers the country) , _x000D_
If the record is *flagged as Valid*_x000D_
check  if the period is not overlapping other periods if *CheckifUnique* is checked as true. If checked as false then no need to make any checks for the specific record or include this record in other checks.  In case of conflicts the first option based on start date sorting,  that is valid = true will be selected. _x000D_
In case of *end date = other records start date* then the end date overlapping with other record start date is ignored. (i.e. only end date of one period is the same as the start date of another period, see bullet 4) _x000D_
Start date is checked primary to define the period that record is valid. _x000D_
_x000D_
 _x000D_
_x000D_
+Basics:+ _x000D_
 # If a record  flag {*}Valid{*}? = false : it is ignored during uniqueness checks and for primary checks._x000D_
 # If a record  flag {*}CheckifUnique{*}? = false : it is ignored during uniqueness checks and for primary checks.  Record can be valid.  (!)_x000D_
_x000D_
+Examples Conditions:+_x000D_
_x000D_
1 . If a record *Start date* = {*}End date{*}= *Y*  , Flag Valid ? = true  :_x000D_
record is selected primary or considered *proper* entry for date Y   (primary set for start date Y,  if flagged as primary) _x000D_
_x000D_
2.  If  Record 1 start date end = A  and end date = X  , valid = true_x000D_
and Record 2 start date = X , end date = B , valid = true_x000D_
Then these records are not considered overlapping (although in current rule are consider overlapping). This is a *proper* condition. _x000D_
On date X, the valid record is Record2 (the record with start date X)_x000D_
Not the one with end date = X (Record 1)._x000D_
_x000D_
3.  If Record1: start date is null , end date  = X  , valid = true_x000D_
Record2: start date  = X , end date  = null  , valid = true_x000D_
The record 2 is selected primary or the considered for date x . This is a *proper* condition. _x000D_
_x000D_
3.  If Record1: start date is null , end date  = null  , valid = true_x000D_
Record2: start date  = X , end date  = null   , valid = true_x000D_
 System will not allow this because of overlapping in other days because of start dates(!)_x000D_
_x000D_
4. If two records of the same type, _x000D_
and both have Valid state = true, _x000D_
when their validity periods overlap as they have same start date the system rejects the change due to overlapping validity periods. (!)_x000D_
Record1: start date  =  X, end date  = A  , valid = true_x000D_
Record2: start date  =  X , end date  = B  , valid = true_x000D_
_x000D_
_x000D_
+Other :+_x000D_
 # A record is considered for date D when: _x000D_
valid state = true and _x000D_
start date &lt;= D AND (end date is null OR end date &gt; D)_x000D_
or_x000D_
If start date = end date = D_x000D_
 # If multiple changes occur in the same transaction, Uniqueness validation must run after the end of batch updates. _x000D_
 # If valid_state = false , state_reason must be populated_x000D_
 # If all record for a type are not valid then the system will behave like not having any record available_x000D_
 # (as mentioned above) . If Check if Valid id checked as false then no need to make any checks for the specific record or include this record in other checks.  In case of conflicts the first option based on start date sorting,  that is valid = true will be selected._x000D_
 # If valid to = null means infinite validity_x000D_
 # API queries using reference dates follow the same validity rules_x000D_
 # the  included fields in uniqueness checks already considered (e.g. in Identities the countries, or the type of the record) should continue be used._x000D_
_x000D_
 _x000D_
_x000D_
*Apply to :*_x000D_
 * Validation of Uniqueness of primary records per period_x000D_
 * Validation of Uniqueness of records per type (and other flags as per entity) per period_x000D_
 * Define the visibly records that defines the view of today, history date, date in the past _x000D_
_x000D_
*UI :*_x000D_
_x000D_
BE able to  Filter history records by valid from date_x000D_
 If valid_state = false , state_reason must be populated_x000D_
Project may define if  Valid = false and Check if unique is false records should be displayed or not.  _x000D_
_x000D_
 _x000D_
_x000D_
 _x000D_
_x000D_
!image-2026-03-03-17-43-14-417.png!_x000D_
_x000D_
15/1 -&gt; Anna Papa_x000D_
_x000D_
 _x000D_
_x000D_
*Documentation*_x000D_
Document all the above adjustments. _x000D_
_x000D_
 _x000D_
_x000D_
*Non functional requirements*_x000D_
Performance , Security, Accessibility, Usability  DODs should be fulfilled. _x000D_
_x000D_
 </t>
  </si>
  <si>
    <t>A)  *New Fields* _x000D_
 # For all the above mentioned Party child objects, add Optional fields _x000D_
Valid State? , Boolean_x000D_
 # State Reason, Free text _x000D_
 # Field: Check if unique?  /Boolean_x000D_
Default value = true_x000D_
 # Make fields searchable_x000D_
 # Make fields visible in the UI_x000D_
 # Make fields updatable as/where the Valid from /to fields are_x000D_
 # Move the information to relevant Party role sections (as Valid from/to) _x000D_
 # Default value of valid_state = true (e.g. when creating a record)_x000D_
 # All existing records are migrated with valid_state = true_x000D_
 # All existing records are migrated with Check if unique = true_x000D_
_x000D_
 _x000D_
_x000D_
B) *Uniqueness Rules*_x000D_
 # Then only records with valid state = true and Check if unique = true participate in uniqueness checks.  Records with valid state = false or Check if unique = false  are ignored._x000D_
 # If two records of the same type,  and both have Valid state = true, when their validity periods overlap, the system rejects the change due to overlapping validity periods._x000D_
 #  Record start date = end date is not considered overlap as explained in functional requirements. On date X, the valid record is the record with start date X._x000D_
 # Only one primary valid state = true  record can exist per date (same rules with same date as above , example sin functional requirements)_x000D_
 # See functional requirements for details. _x000D_
_x000D_
_x000D_
_x000D_
C) *UI* _x000D_
 # The history records are sorted by start date_x000D_
 #  If valid state = false , state reason must be populated</t>
  </si>
  <si>
    <t>As a configurator I need to be able to bypass using a custom solution the GL decision table mechanism. _x000D_
_x000D_
 _x000D_
_x000D_
*Functional Requirements*_x000D_
 * Be able to bypass the "getGLAccontCodeDecisions" overriding it by a custom application/adapter._x000D_
 ** Move GL decision Code to Custom BE  as it is now the Allocation custom application._x000D_
 ** Important Note : The GL decision drools supported at that time by product  should be default in installation of the Solon. This will be the default unless projects need to configure it otherwise. _x000D_
_x000D_
------------------------------------------------------------------------------------_x000D_
_x000D_
*Documentation*_x000D_
_x000D_
Please document all updates and implications on this. _x000D_
Of related dtos change we need to report them as breaking changes. _x000D_
_x000D_
 _x000D_
_x000D_
*Non functional requirements*_x000D_
_x000D_
The solution must maintain or improve the product’s:_x000D_
_x000D_
*Performance* – large datasets and multi-sheet evaluation must not degrade processing times_x000D_
*Security* – no exposure of sensitive configuration data_x000D_
*Accessibility* – configuration screens and documentation must remain accessible_x000D_
*Usability* – splitting logic must be understandable and maintainable by admins_x000D_
Additionally:_x000D_
The team must collaborate with domain specialists to validate the above._x000D_
_x000D_
All Definition of Done ({*}DoD{*}) criteria must be met.</t>
  </si>
  <si>
    <t>IRM-41328</t>
  </si>
  <si>
    <t>UI Improvements / Initiatives - ATL (Current PI28)</t>
  </si>
  <si>
    <t>2026-04-19T12:02:43.000+0300</t>
  </si>
  <si>
    <t>IRM-41329</t>
  </si>
  <si>
    <t>Improvements / Challenges - ATL (Current PI28)</t>
  </si>
  <si>
    <t>2026-04-19T12:03:33.000+0300</t>
  </si>
  <si>
    <t>IRM-41330</t>
  </si>
  <si>
    <t>Accessibility Improvements - ATL (Current PI28)</t>
  </si>
  <si>
    <t>2026-04-19T12:05:17.000+0300</t>
  </si>
  <si>
    <t>Sum of Final Original Estimate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</si>
</sst>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 #,##0.00\ &quot;kr.&quot;_-;\-* #,##0.00\ &quot;kr.&quot;_-;_-* &quot;-&quot;??\ &quot;kr.&quot;_-;_-@_-"/>
    <numFmt numFmtId="43" formatCode="_-* #,##0.00_-;\-* #,##0.00_-;_-* &quot;-&quot;??_-;_-@_-"/>
    <numFmt numFmtId="164" formatCode="_(* #,##0.00_);_(* \(#,##0.00\);_(* &quot;-&quot;??_);_(@_)"/>
    <numFmt numFmtId="165" formatCode="_(* #,##0_);_(* \(#,##0\);_(* &quot;-&quot;??_);_(@_)"/>
    <numFmt numFmtId="166" formatCode="_-* #,##0_-;\-* #,##0_-;_-* &quot;-&quot;??_-;_-@_-"/>
    <numFmt numFmtId="167" formatCode="[$-F800]dddd\,\ mmmm\ dd\,\ yyyy"/>
    <numFmt numFmtId="168" formatCode="_(* #,##0.0_);_(* \(#,##0.0\);_(* &quot;-&quot;??_);_(@_)"/>
    <numFmt numFmtId="169" formatCode="0.0"/>
  </numFmts>
  <fonts count="23" x14ac:knownFonts="1">
    <font>
      <sz val="11"/>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Arial"/>
      <family val="2"/>
    </font>
    <font>
      <b/>
      <sz val="15"/>
      <color theme="3"/>
      <name val="Arial"/>
      <family val="2"/>
    </font>
    <font>
      <sz val="11"/>
      <color theme="0"/>
      <name val="Arial"/>
      <family val="2"/>
    </font>
    <font>
      <sz val="11"/>
      <color rgb="FFFF0000"/>
      <name val="Arial"/>
      <family val="2"/>
    </font>
    <font>
      <sz val="10"/>
      <color theme="1"/>
      <name val="Calibri"/>
      <family val="2"/>
      <scheme val="minor"/>
    </font>
    <font>
      <b/>
      <sz val="10"/>
      <color theme="1"/>
      <name val="Calibri"/>
      <family val="2"/>
      <scheme val="minor"/>
    </font>
    <font>
      <b/>
      <sz val="15"/>
      <color theme="3"/>
      <name val="Calibri"/>
      <family val="2"/>
      <scheme val="minor"/>
    </font>
    <font>
      <b/>
      <sz val="10"/>
      <color rgb="FF000000"/>
      <name val="Calibri"/>
      <family val="2"/>
    </font>
    <font>
      <sz val="10"/>
      <color theme="1"/>
      <name val="Calibri Light"/>
      <family val="2"/>
      <scheme val="major"/>
    </font>
    <font>
      <sz val="10"/>
      <color theme="1"/>
      <name val="Arial"/>
      <family val="2"/>
    </font>
    <font>
      <sz val="8"/>
      <name val="Arial"/>
      <family val="2"/>
    </font>
    <font>
      <b/>
      <sz val="11"/>
      <color theme="0"/>
      <name val="Calibri"/>
      <family val="2"/>
      <scheme val="minor"/>
    </font>
    <font>
      <sz val="11"/>
      <color rgb="FF000000"/>
      <name val="Calibri"/>
      <family val="2"/>
      <scheme val="minor"/>
    </font>
    <font>
      <b/>
      <sz val="10"/>
      <color theme="0"/>
      <name val="Calibri"/>
      <family val="2"/>
      <scheme val="minor"/>
    </font>
    <font>
      <b/>
      <sz val="11"/>
      <color theme="0"/>
      <name val="Arial"/>
      <family val="2"/>
    </font>
    <font>
      <sz val="11"/>
      <color rgb="FF0A0A0A"/>
      <name val="Courier New"/>
      <family val="3"/>
    </font>
  </fonts>
  <fills count="8">
    <fill>
      <patternFill patternType="none"/>
    </fill>
    <fill>
      <patternFill patternType="gray125"/>
    </fill>
    <fill>
      <patternFill patternType="solid">
        <fgColor theme="4"/>
      </patternFill>
    </fill>
    <fill>
      <patternFill patternType="solid">
        <fgColor theme="4"/>
        <bgColor theme="4"/>
      </patternFill>
    </fill>
    <fill>
      <patternFill patternType="solid">
        <fgColor rgb="FFFFFF00"/>
        <bgColor indexed="64"/>
      </patternFill>
    </fill>
    <fill>
      <patternFill patternType="solid">
        <fgColor theme="6"/>
        <bgColor theme="6"/>
      </patternFill>
    </fill>
    <fill>
      <patternFill patternType="solid">
        <fgColor theme="0" tint="-4.9989318521683403E-2"/>
        <bgColor indexed="64"/>
      </patternFill>
    </fill>
    <fill>
      <patternFill patternType="solid">
        <fgColor theme="4" tint="0.79998168889431442"/>
        <bgColor theme="4" tint="0.79998168889431442"/>
      </patternFill>
    </fill>
  </fills>
  <borders count="15">
    <border>
      <left/>
      <right/>
      <top/>
      <bottom/>
      <diagonal/>
    </border>
    <border>
      <left/>
      <right/>
      <top/>
      <bottom style="thick">
        <color theme="4"/>
      </bottom>
      <diagonal/>
    </border>
    <border>
      <left/>
      <right/>
      <top style="thin">
        <color indexed="64"/>
      </top>
      <bottom style="double">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theme="4" tint="0.39997558519241921"/>
      </left>
      <right/>
      <top style="thick">
        <color theme="4"/>
      </top>
      <bottom style="thin">
        <color theme="4" tint="0.39997558519241921"/>
      </bottom>
      <diagonal/>
    </border>
    <border>
      <left/>
      <right/>
      <top style="thin">
        <color indexed="64"/>
      </top>
      <bottom style="medium">
        <color indexed="64"/>
      </bottom>
      <diagonal/>
    </border>
    <border>
      <left/>
      <right/>
      <top/>
      <bottom style="thin">
        <color theme="4" tint="0.39997558519241921"/>
      </bottom>
      <diagonal/>
    </border>
    <border>
      <left style="thin">
        <color theme="4" tint="0.39997558519241921"/>
      </left>
      <right/>
      <top/>
      <bottom style="thin">
        <color theme="4" tint="0.39997558519241921"/>
      </bottom>
      <diagonal/>
    </border>
    <border>
      <left/>
      <right/>
      <top style="thin">
        <color theme="4" tint="0.39997558519241921"/>
      </top>
      <bottom/>
      <diagonal/>
    </border>
    <border>
      <left/>
      <right/>
      <top style="thin">
        <color theme="4" tint="0.39997558519241921"/>
      </top>
      <bottom style="thin">
        <color theme="4" tint="0.39997558519241921"/>
      </bottom>
      <diagonal/>
    </border>
  </borders>
  <cellStyleXfs count="20">
    <xf numFmtId="0" fontId="0" fillId="0" borderId="0"/>
    <xf numFmtId="164" fontId="7" fillId="0" borderId="0" applyFont="0" applyFill="0" applyBorder="0" applyAlignment="0" applyProtection="0"/>
    <xf numFmtId="0" fontId="8" fillId="0" borderId="1" applyNumberFormat="0" applyFill="0" applyAlignment="0" applyProtection="0"/>
    <xf numFmtId="0" fontId="9" fillId="2" borderId="0" applyNumberFormat="0" applyBorder="0" applyAlignment="0" applyProtection="0"/>
    <xf numFmtId="0" fontId="6" fillId="0" borderId="0"/>
    <xf numFmtId="43" fontId="6" fillId="0" borderId="0" applyFont="0" applyFill="0" applyBorder="0" applyAlignment="0" applyProtection="0"/>
    <xf numFmtId="9" fontId="6" fillId="0" borderId="0" applyFont="0" applyFill="0" applyBorder="0" applyAlignment="0" applyProtection="0"/>
    <xf numFmtId="0" fontId="13" fillId="0" borderId="1" applyNumberFormat="0" applyFill="0" applyAlignment="0" applyProtection="0"/>
    <xf numFmtId="0" fontId="5" fillId="0" borderId="0"/>
    <xf numFmtId="44" fontId="5" fillId="0" borderId="0" applyFont="0" applyFill="0" applyBorder="0" applyAlignment="0" applyProtection="0"/>
    <xf numFmtId="43" fontId="5" fillId="0" borderId="0" applyFont="0" applyFill="0" applyBorder="0" applyAlignment="0" applyProtection="0"/>
    <xf numFmtId="9" fontId="5" fillId="0" borderId="0" applyFont="0" applyFill="0" applyBorder="0" applyAlignment="0" applyProtection="0"/>
    <xf numFmtId="0" fontId="4" fillId="0" borderId="0"/>
    <xf numFmtId="0" fontId="3" fillId="0" borderId="0"/>
    <xf numFmtId="43" fontId="3" fillId="0" borderId="0" applyFont="0" applyFill="0" applyBorder="0" applyAlignment="0" applyProtection="0"/>
    <xf numFmtId="0" fontId="3" fillId="0" borderId="0"/>
    <xf numFmtId="0" fontId="2" fillId="0" borderId="0"/>
    <xf numFmtId="43" fontId="2" fillId="0" borderId="0" applyFont="0" applyFill="0" applyBorder="0" applyAlignment="0" applyProtection="0"/>
    <xf numFmtId="0" fontId="2" fillId="0" borderId="0"/>
    <xf numFmtId="0" fontId="1" fillId="0" borderId="0"/>
  </cellStyleXfs>
  <cellXfs count="67">
    <xf numFmtId="0" fontId="0" fillId="0" borderId="0" xfId="0"/>
    <xf numFmtId="0" fontId="0" fillId="0" borderId="0" xfId="0" applyAlignment="1">
      <alignment wrapText="1"/>
    </xf>
    <xf numFmtId="0" fontId="0" fillId="0" borderId="0" xfId="0" applyAlignment="1">
      <alignment horizontal="left"/>
    </xf>
    <xf numFmtId="0" fontId="8" fillId="0" borderId="1" xfId="2"/>
    <xf numFmtId="0" fontId="9" fillId="2" borderId="0" xfId="3"/>
    <xf numFmtId="166" fontId="0" fillId="0" borderId="0" xfId="1" applyNumberFormat="1" applyFont="1"/>
    <xf numFmtId="167" fontId="0" fillId="0" borderId="0" xfId="0" applyNumberFormat="1"/>
    <xf numFmtId="2" fontId="0" fillId="0" borderId="0" xfId="0" applyNumberFormat="1"/>
    <xf numFmtId="0" fontId="10" fillId="0" borderId="0" xfId="0" applyFont="1" applyAlignment="1">
      <alignment horizontal="right"/>
    </xf>
    <xf numFmtId="0" fontId="6" fillId="0" borderId="0" xfId="4"/>
    <xf numFmtId="0" fontId="11" fillId="0" borderId="0" xfId="4" applyFont="1"/>
    <xf numFmtId="9" fontId="11" fillId="0" borderId="0" xfId="6" applyFont="1"/>
    <xf numFmtId="166" fontId="12" fillId="0" borderId="2" xfId="5" applyNumberFormat="1" applyFont="1" applyBorder="1"/>
    <xf numFmtId="166" fontId="11" fillId="0" borderId="0" xfId="5" applyNumberFormat="1" applyFont="1"/>
    <xf numFmtId="0" fontId="12" fillId="0" borderId="0" xfId="4" applyFont="1"/>
    <xf numFmtId="0" fontId="11" fillId="0" borderId="0" xfId="0" applyFont="1"/>
    <xf numFmtId="0" fontId="15" fillId="0" borderId="0" xfId="0" applyFont="1"/>
    <xf numFmtId="0" fontId="6" fillId="0" borderId="0" xfId="4" quotePrefix="1"/>
    <xf numFmtId="166" fontId="12" fillId="0" borderId="0" xfId="4" applyNumberFormat="1" applyFont="1"/>
    <xf numFmtId="9" fontId="12" fillId="0" borderId="0" xfId="6" applyFont="1"/>
    <xf numFmtId="0" fontId="16" fillId="0" borderId="0" xfId="4" applyFont="1"/>
    <xf numFmtId="9" fontId="16" fillId="0" borderId="0" xfId="6" applyFont="1"/>
    <xf numFmtId="166" fontId="16" fillId="0" borderId="0" xfId="5" applyNumberFormat="1" applyFont="1"/>
    <xf numFmtId="1" fontId="12" fillId="0" borderId="0" xfId="4" applyNumberFormat="1" applyFont="1"/>
    <xf numFmtId="0" fontId="0" fillId="0" borderId="0" xfId="0" pivotButton="1"/>
    <xf numFmtId="0" fontId="0" fillId="0" borderId="0" xfId="0" applyAlignment="1">
      <alignment horizontal="left" indent="1"/>
    </xf>
    <xf numFmtId="49" fontId="14" fillId="0" borderId="0" xfId="0" applyNumberFormat="1" applyFont="1"/>
    <xf numFmtId="1" fontId="14" fillId="0" borderId="0" xfId="0" applyNumberFormat="1" applyFont="1"/>
    <xf numFmtId="165" fontId="0" fillId="0" borderId="0" xfId="1" applyNumberFormat="1" applyFont="1" applyAlignment="1">
      <alignment horizontal="left" indent="1"/>
    </xf>
    <xf numFmtId="168" fontId="11" fillId="0" borderId="0" xfId="1" applyNumberFormat="1" applyFont="1"/>
    <xf numFmtId="165" fontId="11" fillId="0" borderId="0" xfId="1" applyNumberFormat="1" applyFont="1"/>
    <xf numFmtId="0" fontId="11" fillId="0" borderId="0" xfId="4" applyFont="1" applyAlignment="1">
      <alignment horizontal="center"/>
    </xf>
    <xf numFmtId="169" fontId="0" fillId="0" borderId="0" xfId="0" applyNumberFormat="1"/>
    <xf numFmtId="0" fontId="19" fillId="0" borderId="0" xfId="0" applyFont="1" applyAlignment="1">
      <alignment vertical="top" wrapText="1"/>
    </xf>
    <xf numFmtId="0" fontId="18" fillId="5" borderId="0" xfId="0" applyFont="1" applyFill="1" applyAlignment="1">
      <alignment horizontal="left" vertical="center" wrapText="1"/>
    </xf>
    <xf numFmtId="49" fontId="0" fillId="0" borderId="0" xfId="0" applyNumberFormat="1"/>
    <xf numFmtId="0" fontId="10" fillId="4" borderId="0" xfId="0" applyFont="1" applyFill="1"/>
    <xf numFmtId="3" fontId="0" fillId="0" borderId="0" xfId="0" applyNumberFormat="1"/>
    <xf numFmtId="49" fontId="0" fillId="6" borderId="3" xfId="0" applyNumberFormat="1" applyFill="1" applyBorder="1"/>
    <xf numFmtId="49" fontId="0" fillId="6" borderId="4" xfId="0" applyNumberFormat="1" applyFill="1" applyBorder="1"/>
    <xf numFmtId="49" fontId="0" fillId="0" borderId="5" xfId="0" applyNumberFormat="1" applyBorder="1"/>
    <xf numFmtId="49" fontId="0" fillId="0" borderId="6" xfId="0" applyNumberFormat="1" applyBorder="1"/>
    <xf numFmtId="49" fontId="0" fillId="0" borderId="7" xfId="0" applyNumberFormat="1" applyBorder="1"/>
    <xf numFmtId="49" fontId="0" fillId="0" borderId="8" xfId="0" applyNumberFormat="1" applyBorder="1"/>
    <xf numFmtId="169" fontId="0" fillId="4" borderId="0" xfId="0" applyNumberFormat="1" applyFill="1"/>
    <xf numFmtId="166" fontId="0" fillId="0" borderId="0" xfId="0" applyNumberFormat="1"/>
    <xf numFmtId="0" fontId="13" fillId="0" borderId="0" xfId="7" applyBorder="1" applyAlignment="1"/>
    <xf numFmtId="0" fontId="20" fillId="3" borderId="9" xfId="4" applyFont="1" applyFill="1" applyBorder="1"/>
    <xf numFmtId="165" fontId="12" fillId="0" borderId="10" xfId="1" applyNumberFormat="1" applyFont="1" applyBorder="1"/>
    <xf numFmtId="3" fontId="6" fillId="0" borderId="0" xfId="4" applyNumberFormat="1"/>
    <xf numFmtId="165" fontId="11" fillId="0" borderId="0" xfId="0" applyNumberFormat="1" applyFont="1"/>
    <xf numFmtId="168" fontId="11" fillId="0" borderId="0" xfId="0" applyNumberFormat="1" applyFont="1"/>
    <xf numFmtId="164" fontId="2" fillId="0" borderId="0" xfId="1" applyFont="1"/>
    <xf numFmtId="165" fontId="2" fillId="0" borderId="0" xfId="1" applyNumberFormat="1" applyFont="1"/>
    <xf numFmtId="0" fontId="1" fillId="0" borderId="0" xfId="19"/>
    <xf numFmtId="0" fontId="18" fillId="3" borderId="12" xfId="19" applyFont="1" applyFill="1" applyBorder="1"/>
    <xf numFmtId="0" fontId="18" fillId="3" borderId="11" xfId="19" applyFont="1" applyFill="1" applyBorder="1"/>
    <xf numFmtId="0" fontId="0" fillId="0" borderId="14" xfId="0" applyBorder="1"/>
    <xf numFmtId="0" fontId="0" fillId="7" borderId="14" xfId="0" applyFill="1" applyBorder="1"/>
    <xf numFmtId="0" fontId="22" fillId="0" borderId="0" xfId="0" applyFont="1"/>
    <xf numFmtId="0" fontId="0" fillId="0" borderId="14" xfId="0" applyBorder="1" applyAlignment="1">
      <alignment wrapText="1"/>
    </xf>
    <xf numFmtId="0" fontId="21" fillId="3" borderId="11" xfId="0" applyFont="1" applyFill="1" applyBorder="1"/>
    <xf numFmtId="0" fontId="21" fillId="3" borderId="11" xfId="0" applyFont="1" applyFill="1" applyBorder="1" applyAlignment="1">
      <alignment wrapText="1"/>
    </xf>
    <xf numFmtId="0" fontId="0" fillId="0" borderId="13" xfId="0" applyBorder="1"/>
    <xf numFmtId="0" fontId="0" fillId="0" borderId="0" xfId="0"/>
    <xf numFmtId="0" fontId="11" fillId="0" borderId="0" xfId="4" applyFont="1" applyAlignment="1">
      <alignment horizontal="center"/>
    </xf>
    <xf numFmtId="0" fontId="12" fillId="0" borderId="0" xfId="4" applyFont="1" applyAlignment="1">
      <alignment horizontal="center"/>
    </xf>
  </cellXfs>
  <cellStyles count="20">
    <cellStyle name="Accent1" xfId="3" builtinId="29"/>
    <cellStyle name="Comma" xfId="1" builtinId="3"/>
    <cellStyle name="Comma 2" xfId="5" xr:uid="{52D2C2ED-C2A9-4C81-BA7D-67F8841B661B}"/>
    <cellStyle name="Comma 2 2" xfId="14" xr:uid="{681CD699-72DC-46BD-85CF-3F147CA2F433}"/>
    <cellStyle name="Comma 2 2 2" xfId="17" xr:uid="{541CF9EA-FE17-4E7A-AAD4-14A8D8831137}"/>
    <cellStyle name="Comma 3" xfId="10" xr:uid="{0FE35303-A059-4E54-BDB6-C899073CFB8D}"/>
    <cellStyle name="Currency 2" xfId="9" xr:uid="{D8710D33-1E6C-465B-9810-C24AACD5B4D9}"/>
    <cellStyle name="Heading 1" xfId="2" builtinId="16"/>
    <cellStyle name="Heading 1 2" xfId="7" xr:uid="{DF59CB04-4569-4AEC-9EC7-A6082973E07E}"/>
    <cellStyle name="Normal" xfId="0" builtinId="0"/>
    <cellStyle name="Normal 2" xfId="4" xr:uid="{ACD3DA09-DBC8-46AB-A491-7413D7633ED1}"/>
    <cellStyle name="Normal 2 2" xfId="15" xr:uid="{ED94DD67-9BC7-43E3-B4F8-F83343B38FB1}"/>
    <cellStyle name="Normal 2 2 2" xfId="18" xr:uid="{746AC434-84ED-4685-BB05-95B160DD4511}"/>
    <cellStyle name="Normal 3" xfId="8" xr:uid="{766ED788-852B-41EA-B852-EB64EC4EEA6B}"/>
    <cellStyle name="Normal 4" xfId="12" xr:uid="{09F56CD7-D981-4D16-AB54-9B4AE1BBEB53}"/>
    <cellStyle name="Normal 5" xfId="13" xr:uid="{77BDD1A9-A405-4021-B38A-91BAF7C3F7A1}"/>
    <cellStyle name="Normal 6" xfId="16" xr:uid="{1B74CAD1-DFC9-4D4A-9F20-147374DCF863}"/>
    <cellStyle name="Normal 7" xfId="19" xr:uid="{9151F10D-0620-4283-B7F3-36CD63F2EFA8}"/>
    <cellStyle name="Percent 2" xfId="6" xr:uid="{84DE57B1-D052-4E3A-A944-BA27009A4A86}"/>
    <cellStyle name="Percent 3" xfId="11" xr:uid="{E5027E71-CAE9-406A-92B4-C65A37C0CD79}"/>
  </cellStyles>
  <dxfs count="75">
    <dxf>
      <fill>
        <patternFill>
          <bgColor theme="2"/>
        </patternFill>
      </fill>
    </dxf>
    <dxf>
      <numFmt numFmtId="0" formatCode="General"/>
    </dxf>
    <dxf>
      <numFmt numFmtId="0" formatCode="General"/>
    </dxf>
    <dxf>
      <numFmt numFmtId="0" formatCode="General"/>
    </dxf>
    <dxf>
      <numFmt numFmtId="166" formatCode="_-* #,##0_-;\-* #,##0_-;_-* &quot;-&quot;??_-;_-@_-"/>
    </dxf>
    <dxf>
      <numFmt numFmtId="166" formatCode="_-* #,##0_-;\-* #,##0_-;_-* &quot;-&quot;??_-;_-@_-"/>
    </dxf>
    <dxf>
      <numFmt numFmtId="0" formatCode="General"/>
    </dxf>
    <dxf>
      <numFmt numFmtId="166" formatCode="_-* #,##0_-;\-* #,##0_-;_-* &quot;-&quot;??_-;_-@_-"/>
    </dxf>
    <dxf>
      <font>
        <b val="0"/>
        <i val="0"/>
        <strike val="0"/>
        <condense val="0"/>
        <extend val="0"/>
        <outline val="0"/>
        <shadow val="0"/>
        <u val="none"/>
        <vertAlign val="baseline"/>
        <sz val="11"/>
        <color theme="1"/>
        <name val="Arial"/>
        <family val="2"/>
        <scheme val="none"/>
      </font>
      <numFmt numFmtId="166" formatCode="_-* #,##0_-;\-* #,##0_-;_-* &quot;-&quot;??_-;_-@_-"/>
    </dxf>
    <dxf>
      <numFmt numFmtId="166" formatCode="_-* #,##0_-;\-* #,##0_-;_-* &quot;-&quot;??_-;_-@_-"/>
    </dxf>
    <dxf>
      <font>
        <b val="0"/>
        <i val="0"/>
        <strike val="0"/>
        <condense val="0"/>
        <extend val="0"/>
        <outline val="0"/>
        <shadow val="0"/>
        <u val="none"/>
        <vertAlign val="baseline"/>
        <sz val="11"/>
        <color theme="1"/>
        <name val="Arial"/>
        <family val="2"/>
        <scheme val="none"/>
      </font>
      <numFmt numFmtId="166" formatCode="_-* #,##0_-;\-* #,##0_-;_-* &quot;-&quot;??_-;_-@_-"/>
    </dxf>
    <dxf>
      <numFmt numFmtId="166" formatCode="_-* #,##0_-;\-* #,##0_-;_-* &quot;-&quot;??_-;_-@_-"/>
    </dxf>
    <dxf>
      <font>
        <b val="0"/>
        <i val="0"/>
        <strike val="0"/>
        <condense val="0"/>
        <extend val="0"/>
        <outline val="0"/>
        <shadow val="0"/>
        <u val="none"/>
        <vertAlign val="baseline"/>
        <sz val="11"/>
        <color theme="1"/>
        <name val="Arial"/>
        <family val="2"/>
        <scheme val="none"/>
      </font>
      <numFmt numFmtId="166" formatCode="_-* #,##0_-;\-* #,##0_-;_-* &quot;-&quot;??_-;_-@_-"/>
    </dxf>
    <dxf>
      <alignment horizontal="left" vertical="bottom"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dxf>
    <dxf>
      <numFmt numFmtId="0" formatCode="General"/>
    </dxf>
    <dxf>
      <numFmt numFmtId="0" formatCode="General"/>
    </dxf>
    <dxf>
      <numFmt numFmtId="0" formatCode="General"/>
    </dxf>
    <dxf>
      <border outline="0">
        <top style="thin">
          <color theme="6"/>
        </top>
        <bottom style="thin">
          <color theme="6"/>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left" vertical="center" textRotation="0" wrapText="1" indent="0" justifyLastLine="0" shrinkToFit="0" readingOrder="0"/>
    </dxf>
    <dxf>
      <numFmt numFmtId="30" formatCode="@"/>
      <fill>
        <patternFill patternType="none">
          <fgColor indexed="64"/>
          <bgColor indexed="65"/>
        </patternFill>
      </fill>
    </dxf>
    <dxf>
      <numFmt numFmtId="169" formatCode="0.0"/>
      <fill>
        <patternFill patternType="none">
          <fgColor indexed="64"/>
          <bgColor indexed="65"/>
        </patternFill>
      </fill>
    </dxf>
    <dxf>
      <numFmt numFmtId="169" formatCode="0.0"/>
    </dxf>
    <dxf>
      <numFmt numFmtId="30" formatCode="@"/>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0"/>
        <color theme="1"/>
        <name val="Calibri"/>
        <family val="2"/>
        <scheme val="minor"/>
      </font>
      <numFmt numFmtId="165" formatCode="_(* #,##0_);_(* \(#,##0\);_(* &quot;-&quot;??_);_(@_)"/>
    </dxf>
    <dxf>
      <font>
        <b val="0"/>
        <i val="0"/>
        <strike val="0"/>
        <condense val="0"/>
        <extend val="0"/>
        <outline val="0"/>
        <shadow val="0"/>
        <u val="none"/>
        <vertAlign val="baseline"/>
        <sz val="10"/>
        <color theme="1"/>
        <name val="Calibri"/>
        <family val="2"/>
        <scheme val="minor"/>
      </font>
      <numFmt numFmtId="165" formatCode="_(* #,##0_);_(* \(#,##0\);_(* &quot;-&quot;??_);_(@_)"/>
    </dxf>
    <dxf>
      <font>
        <b val="0"/>
        <i val="0"/>
        <strike val="0"/>
        <condense val="0"/>
        <extend val="0"/>
        <outline val="0"/>
        <shadow val="0"/>
        <u val="none"/>
        <vertAlign val="baseline"/>
        <sz val="10"/>
        <color theme="1"/>
        <name val="Calibri"/>
        <family val="2"/>
        <scheme val="minor"/>
      </font>
      <numFmt numFmtId="168" formatCode="_(* #,##0.0_);_(* \(#,##0.0\);_(* &quot;-&quot;??_);_(@_)"/>
    </dxf>
    <dxf>
      <font>
        <b val="0"/>
        <i val="0"/>
        <strike val="0"/>
        <condense val="0"/>
        <extend val="0"/>
        <outline val="0"/>
        <shadow val="0"/>
        <u val="none"/>
        <vertAlign val="baseline"/>
        <sz val="10"/>
        <color theme="1"/>
        <name val="Calibri"/>
        <family val="2"/>
        <scheme val="minor"/>
      </font>
      <numFmt numFmtId="168" formatCode="_(* #,##0.0_);_(* \(#,##0.0\);_(* &quot;-&quot;??_);_(@_)"/>
    </dxf>
    <dxf>
      <font>
        <b val="0"/>
        <i val="0"/>
        <strike val="0"/>
        <condense val="0"/>
        <extend val="0"/>
        <outline val="0"/>
        <shadow val="0"/>
        <u val="none"/>
        <vertAlign val="baseline"/>
        <sz val="10"/>
        <color theme="1"/>
        <name val="Calibri"/>
        <family val="2"/>
        <scheme val="minor"/>
      </font>
      <numFmt numFmtId="165" formatCode="_(* #,##0_);_(* \(#,##0\);_(* &quot;-&quot;??_);_(@_)"/>
    </dxf>
    <dxf>
      <font>
        <b val="0"/>
        <i val="0"/>
        <strike val="0"/>
        <condense val="0"/>
        <extend val="0"/>
        <outline val="0"/>
        <shadow val="0"/>
        <u val="none"/>
        <vertAlign val="baseline"/>
        <sz val="10"/>
        <color theme="1"/>
        <name val="Calibri"/>
        <family val="2"/>
        <scheme val="minor"/>
      </font>
      <numFmt numFmtId="0" formatCode="General"/>
    </dxf>
    <dxf>
      <font>
        <b val="0"/>
        <i val="0"/>
        <strike val="0"/>
        <condense val="0"/>
        <extend val="0"/>
        <outline val="0"/>
        <shadow val="0"/>
        <u val="none"/>
        <vertAlign val="baseline"/>
        <sz val="10"/>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Calibri"/>
        <family val="2"/>
        <scheme val="minor"/>
      </font>
    </dxf>
    <dxf>
      <border outline="0">
        <top style="thick">
          <color theme="4"/>
        </top>
        <bottom style="thin">
          <color indexed="64"/>
        </bottom>
      </border>
    </dxf>
    <dxf>
      <font>
        <b val="0"/>
        <i val="0"/>
        <strike val="0"/>
        <condense val="0"/>
        <extend val="0"/>
        <outline val="0"/>
        <shadow val="0"/>
        <u val="none"/>
        <vertAlign val="baseline"/>
        <sz val="10"/>
        <color theme="1"/>
        <name val="Calibri"/>
        <family val="2"/>
        <scheme val="minor"/>
      </font>
    </dxf>
    <dxf>
      <font>
        <b/>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1"/>
        <color theme="1"/>
        <name val="Arial"/>
        <family val="2"/>
        <scheme val="none"/>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rial"/>
        <family val="2"/>
        <scheme val="none"/>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rial"/>
        <family val="2"/>
        <scheme val="none"/>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rial"/>
        <family val="2"/>
        <scheme val="none"/>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rial"/>
        <family val="2"/>
        <scheme val="none"/>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rial"/>
        <family val="2"/>
        <scheme val="none"/>
      </font>
      <numFmt numFmtId="0" formatCode="Genera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rial"/>
        <family val="2"/>
        <scheme val="none"/>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rial"/>
        <family val="2"/>
        <scheme val="none"/>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rial"/>
        <family val="2"/>
        <scheme val="none"/>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rial"/>
        <family val="2"/>
        <scheme val="none"/>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rial"/>
        <family val="2"/>
        <scheme val="none"/>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rial"/>
        <family val="2"/>
        <scheme val="none"/>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rial"/>
        <family val="2"/>
        <scheme val="none"/>
      </font>
      <numFmt numFmtId="0" formatCode="Genera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rial"/>
        <family val="2"/>
        <scheme val="none"/>
      </font>
      <numFmt numFmtId="0" formatCode="Genera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rial"/>
        <family val="2"/>
        <scheme val="none"/>
      </font>
      <numFmt numFmtId="0" formatCode="Genera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rial"/>
        <family val="2"/>
        <scheme val="none"/>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rial"/>
        <family val="2"/>
        <scheme val="none"/>
      </font>
    </dxf>
    <dxf>
      <border outline="0">
        <bottom style="thin">
          <color theme="4" tint="0.39997558519241921"/>
        </bottom>
      </border>
    </dxf>
    <dxf>
      <font>
        <b/>
        <i val="0"/>
        <strike val="0"/>
        <condense val="0"/>
        <extend val="0"/>
        <outline val="0"/>
        <shadow val="0"/>
        <u val="none"/>
        <vertAlign val="baseline"/>
        <sz val="11"/>
        <color theme="0"/>
        <name val="Arial"/>
        <family val="2"/>
        <scheme val="none"/>
      </font>
      <fill>
        <patternFill patternType="solid">
          <fgColor theme="4"/>
          <bgColor theme="4"/>
        </patternFill>
      </fill>
    </dxf>
    <dxf>
      <numFmt numFmtId="0" formatCode="General"/>
    </dxf>
    <dxf>
      <numFmt numFmtId="0" formatCode="General"/>
    </dxf>
    <dxf>
      <numFmt numFmtId="0" formatCode="General"/>
    </dxf>
    <dxf>
      <numFmt numFmtId="0" formatCode="General"/>
    </dxf>
    <dxf>
      <alignment horizontal="general" vertical="bottom" textRotation="0" wrapText="1" indent="0" justifyLastLine="0" shrinkToFit="0" readingOrder="0"/>
    </dxf>
    <dxf>
      <border outline="0">
        <top style="thin">
          <color theme="4" tint="0.39997558519241921"/>
        </top>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onnections" Target="connections.xml"/><Relationship Id="rId26" Type="http://schemas.openxmlformats.org/officeDocument/2006/relationships/customXml" Target="../customXml/item4.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kolaj Cilleborg Haulrik" refreshedDate="46133.477645023151" createdVersion="8" refreshedVersion="8" minRefreshableVersion="3" recordCount="2158" xr:uid="{04D82547-1762-4658-A787-A5276E076FCA}">
  <cacheSource type="worksheet">
    <worksheetSource name="Extended_Product_backlog"/>
  </cacheSource>
  <cacheFields count="8">
    <cacheField name="IRM" numFmtId="0">
      <sharedItems/>
    </cacheField>
    <cacheField name="Roadmap Initiative Group" numFmtId="0">
      <sharedItems containsBlank="1" count="7">
        <s v="CORE REVENUE MANAGEMENT CAPABILITIES"/>
        <s v="CORE SUPPORTING CAPABILITIES"/>
        <m/>
        <s v="REFERENCE IMPLEMENTATIONS"/>
        <s v="NON-FUNCTIONAL REQUIREMENT COVERAGE"/>
        <s v="CORE DATA HUB CAPABILITIES"/>
        <s v="CORE SELF SERVICE CAPABILITIES"/>
      </sharedItems>
    </cacheField>
    <cacheField name="Roadmap Initiative" numFmtId="0">
      <sharedItems containsBlank="1" count="34">
        <s v="REGISTRATION"/>
        <s v="CASE MANAGEMENT"/>
        <m/>
        <s v="SELF SERVICE ACCOUNT OVERVIEW"/>
        <s v="TRACEABILITY"/>
        <s v="RELIABILITY"/>
        <s v="REFERENCE DATA"/>
        <s v="BILLING, ASSESSMENTS AND INSTALLMENTS"/>
        <s v="SECURITY"/>
        <s v="SELF SERVICE FILING &amp; PAYMENTS"/>
        <s v="MAINTAINABILITY"/>
        <s v="CONTACT MANAGEMENT"/>
        <s v="DOCUMENT MANAGEMENT INTEGRATION"/>
        <s v="USABILITY"/>
        <s v="PENALTY &amp; INTEREST"/>
        <s v="APPLICATION PROCESSES"/>
        <s v="OPERATIONAL REPORTING"/>
        <s v="AEOI, VIDA &amp; OTHER DATA EXCHANGE"/>
        <s v="TAXPAYER ACCOUNTING"/>
        <s v="PERFORMANCE EFFICIENCY"/>
        <s v="FORM PROCESSING"/>
        <s v="CONTENT MANAGEMENT INTEGRATION"/>
        <s v="UI CONFIGURATION"/>
        <s v="ACCESSIBILITY"/>
        <s v="SELF SERVICE SERVICES MANAGEMENT"/>
        <s v="EXEMPTIONS"/>
        <s v="AEOI, VIDA &amp; OTHER DATA STORAGE"/>
        <s v="EXTENSIBILITY"/>
        <s v="OPERABILITY"/>
        <s v="USER &amp; 3RD PARTY ACCESS MANAGEMENT"/>
        <s v="TEST SUITE OPTIMIZATION"/>
        <s v="TAX ACCOUNTS"/>
        <s v="VAT"/>
        <s v="Batch Processing" u="1"/>
      </sharedItems>
    </cacheField>
    <cacheField name="Roadmap Feature" numFmtId="0">
      <sharedItems/>
    </cacheField>
    <cacheField name="Roadmap Item" numFmtId="0">
      <sharedItems count="15">
        <s v="Build"/>
        <s v="Enriched Jira Features.Summary"/>
        <s v="Enriched Jira Features.Description"/>
        <s v="Enriched Jira Features.Benefit Hypothesis"/>
        <s v="Enriched Jira Features.Acceptance Criteria"/>
        <s v="Analysis &amp; Design"/>
        <s v="Test Preperation"/>
        <s v="Test Execution"/>
        <s v="Finalization (e2e testing, regression, stabilization)"/>
        <s v="Bugfix"/>
        <s v="DevOps" u="1"/>
        <s v="Analyse &amp; Design" u="1"/>
        <s v="Test Preparation" u="1"/>
        <s v="Handover Test" u="1"/>
        <s v="Bugfix &amp; Hypercare" u="1"/>
      </sharedItems>
    </cacheField>
    <cacheField name="Estimate" numFmtId="0">
      <sharedItems containsString="0" containsBlank="1" containsNumber="1" minValue="0.1" maxValue="4266.7"/>
    </cacheField>
    <cacheField name="Requester" numFmtId="0">
      <sharedItems count="3">
        <s v="GRC"/>
        <s v="Other"/>
        <s v="GTM"/>
      </sharedItems>
    </cacheField>
    <cacheField name="PI" numFmtId="0">
      <sharedItems count="7">
        <s v="PI27"/>
        <s v="PI26"/>
        <s v="PI29"/>
        <s v="PI28"/>
        <s v="PI30"/>
        <s v="Not Set" u="1"/>
        <s v="PI25" u="1"/>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kolaj Cilleborg Haulrik" refreshedDate="46133.485101620368" createdVersion="8" refreshedVersion="8" minRefreshableVersion="3" recordCount="222" xr:uid="{BD7209EC-85FC-4973-95E3-10ADC31ABD49}">
  <cacheSource type="worksheet">
    <worksheetSource name="Product_Backlog__Jira"/>
  </cacheSource>
  <cacheFields count="18">
    <cacheField name="IRM" numFmtId="0">
      <sharedItems/>
    </cacheField>
    <cacheField name="Roadmap Initiative Group" numFmtId="0">
      <sharedItems containsBlank="1" count="7">
        <s v="NON-FUNCTIONAL REQUIREMENT COVERAGE"/>
        <m/>
        <s v="CORE REVENUE MANAGEMENT CAPABILITIES"/>
        <s v="CORE SELF SERVICE CAPABILITIES"/>
        <s v="REFERENCE IMPLEMENTATIONS"/>
        <s v="CORE SUPPORTING CAPABILITIES"/>
        <s v="CORE DATA HUB CAPABILITIES"/>
      </sharedItems>
    </cacheField>
    <cacheField name="Roadmap Initiative" numFmtId="0">
      <sharedItems containsBlank="1" count="33">
        <s v="ACCESSIBILITY"/>
        <s v="MAINTAINABILITY"/>
        <s v="USABILITY"/>
        <m/>
        <s v="EXTENSIBILITY"/>
        <s v="TAXPAYER ACCOUNTING"/>
        <s v="PERFORMANCE EFFICIENCY"/>
        <s v="USER &amp; 3RD PARTY ACCESS MANAGEMENT"/>
        <s v="SECURITY"/>
        <s v="TAX ACCOUNTS"/>
        <s v="VAT"/>
        <s v="UI CONFIGURATION"/>
        <s v="FORM PROCESSING"/>
        <s v="TRACEABILITY"/>
        <s v="REFERENCE DATA"/>
        <s v="TEST SUITE OPTIMIZATION"/>
        <s v="REGISTRATION"/>
        <s v="BILLING, ASSESSMENTS AND INSTALLMENTS"/>
        <s v="RELIABILITY"/>
        <s v="DOCUMENT MANAGEMENT INTEGRATION"/>
        <s v="SELF SERVICE SERVICES MANAGEMENT"/>
        <s v="CONTACT MANAGEMENT"/>
        <s v="OPERABILITY"/>
        <s v="AEOI, VIDA &amp; OTHER DATA STORAGE"/>
        <s v="EXEMPTIONS"/>
        <s v="CONTENT MANAGEMENT INTEGRATION"/>
        <s v="CASE MANAGEMENT"/>
        <s v="AEOI, VIDA &amp; OTHER DATA EXCHANGE"/>
        <s v="OPERATIONAL REPORTING"/>
        <s v="APPLICATION PROCESSES"/>
        <s v="PENALTY &amp; INTEREST"/>
        <s v="SELF SERVICE FILING &amp; PAYMENTS"/>
        <s v="SELF SERVICE ACCOUNT OVERVIEW"/>
      </sharedItems>
    </cacheField>
    <cacheField name="Epic" numFmtId="0">
      <sharedItems/>
    </cacheField>
    <cacheField name="Roadmap Feature" numFmtId="0">
      <sharedItems/>
    </cacheField>
    <cacheField name="Status" numFmtId="0">
      <sharedItems/>
    </cacheField>
    <cacheField name="Build Estimate" numFmtId="0">
      <sharedItems containsString="0" containsBlank="1" containsNumber="1" minValue="0.3" maxValue="4266.7"/>
    </cacheField>
    <cacheField name="Requester" numFmtId="0">
      <sharedItems/>
    </cacheField>
    <cacheField name="Calculated PI" numFmtId="0">
      <sharedItems count="5">
        <s v="PI28"/>
        <s v="PI30"/>
        <s v="PI29"/>
        <s v="PI27"/>
        <s v="PI26"/>
      </sharedItems>
    </cacheField>
    <cacheField name="Final Original Estimate" numFmtId="0">
      <sharedItems containsMixedTypes="1" containsNumber="1" minValue="0.8833333333333333" maxValue="12800" count="64">
        <s v="Not set"/>
        <n v="640"/>
        <n v="160"/>
        <n v="96"/>
        <n v="400"/>
        <n v="168"/>
        <n v="224"/>
        <n v="240"/>
        <n v="1600"/>
        <n v="480"/>
        <n v="560"/>
        <n v="424"/>
        <n v="800"/>
        <n v="3200"/>
        <n v="381"/>
        <n v="80"/>
        <n v="136"/>
        <n v="416"/>
        <n v="384"/>
        <n v="544"/>
        <n v="208"/>
        <n v="320"/>
        <n v="572"/>
        <n v="960"/>
        <n v="128"/>
        <n v="443.2"/>
        <n v="1440"/>
        <n v="792"/>
        <n v="112"/>
        <n v="408"/>
        <n v="200"/>
        <n v="32"/>
        <n v="176"/>
        <n v="104"/>
        <n v="8"/>
        <n v="576"/>
        <n v="712"/>
        <n v="64"/>
        <n v="192"/>
        <n v="152"/>
        <n v="336"/>
        <n v="722"/>
        <n v="382"/>
        <n v="60"/>
        <n v="4000"/>
        <n v="1300"/>
        <n v="140"/>
        <n v="420"/>
        <n v="1400"/>
        <n v="2400"/>
        <n v="0.8833333333333333"/>
        <n v="12800"/>
        <n v="88"/>
        <n v="1120"/>
        <n v="1320"/>
        <n v="720"/>
        <n v="3.2"/>
        <n v="138"/>
        <n v="114"/>
        <n v="304"/>
        <n v="120"/>
        <n v="760"/>
        <n v="1304"/>
        <n v="880"/>
      </sharedItems>
    </cacheField>
    <cacheField name="Priority" numFmtId="0">
      <sharedItems/>
    </cacheField>
    <cacheField name="created" numFmtId="0">
      <sharedItems/>
    </cacheField>
    <cacheField name="labels" numFmtId="0">
      <sharedItems/>
    </cacheField>
    <cacheField name="fixVersions" numFmtId="0">
      <sharedItems containsBlank="1"/>
    </cacheField>
    <cacheField name="Enriched Jira Features.Summary" numFmtId="0">
      <sharedItems containsBlank="1"/>
    </cacheField>
    <cacheField name="Enriched Jira Features.Description" numFmtId="0">
      <sharedItems containsBlank="1" longText="1"/>
    </cacheField>
    <cacheField name="Enriched Jira Features.Benefit Hypothesis" numFmtId="0">
      <sharedItems containsBlank="1" longText="1"/>
    </cacheField>
    <cacheField name="Enriched Jira Features.Acceptance Criteria"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58">
  <r>
    <s v="IRM-11539"/>
    <x v="0"/>
    <x v="0"/>
    <s v="View Organizational structure and taxpayers hierarchy structure – User / Part 1 of 2"/>
    <x v="0"/>
    <n v="42.7"/>
    <x v="0"/>
    <x v="0"/>
  </r>
  <r>
    <s v="IRM-11539"/>
    <x v="0"/>
    <x v="0"/>
    <s v="View Organizational structure and taxpayers hierarchy structure – User / Part 1 of 2"/>
    <x v="1"/>
    <m/>
    <x v="0"/>
    <x v="0"/>
  </r>
  <r>
    <s v="IRM-11539"/>
    <x v="0"/>
    <x v="0"/>
    <s v="View Organizational structure and taxpayers hierarchy structure – User / Part 1 of 2"/>
    <x v="2"/>
    <m/>
    <x v="0"/>
    <x v="0"/>
  </r>
  <r>
    <s v="IRM-11539"/>
    <x v="0"/>
    <x v="0"/>
    <s v="View Organizational structure and taxpayers hierarchy structure – User / Part 1 of 2"/>
    <x v="3"/>
    <m/>
    <x v="0"/>
    <x v="0"/>
  </r>
  <r>
    <s v="IRM-11539"/>
    <x v="0"/>
    <x v="0"/>
    <s v="View Organizational structure and taxpayers hierarchy structure – User / Part 1 of 2"/>
    <x v="4"/>
    <m/>
    <x v="0"/>
    <x v="0"/>
  </r>
  <r>
    <s v="IRM-11539"/>
    <x v="0"/>
    <x v="0"/>
    <s v="View Organizational structure and taxpayers hierarchy structure – User / Part 1 of 2"/>
    <x v="5"/>
    <n v="8.5"/>
    <x v="0"/>
    <x v="1"/>
  </r>
  <r>
    <s v="IRM-11539"/>
    <x v="0"/>
    <x v="0"/>
    <s v="View Organizational structure and taxpayers hierarchy structure – User / Part 1 of 2"/>
    <x v="6"/>
    <n v="21.4"/>
    <x v="0"/>
    <x v="0"/>
  </r>
  <r>
    <s v="IRM-11539"/>
    <x v="0"/>
    <x v="0"/>
    <s v="View Organizational structure and taxpayers hierarchy structure – User / Part 1 of 2"/>
    <x v="7"/>
    <n v="17.100000000000001"/>
    <x v="0"/>
    <x v="0"/>
  </r>
  <r>
    <s v="IRM-11539"/>
    <x v="0"/>
    <x v="0"/>
    <s v="View Organizational structure and taxpayers hierarchy structure – User / Part 1 of 2"/>
    <x v="8"/>
    <n v="17.100000000000001"/>
    <x v="0"/>
    <x v="0"/>
  </r>
  <r>
    <s v="IRM-11539"/>
    <x v="0"/>
    <x v="0"/>
    <s v="View Organizational structure and taxpayers hierarchy structure – User / Part 1 of 2"/>
    <x v="9"/>
    <n v="21.4"/>
    <x v="0"/>
    <x v="0"/>
  </r>
  <r>
    <s v="IRM-12464"/>
    <x v="1"/>
    <x v="1"/>
    <s v="Add and Maintain Case - Assign and Unassign Case Workers - Effort - User"/>
    <x v="0"/>
    <n v="140"/>
    <x v="0"/>
    <x v="2"/>
  </r>
  <r>
    <s v="IRM-12464"/>
    <x v="1"/>
    <x v="1"/>
    <s v="Add and Maintain Case - Assign and Unassign Case Workers - Effort - User"/>
    <x v="1"/>
    <m/>
    <x v="0"/>
    <x v="2"/>
  </r>
  <r>
    <s v="IRM-12464"/>
    <x v="1"/>
    <x v="1"/>
    <s v="Add and Maintain Case - Assign and Unassign Case Workers - Effort - User"/>
    <x v="2"/>
    <m/>
    <x v="0"/>
    <x v="2"/>
  </r>
  <r>
    <s v="IRM-12464"/>
    <x v="1"/>
    <x v="1"/>
    <s v="Add and Maintain Case - Assign and Unassign Case Workers - Effort - User"/>
    <x v="3"/>
    <m/>
    <x v="0"/>
    <x v="2"/>
  </r>
  <r>
    <s v="IRM-12464"/>
    <x v="1"/>
    <x v="1"/>
    <s v="Add and Maintain Case - Assign and Unassign Case Workers - Effort - User"/>
    <x v="4"/>
    <m/>
    <x v="0"/>
    <x v="2"/>
  </r>
  <r>
    <s v="IRM-12464"/>
    <x v="1"/>
    <x v="1"/>
    <s v="Add and Maintain Case - Assign and Unassign Case Workers - Effort - User"/>
    <x v="5"/>
    <n v="28"/>
    <x v="0"/>
    <x v="3"/>
  </r>
  <r>
    <s v="IRM-12464"/>
    <x v="1"/>
    <x v="1"/>
    <s v="Add and Maintain Case - Assign and Unassign Case Workers - Effort - User"/>
    <x v="6"/>
    <n v="70"/>
    <x v="0"/>
    <x v="2"/>
  </r>
  <r>
    <s v="IRM-12464"/>
    <x v="1"/>
    <x v="1"/>
    <s v="Add and Maintain Case - Assign and Unassign Case Workers - Effort - User"/>
    <x v="7"/>
    <n v="56"/>
    <x v="0"/>
    <x v="2"/>
  </r>
  <r>
    <s v="IRM-12464"/>
    <x v="1"/>
    <x v="1"/>
    <s v="Add and Maintain Case - Assign and Unassign Case Workers - Effort - User"/>
    <x v="8"/>
    <n v="56"/>
    <x v="0"/>
    <x v="2"/>
  </r>
  <r>
    <s v="IRM-12464"/>
    <x v="1"/>
    <x v="1"/>
    <s v="Add and Maintain Case - Assign and Unassign Case Workers - Effort - User"/>
    <x v="9"/>
    <n v="70"/>
    <x v="0"/>
    <x v="2"/>
  </r>
  <r>
    <s v="IRM-12465"/>
    <x v="1"/>
    <x v="1"/>
    <s v="Define and Maintain Case Type - Case Worker Profiles - Use Availability - Admin"/>
    <x v="0"/>
    <n v="140"/>
    <x v="0"/>
    <x v="2"/>
  </r>
  <r>
    <s v="IRM-12465"/>
    <x v="1"/>
    <x v="1"/>
    <s v="Define and Maintain Case Type - Case Worker Profiles - Use Availability - Admin"/>
    <x v="1"/>
    <m/>
    <x v="0"/>
    <x v="2"/>
  </r>
  <r>
    <s v="IRM-12465"/>
    <x v="1"/>
    <x v="1"/>
    <s v="Define and Maintain Case Type - Case Worker Profiles - Use Availability - Admin"/>
    <x v="2"/>
    <m/>
    <x v="0"/>
    <x v="2"/>
  </r>
  <r>
    <s v="IRM-12465"/>
    <x v="1"/>
    <x v="1"/>
    <s v="Define and Maintain Case Type - Case Worker Profiles - Use Availability - Admin"/>
    <x v="3"/>
    <m/>
    <x v="0"/>
    <x v="2"/>
  </r>
  <r>
    <s v="IRM-12465"/>
    <x v="1"/>
    <x v="1"/>
    <s v="Define and Maintain Case Type - Case Worker Profiles - Use Availability - Admin"/>
    <x v="4"/>
    <m/>
    <x v="0"/>
    <x v="2"/>
  </r>
  <r>
    <s v="IRM-12465"/>
    <x v="1"/>
    <x v="1"/>
    <s v="Define and Maintain Case Type - Case Worker Profiles - Use Availability - Admin"/>
    <x v="5"/>
    <n v="28"/>
    <x v="0"/>
    <x v="3"/>
  </r>
  <r>
    <s v="IRM-12465"/>
    <x v="1"/>
    <x v="1"/>
    <s v="Define and Maintain Case Type - Case Worker Profiles - Use Availability - Admin"/>
    <x v="6"/>
    <n v="70"/>
    <x v="0"/>
    <x v="2"/>
  </r>
  <r>
    <s v="IRM-12465"/>
    <x v="1"/>
    <x v="1"/>
    <s v="Define and Maintain Case Type - Case Worker Profiles - Use Availability - Admin"/>
    <x v="7"/>
    <n v="56"/>
    <x v="0"/>
    <x v="2"/>
  </r>
  <r>
    <s v="IRM-12465"/>
    <x v="1"/>
    <x v="1"/>
    <s v="Define and Maintain Case Type - Case Worker Profiles - Use Availability - Admin"/>
    <x v="8"/>
    <n v="56"/>
    <x v="0"/>
    <x v="2"/>
  </r>
  <r>
    <s v="IRM-12465"/>
    <x v="1"/>
    <x v="1"/>
    <s v="Define and Maintain Case Type - Case Worker Profiles - Use Availability - Admin"/>
    <x v="9"/>
    <n v="70"/>
    <x v="0"/>
    <x v="2"/>
  </r>
  <r>
    <s v="IRM-16272"/>
    <x v="2"/>
    <x v="2"/>
    <s v="PIT - File Original Personal Income Tax Return from Self Service – User"/>
    <x v="0"/>
    <n v="46.7"/>
    <x v="1"/>
    <x v="4"/>
  </r>
  <r>
    <s v="IRM-16272"/>
    <x v="2"/>
    <x v="2"/>
    <s v="PIT - File Original Personal Income Tax Return from Self Service – User"/>
    <x v="1"/>
    <m/>
    <x v="1"/>
    <x v="4"/>
  </r>
  <r>
    <s v="IRM-16272"/>
    <x v="2"/>
    <x v="2"/>
    <s v="PIT - File Original Personal Income Tax Return from Self Service – User"/>
    <x v="2"/>
    <m/>
    <x v="1"/>
    <x v="4"/>
  </r>
  <r>
    <s v="IRM-16272"/>
    <x v="2"/>
    <x v="2"/>
    <s v="PIT - File Original Personal Income Tax Return from Self Service – User"/>
    <x v="3"/>
    <m/>
    <x v="1"/>
    <x v="4"/>
  </r>
  <r>
    <s v="IRM-16272"/>
    <x v="2"/>
    <x v="2"/>
    <s v="PIT - File Original Personal Income Tax Return from Self Service – User"/>
    <x v="4"/>
    <m/>
    <x v="1"/>
    <x v="4"/>
  </r>
  <r>
    <s v="IRM-16272"/>
    <x v="2"/>
    <x v="2"/>
    <s v="PIT - File Original Personal Income Tax Return from Self Service – User"/>
    <x v="5"/>
    <n v="9.3000000000000007"/>
    <x v="1"/>
    <x v="2"/>
  </r>
  <r>
    <s v="IRM-16272"/>
    <x v="2"/>
    <x v="2"/>
    <s v="PIT - File Original Personal Income Tax Return from Self Service – User"/>
    <x v="6"/>
    <n v="23.4"/>
    <x v="1"/>
    <x v="4"/>
  </r>
  <r>
    <s v="IRM-16272"/>
    <x v="2"/>
    <x v="2"/>
    <s v="PIT - File Original Personal Income Tax Return from Self Service – User"/>
    <x v="7"/>
    <n v="18.7"/>
    <x v="1"/>
    <x v="4"/>
  </r>
  <r>
    <s v="IRM-16272"/>
    <x v="2"/>
    <x v="2"/>
    <s v="PIT - File Original Personal Income Tax Return from Self Service – User"/>
    <x v="8"/>
    <n v="18.7"/>
    <x v="1"/>
    <x v="4"/>
  </r>
  <r>
    <s v="IRM-16272"/>
    <x v="2"/>
    <x v="2"/>
    <s v="PIT - File Original Personal Income Tax Return from Self Service – User"/>
    <x v="9"/>
    <n v="23.4"/>
    <x v="1"/>
    <x v="4"/>
  </r>
  <r>
    <s v="IRM-16273"/>
    <x v="2"/>
    <x v="2"/>
    <s v="PIT - Amend Original Personal Income Tax Return from Self Service – User"/>
    <x v="0"/>
    <n v="46.7"/>
    <x v="1"/>
    <x v="4"/>
  </r>
  <r>
    <s v="IRM-16273"/>
    <x v="2"/>
    <x v="2"/>
    <s v="PIT - Amend Original Personal Income Tax Return from Self Service – User"/>
    <x v="1"/>
    <m/>
    <x v="1"/>
    <x v="4"/>
  </r>
  <r>
    <s v="IRM-16273"/>
    <x v="2"/>
    <x v="2"/>
    <s v="PIT - Amend Original Personal Income Tax Return from Self Service – User"/>
    <x v="2"/>
    <m/>
    <x v="1"/>
    <x v="4"/>
  </r>
  <r>
    <s v="IRM-16273"/>
    <x v="2"/>
    <x v="2"/>
    <s v="PIT - Amend Original Personal Income Tax Return from Self Service – User"/>
    <x v="3"/>
    <m/>
    <x v="1"/>
    <x v="4"/>
  </r>
  <r>
    <s v="IRM-16273"/>
    <x v="2"/>
    <x v="2"/>
    <s v="PIT - Amend Original Personal Income Tax Return from Self Service – User"/>
    <x v="4"/>
    <m/>
    <x v="1"/>
    <x v="4"/>
  </r>
  <r>
    <s v="IRM-16273"/>
    <x v="2"/>
    <x v="2"/>
    <s v="PIT - Amend Original Personal Income Tax Return from Self Service – User"/>
    <x v="5"/>
    <n v="9.3000000000000007"/>
    <x v="1"/>
    <x v="2"/>
  </r>
  <r>
    <s v="IRM-16273"/>
    <x v="2"/>
    <x v="2"/>
    <s v="PIT - Amend Original Personal Income Tax Return from Self Service – User"/>
    <x v="6"/>
    <n v="23.4"/>
    <x v="1"/>
    <x v="4"/>
  </r>
  <r>
    <s v="IRM-16273"/>
    <x v="2"/>
    <x v="2"/>
    <s v="PIT - Amend Original Personal Income Tax Return from Self Service – User"/>
    <x v="7"/>
    <n v="18.7"/>
    <x v="1"/>
    <x v="4"/>
  </r>
  <r>
    <s v="IRM-16273"/>
    <x v="2"/>
    <x v="2"/>
    <s v="PIT - Amend Original Personal Income Tax Return from Self Service – User"/>
    <x v="8"/>
    <n v="18.7"/>
    <x v="1"/>
    <x v="4"/>
  </r>
  <r>
    <s v="IRM-16273"/>
    <x v="2"/>
    <x v="2"/>
    <s v="PIT - Amend Original Personal Income Tax Return from Self Service – User"/>
    <x v="9"/>
    <n v="23.4"/>
    <x v="1"/>
    <x v="4"/>
  </r>
  <r>
    <s v="IRM-16516"/>
    <x v="3"/>
    <x v="3"/>
    <s v="SS  Payments - See Taxpayer Account Overview - User - Part 3 - Open/Edit Registration Details"/>
    <x v="0"/>
    <n v="26.7"/>
    <x v="1"/>
    <x v="2"/>
  </r>
  <r>
    <s v="IRM-16516"/>
    <x v="3"/>
    <x v="3"/>
    <s v="SS  Payments - See Taxpayer Account Overview - User - Part 3 - Open/Edit Registration Details"/>
    <x v="1"/>
    <m/>
    <x v="1"/>
    <x v="2"/>
  </r>
  <r>
    <s v="IRM-16516"/>
    <x v="3"/>
    <x v="3"/>
    <s v="SS  Payments - See Taxpayer Account Overview - User - Part 3 - Open/Edit Registration Details"/>
    <x v="2"/>
    <m/>
    <x v="1"/>
    <x v="2"/>
  </r>
  <r>
    <s v="IRM-16516"/>
    <x v="3"/>
    <x v="3"/>
    <s v="SS  Payments - See Taxpayer Account Overview - User - Part 3 - Open/Edit Registration Details"/>
    <x v="3"/>
    <m/>
    <x v="1"/>
    <x v="2"/>
  </r>
  <r>
    <s v="IRM-16516"/>
    <x v="3"/>
    <x v="3"/>
    <s v="SS  Payments - See Taxpayer Account Overview - User - Part 3 - Open/Edit Registration Details"/>
    <x v="4"/>
    <m/>
    <x v="1"/>
    <x v="2"/>
  </r>
  <r>
    <s v="IRM-16516"/>
    <x v="3"/>
    <x v="3"/>
    <s v="SS  Payments - See Taxpayer Account Overview - User - Part 3 - Open/Edit Registration Details"/>
    <x v="5"/>
    <n v="5.3"/>
    <x v="1"/>
    <x v="3"/>
  </r>
  <r>
    <s v="IRM-16516"/>
    <x v="3"/>
    <x v="3"/>
    <s v="SS  Payments - See Taxpayer Account Overview - User - Part 3 - Open/Edit Registration Details"/>
    <x v="6"/>
    <n v="13.4"/>
    <x v="1"/>
    <x v="2"/>
  </r>
  <r>
    <s v="IRM-16516"/>
    <x v="3"/>
    <x v="3"/>
    <s v="SS  Payments - See Taxpayer Account Overview - User - Part 3 - Open/Edit Registration Details"/>
    <x v="7"/>
    <n v="10.7"/>
    <x v="1"/>
    <x v="2"/>
  </r>
  <r>
    <s v="IRM-16516"/>
    <x v="3"/>
    <x v="3"/>
    <s v="SS  Payments - See Taxpayer Account Overview - User - Part 3 - Open/Edit Registration Details"/>
    <x v="8"/>
    <n v="10.7"/>
    <x v="1"/>
    <x v="2"/>
  </r>
  <r>
    <s v="IRM-16516"/>
    <x v="3"/>
    <x v="3"/>
    <s v="SS  Payments - See Taxpayer Account Overview - User - Part 3 - Open/Edit Registration Details"/>
    <x v="9"/>
    <n v="13.4"/>
    <x v="1"/>
    <x v="2"/>
  </r>
  <r>
    <s v="IRM-17620"/>
    <x v="4"/>
    <x v="4"/>
    <s v="Support Audit Trail for Statute of Limitation Date modifications in IRM - Admin"/>
    <x v="0"/>
    <n v="213.3"/>
    <x v="1"/>
    <x v="2"/>
  </r>
  <r>
    <s v="IRM-17620"/>
    <x v="4"/>
    <x v="4"/>
    <s v="Support Audit Trail for Statute of Limitation Date modifications in IRM - Admin"/>
    <x v="1"/>
    <m/>
    <x v="1"/>
    <x v="2"/>
  </r>
  <r>
    <s v="IRM-17620"/>
    <x v="4"/>
    <x v="4"/>
    <s v="Support Audit Trail for Statute of Limitation Date modifications in IRM - Admin"/>
    <x v="2"/>
    <m/>
    <x v="1"/>
    <x v="2"/>
  </r>
  <r>
    <s v="IRM-17620"/>
    <x v="4"/>
    <x v="4"/>
    <s v="Support Audit Trail for Statute of Limitation Date modifications in IRM - Admin"/>
    <x v="3"/>
    <m/>
    <x v="1"/>
    <x v="2"/>
  </r>
  <r>
    <s v="IRM-17620"/>
    <x v="4"/>
    <x v="4"/>
    <s v="Support Audit Trail for Statute of Limitation Date modifications in IRM - Admin"/>
    <x v="4"/>
    <m/>
    <x v="1"/>
    <x v="2"/>
  </r>
  <r>
    <s v="IRM-17620"/>
    <x v="4"/>
    <x v="4"/>
    <s v="Support Audit Trail for Statute of Limitation Date modifications in IRM - Admin"/>
    <x v="5"/>
    <n v="42.7"/>
    <x v="1"/>
    <x v="3"/>
  </r>
  <r>
    <s v="IRM-17620"/>
    <x v="4"/>
    <x v="4"/>
    <s v="Support Audit Trail for Statute of Limitation Date modifications in IRM - Admin"/>
    <x v="6"/>
    <n v="106.6"/>
    <x v="1"/>
    <x v="2"/>
  </r>
  <r>
    <s v="IRM-17620"/>
    <x v="4"/>
    <x v="4"/>
    <s v="Support Audit Trail for Statute of Limitation Date modifications in IRM - Admin"/>
    <x v="7"/>
    <n v="85.3"/>
    <x v="1"/>
    <x v="2"/>
  </r>
  <r>
    <s v="IRM-17620"/>
    <x v="4"/>
    <x v="4"/>
    <s v="Support Audit Trail for Statute of Limitation Date modifications in IRM - Admin"/>
    <x v="8"/>
    <n v="85.3"/>
    <x v="1"/>
    <x v="2"/>
  </r>
  <r>
    <s v="IRM-17620"/>
    <x v="4"/>
    <x v="4"/>
    <s v="Support Audit Trail for Statute of Limitation Date modifications in IRM - Admin"/>
    <x v="9"/>
    <n v="106.6"/>
    <x v="1"/>
    <x v="2"/>
  </r>
  <r>
    <s v="IRM-17803"/>
    <x v="4"/>
    <x v="5"/>
    <s v="Analysis : When Fts/Journal Entries creation fails, admin can re-create them using a system process"/>
    <x v="0"/>
    <n v="46.7"/>
    <x v="0"/>
    <x v="4"/>
  </r>
  <r>
    <s v="IRM-17803"/>
    <x v="4"/>
    <x v="5"/>
    <s v="Analysis : When Fts/Journal Entries creation fails, admin can re-create them using a system process"/>
    <x v="1"/>
    <m/>
    <x v="0"/>
    <x v="4"/>
  </r>
  <r>
    <s v="IRM-17803"/>
    <x v="4"/>
    <x v="5"/>
    <s v="Analysis : When Fts/Journal Entries creation fails, admin can re-create them using a system process"/>
    <x v="2"/>
    <m/>
    <x v="0"/>
    <x v="4"/>
  </r>
  <r>
    <s v="IRM-17803"/>
    <x v="4"/>
    <x v="5"/>
    <s v="Analysis : When Fts/Journal Entries creation fails, admin can re-create them using a system process"/>
    <x v="3"/>
    <m/>
    <x v="0"/>
    <x v="4"/>
  </r>
  <r>
    <s v="IRM-17803"/>
    <x v="4"/>
    <x v="5"/>
    <s v="Analysis : When Fts/Journal Entries creation fails, admin can re-create them using a system process"/>
    <x v="4"/>
    <m/>
    <x v="0"/>
    <x v="4"/>
  </r>
  <r>
    <s v="IRM-17803"/>
    <x v="4"/>
    <x v="5"/>
    <s v="Analysis : When Fts/Journal Entries creation fails, admin can re-create them using a system process"/>
    <x v="5"/>
    <n v="9.3000000000000007"/>
    <x v="0"/>
    <x v="2"/>
  </r>
  <r>
    <s v="IRM-17803"/>
    <x v="4"/>
    <x v="5"/>
    <s v="Analysis : When Fts/Journal Entries creation fails, admin can re-create them using a system process"/>
    <x v="6"/>
    <n v="23.4"/>
    <x v="0"/>
    <x v="4"/>
  </r>
  <r>
    <s v="IRM-17803"/>
    <x v="4"/>
    <x v="5"/>
    <s v="Analysis : When Fts/Journal Entries creation fails, admin can re-create them using a system process"/>
    <x v="7"/>
    <n v="18.7"/>
    <x v="0"/>
    <x v="4"/>
  </r>
  <r>
    <s v="IRM-17803"/>
    <x v="4"/>
    <x v="5"/>
    <s v="Analysis : When Fts/Journal Entries creation fails, admin can re-create them using a system process"/>
    <x v="8"/>
    <n v="18.7"/>
    <x v="0"/>
    <x v="4"/>
  </r>
  <r>
    <s v="IRM-17803"/>
    <x v="4"/>
    <x v="5"/>
    <s v="Analysis : When Fts/Journal Entries creation fails, admin can re-create them using a system process"/>
    <x v="9"/>
    <n v="23.4"/>
    <x v="0"/>
    <x v="4"/>
  </r>
  <r>
    <s v="IRM-18729"/>
    <x v="1"/>
    <x v="6"/>
    <s v="Import Code Lists - Admin"/>
    <x v="0"/>
    <n v="140"/>
    <x v="0"/>
    <x v="2"/>
  </r>
  <r>
    <s v="IRM-18729"/>
    <x v="1"/>
    <x v="6"/>
    <s v="Import Code Lists - Admin"/>
    <x v="1"/>
    <m/>
    <x v="0"/>
    <x v="2"/>
  </r>
  <r>
    <s v="IRM-18729"/>
    <x v="1"/>
    <x v="6"/>
    <s v="Import Code Lists - Admin"/>
    <x v="2"/>
    <m/>
    <x v="0"/>
    <x v="2"/>
  </r>
  <r>
    <s v="IRM-18729"/>
    <x v="1"/>
    <x v="6"/>
    <s v="Import Code Lists - Admin"/>
    <x v="3"/>
    <m/>
    <x v="0"/>
    <x v="2"/>
  </r>
  <r>
    <s v="IRM-18729"/>
    <x v="1"/>
    <x v="6"/>
    <s v="Import Code Lists - Admin"/>
    <x v="4"/>
    <m/>
    <x v="0"/>
    <x v="2"/>
  </r>
  <r>
    <s v="IRM-18729"/>
    <x v="1"/>
    <x v="6"/>
    <s v="Import Code Lists - Admin"/>
    <x v="5"/>
    <n v="28"/>
    <x v="0"/>
    <x v="3"/>
  </r>
  <r>
    <s v="IRM-18729"/>
    <x v="1"/>
    <x v="6"/>
    <s v="Import Code Lists - Admin"/>
    <x v="6"/>
    <n v="70"/>
    <x v="0"/>
    <x v="2"/>
  </r>
  <r>
    <s v="IRM-18729"/>
    <x v="1"/>
    <x v="6"/>
    <s v="Import Code Lists - Admin"/>
    <x v="7"/>
    <n v="56"/>
    <x v="0"/>
    <x v="2"/>
  </r>
  <r>
    <s v="IRM-18729"/>
    <x v="1"/>
    <x v="6"/>
    <s v="Import Code Lists - Admin"/>
    <x v="8"/>
    <n v="56"/>
    <x v="0"/>
    <x v="2"/>
  </r>
  <r>
    <s v="IRM-18729"/>
    <x v="1"/>
    <x v="6"/>
    <s v="Import Code Lists - Admin"/>
    <x v="9"/>
    <n v="70"/>
    <x v="0"/>
    <x v="2"/>
  </r>
  <r>
    <s v="IRM-18730"/>
    <x v="1"/>
    <x v="6"/>
    <s v="Export Code List"/>
    <x v="0"/>
    <n v="140"/>
    <x v="0"/>
    <x v="2"/>
  </r>
  <r>
    <s v="IRM-18730"/>
    <x v="1"/>
    <x v="6"/>
    <s v="Export Code List"/>
    <x v="1"/>
    <m/>
    <x v="0"/>
    <x v="2"/>
  </r>
  <r>
    <s v="IRM-18730"/>
    <x v="1"/>
    <x v="6"/>
    <s v="Export Code List"/>
    <x v="2"/>
    <m/>
    <x v="0"/>
    <x v="2"/>
  </r>
  <r>
    <s v="IRM-18730"/>
    <x v="1"/>
    <x v="6"/>
    <s v="Export Code List"/>
    <x v="3"/>
    <m/>
    <x v="0"/>
    <x v="2"/>
  </r>
  <r>
    <s v="IRM-18730"/>
    <x v="1"/>
    <x v="6"/>
    <s v="Export Code List"/>
    <x v="4"/>
    <m/>
    <x v="0"/>
    <x v="2"/>
  </r>
  <r>
    <s v="IRM-18730"/>
    <x v="1"/>
    <x v="6"/>
    <s v="Export Code List"/>
    <x v="5"/>
    <n v="28"/>
    <x v="0"/>
    <x v="3"/>
  </r>
  <r>
    <s v="IRM-18730"/>
    <x v="1"/>
    <x v="6"/>
    <s v="Export Code List"/>
    <x v="6"/>
    <n v="70"/>
    <x v="0"/>
    <x v="2"/>
  </r>
  <r>
    <s v="IRM-18730"/>
    <x v="1"/>
    <x v="6"/>
    <s v="Export Code List"/>
    <x v="7"/>
    <n v="56"/>
    <x v="0"/>
    <x v="2"/>
  </r>
  <r>
    <s v="IRM-18730"/>
    <x v="1"/>
    <x v="6"/>
    <s v="Export Code List"/>
    <x v="8"/>
    <n v="56"/>
    <x v="0"/>
    <x v="2"/>
  </r>
  <r>
    <s v="IRM-18730"/>
    <x v="1"/>
    <x v="6"/>
    <s v="Export Code List"/>
    <x v="9"/>
    <n v="70"/>
    <x v="0"/>
    <x v="2"/>
  </r>
  <r>
    <s v="IRM-19256"/>
    <x v="2"/>
    <x v="2"/>
    <s v="PIT -  Support saving a declaration form in ISS where calculated tax is displayed prior submitting "/>
    <x v="0"/>
    <n v="2.7"/>
    <x v="0"/>
    <x v="2"/>
  </r>
  <r>
    <s v="IRM-19256"/>
    <x v="2"/>
    <x v="2"/>
    <s v="PIT -  Support saving a declaration form in ISS where calculated tax is displayed prior submitting "/>
    <x v="1"/>
    <m/>
    <x v="0"/>
    <x v="2"/>
  </r>
  <r>
    <s v="IRM-19256"/>
    <x v="2"/>
    <x v="2"/>
    <s v="PIT -  Support saving a declaration form in ISS where calculated tax is displayed prior submitting "/>
    <x v="2"/>
    <m/>
    <x v="0"/>
    <x v="2"/>
  </r>
  <r>
    <s v="IRM-19256"/>
    <x v="2"/>
    <x v="2"/>
    <s v="PIT -  Support saving a declaration form in ISS where calculated tax is displayed prior submitting "/>
    <x v="3"/>
    <m/>
    <x v="0"/>
    <x v="2"/>
  </r>
  <r>
    <s v="IRM-19256"/>
    <x v="2"/>
    <x v="2"/>
    <s v="PIT -  Support saving a declaration form in ISS where calculated tax is displayed prior submitting "/>
    <x v="4"/>
    <m/>
    <x v="0"/>
    <x v="2"/>
  </r>
  <r>
    <s v="IRM-19256"/>
    <x v="2"/>
    <x v="2"/>
    <s v="PIT -  Support saving a declaration form in ISS where calculated tax is displayed prior submitting "/>
    <x v="5"/>
    <n v="0.5"/>
    <x v="0"/>
    <x v="3"/>
  </r>
  <r>
    <s v="IRM-19256"/>
    <x v="2"/>
    <x v="2"/>
    <s v="PIT -  Support saving a declaration form in ISS where calculated tax is displayed prior submitting "/>
    <x v="6"/>
    <n v="1.4"/>
    <x v="0"/>
    <x v="2"/>
  </r>
  <r>
    <s v="IRM-19256"/>
    <x v="2"/>
    <x v="2"/>
    <s v="PIT -  Support saving a declaration form in ISS where calculated tax is displayed prior submitting "/>
    <x v="7"/>
    <n v="1.1000000000000001"/>
    <x v="0"/>
    <x v="2"/>
  </r>
  <r>
    <s v="IRM-19256"/>
    <x v="2"/>
    <x v="2"/>
    <s v="PIT -  Support saving a declaration form in ISS where calculated tax is displayed prior submitting "/>
    <x v="8"/>
    <n v="1.1000000000000001"/>
    <x v="0"/>
    <x v="2"/>
  </r>
  <r>
    <s v="IRM-19256"/>
    <x v="2"/>
    <x v="2"/>
    <s v="PIT -  Support saving a declaration form in ISS where calculated tax is displayed prior submitting "/>
    <x v="9"/>
    <n v="1.4"/>
    <x v="0"/>
    <x v="2"/>
  </r>
  <r>
    <s v="IRM-19514"/>
    <x v="0"/>
    <x v="7"/>
    <s v="Add and Maintain Ad-hoc Obligations – Pay Instalment Actions and Categories"/>
    <x v="0"/>
    <n v="293.3"/>
    <x v="0"/>
    <x v="3"/>
  </r>
  <r>
    <s v="IRM-19514"/>
    <x v="0"/>
    <x v="7"/>
    <s v="Add and Maintain Ad-hoc Obligations – Pay Instalment Actions and Categories"/>
    <x v="1"/>
    <m/>
    <x v="0"/>
    <x v="3"/>
  </r>
  <r>
    <s v="IRM-19514"/>
    <x v="0"/>
    <x v="7"/>
    <s v="Add and Maintain Ad-hoc Obligations – Pay Instalment Actions and Categories"/>
    <x v="2"/>
    <m/>
    <x v="0"/>
    <x v="3"/>
  </r>
  <r>
    <s v="IRM-19514"/>
    <x v="0"/>
    <x v="7"/>
    <s v="Add and Maintain Ad-hoc Obligations – Pay Instalment Actions and Categories"/>
    <x v="3"/>
    <m/>
    <x v="0"/>
    <x v="3"/>
  </r>
  <r>
    <s v="IRM-19514"/>
    <x v="0"/>
    <x v="7"/>
    <s v="Add and Maintain Ad-hoc Obligations – Pay Instalment Actions and Categories"/>
    <x v="4"/>
    <m/>
    <x v="0"/>
    <x v="3"/>
  </r>
  <r>
    <s v="IRM-19514"/>
    <x v="0"/>
    <x v="7"/>
    <s v="Add and Maintain Ad-hoc Obligations – Pay Instalment Actions and Categories"/>
    <x v="5"/>
    <n v="58.7"/>
    <x v="0"/>
    <x v="0"/>
  </r>
  <r>
    <s v="IRM-19514"/>
    <x v="0"/>
    <x v="7"/>
    <s v="Add and Maintain Ad-hoc Obligations – Pay Instalment Actions and Categories"/>
    <x v="6"/>
    <n v="146.6"/>
    <x v="0"/>
    <x v="3"/>
  </r>
  <r>
    <s v="IRM-19514"/>
    <x v="0"/>
    <x v="7"/>
    <s v="Add and Maintain Ad-hoc Obligations – Pay Instalment Actions and Categories"/>
    <x v="7"/>
    <n v="117.3"/>
    <x v="0"/>
    <x v="3"/>
  </r>
  <r>
    <s v="IRM-19514"/>
    <x v="0"/>
    <x v="7"/>
    <s v="Add and Maintain Ad-hoc Obligations – Pay Instalment Actions and Categories"/>
    <x v="8"/>
    <n v="117.3"/>
    <x v="0"/>
    <x v="3"/>
  </r>
  <r>
    <s v="IRM-19514"/>
    <x v="0"/>
    <x v="7"/>
    <s v="Add and Maintain Ad-hoc Obligations – Pay Instalment Actions and Categories"/>
    <x v="9"/>
    <n v="146.6"/>
    <x v="0"/>
    <x v="3"/>
  </r>
  <r>
    <s v="IRM-20329"/>
    <x v="4"/>
    <x v="8"/>
    <s v="Data Security - Restrict Access to Personal Data GDPR- Admin (based on data classifications) - Part 1/4"/>
    <x v="0"/>
    <n v="434.7"/>
    <x v="1"/>
    <x v="3"/>
  </r>
  <r>
    <s v="IRM-20329"/>
    <x v="4"/>
    <x v="8"/>
    <s v="Data Security - Restrict Access to Personal Data GDPR- Admin (based on data classifications) - Part 1/4"/>
    <x v="1"/>
    <m/>
    <x v="1"/>
    <x v="3"/>
  </r>
  <r>
    <s v="IRM-20329"/>
    <x v="4"/>
    <x v="8"/>
    <s v="Data Security - Restrict Access to Personal Data GDPR- Admin (based on data classifications) - Part 1/4"/>
    <x v="2"/>
    <m/>
    <x v="1"/>
    <x v="3"/>
  </r>
  <r>
    <s v="IRM-20329"/>
    <x v="4"/>
    <x v="8"/>
    <s v="Data Security - Restrict Access to Personal Data GDPR- Admin (based on data classifications) - Part 1/4"/>
    <x v="3"/>
    <m/>
    <x v="1"/>
    <x v="3"/>
  </r>
  <r>
    <s v="IRM-20329"/>
    <x v="4"/>
    <x v="8"/>
    <s v="Data Security - Restrict Access to Personal Data GDPR- Admin (based on data classifications) - Part 1/4"/>
    <x v="4"/>
    <m/>
    <x v="1"/>
    <x v="3"/>
  </r>
  <r>
    <s v="IRM-20329"/>
    <x v="4"/>
    <x v="8"/>
    <s v="Data Security - Restrict Access to Personal Data GDPR- Admin (based on data classifications) - Part 1/4"/>
    <x v="5"/>
    <n v="86.9"/>
    <x v="1"/>
    <x v="0"/>
  </r>
  <r>
    <s v="IRM-20329"/>
    <x v="4"/>
    <x v="8"/>
    <s v="Data Security - Restrict Access to Personal Data GDPR- Admin (based on data classifications) - Part 1/4"/>
    <x v="6"/>
    <n v="217.4"/>
    <x v="1"/>
    <x v="3"/>
  </r>
  <r>
    <s v="IRM-20329"/>
    <x v="4"/>
    <x v="8"/>
    <s v="Data Security - Restrict Access to Personal Data GDPR- Admin (based on data classifications) - Part 1/4"/>
    <x v="7"/>
    <n v="173.9"/>
    <x v="1"/>
    <x v="3"/>
  </r>
  <r>
    <s v="IRM-20329"/>
    <x v="4"/>
    <x v="8"/>
    <s v="Data Security - Restrict Access to Personal Data GDPR- Admin (based on data classifications) - Part 1/4"/>
    <x v="8"/>
    <n v="173.9"/>
    <x v="1"/>
    <x v="3"/>
  </r>
  <r>
    <s v="IRM-20329"/>
    <x v="4"/>
    <x v="8"/>
    <s v="Data Security - Restrict Access to Personal Data GDPR- Admin (based on data classifications) - Part 1/4"/>
    <x v="9"/>
    <n v="217.4"/>
    <x v="1"/>
    <x v="3"/>
  </r>
  <r>
    <s v="IRM-20399"/>
    <x v="2"/>
    <x v="2"/>
    <s v="PenTest - Harden API requests with expression patterns allowed"/>
    <x v="0"/>
    <n v="266.7"/>
    <x v="1"/>
    <x v="2"/>
  </r>
  <r>
    <s v="IRM-20399"/>
    <x v="2"/>
    <x v="2"/>
    <s v="PenTest - Harden API requests with expression patterns allowed"/>
    <x v="5"/>
    <n v="53.3"/>
    <x v="1"/>
    <x v="3"/>
  </r>
  <r>
    <s v="IRM-20399"/>
    <x v="2"/>
    <x v="2"/>
    <s v="PenTest - Harden API requests with expression patterns allowed"/>
    <x v="6"/>
    <n v="133.4"/>
    <x v="1"/>
    <x v="2"/>
  </r>
  <r>
    <s v="IRM-20399"/>
    <x v="2"/>
    <x v="2"/>
    <s v="PenTest - Harden API requests with expression patterns allowed"/>
    <x v="7"/>
    <n v="106.7"/>
    <x v="1"/>
    <x v="2"/>
  </r>
  <r>
    <s v="IRM-20399"/>
    <x v="2"/>
    <x v="2"/>
    <s v="PenTest - Harden API requests with expression patterns allowed"/>
    <x v="8"/>
    <n v="106.7"/>
    <x v="1"/>
    <x v="2"/>
  </r>
  <r>
    <s v="IRM-20399"/>
    <x v="2"/>
    <x v="2"/>
    <s v="PenTest - Harden API requests with expression patterns allowed"/>
    <x v="9"/>
    <n v="133.4"/>
    <x v="1"/>
    <x v="2"/>
  </r>
  <r>
    <s v="IRM-25436"/>
    <x v="3"/>
    <x v="9"/>
    <s v="SS Enhancements - Refactor existing self service pages to work through services implementation - part 4 / Important"/>
    <x v="0"/>
    <n v="373.3"/>
    <x v="0"/>
    <x v="2"/>
  </r>
  <r>
    <s v="IRM-25436"/>
    <x v="3"/>
    <x v="9"/>
    <s v="SS Enhancements - Refactor existing self service pages to work through services implementation - part 4 / Important"/>
    <x v="1"/>
    <m/>
    <x v="0"/>
    <x v="2"/>
  </r>
  <r>
    <s v="IRM-25436"/>
    <x v="3"/>
    <x v="9"/>
    <s v="SS Enhancements - Refactor existing self service pages to work through services implementation - part 4 / Important"/>
    <x v="2"/>
    <m/>
    <x v="0"/>
    <x v="2"/>
  </r>
  <r>
    <s v="IRM-25436"/>
    <x v="3"/>
    <x v="9"/>
    <s v="SS Enhancements - Refactor existing self service pages to work through services implementation - part 4 / Important"/>
    <x v="3"/>
    <m/>
    <x v="0"/>
    <x v="2"/>
  </r>
  <r>
    <s v="IRM-25436"/>
    <x v="3"/>
    <x v="9"/>
    <s v="SS Enhancements - Refactor existing self service pages to work through services implementation - part 4 / Important"/>
    <x v="4"/>
    <m/>
    <x v="0"/>
    <x v="2"/>
  </r>
  <r>
    <s v="IRM-25436"/>
    <x v="3"/>
    <x v="9"/>
    <s v="SS Enhancements - Refactor existing self service pages to work through services implementation - part 4 / Important"/>
    <x v="5"/>
    <n v="74.7"/>
    <x v="0"/>
    <x v="3"/>
  </r>
  <r>
    <s v="IRM-25436"/>
    <x v="3"/>
    <x v="9"/>
    <s v="SS Enhancements - Refactor existing self service pages to work through services implementation - part 4 / Important"/>
    <x v="6"/>
    <n v="186.6"/>
    <x v="0"/>
    <x v="2"/>
  </r>
  <r>
    <s v="IRM-25436"/>
    <x v="3"/>
    <x v="9"/>
    <s v="SS Enhancements - Refactor existing self service pages to work through services implementation - part 4 / Important"/>
    <x v="7"/>
    <n v="149.30000000000001"/>
    <x v="0"/>
    <x v="2"/>
  </r>
  <r>
    <s v="IRM-25436"/>
    <x v="3"/>
    <x v="9"/>
    <s v="SS Enhancements - Refactor existing self service pages to work through services implementation - part 4 / Important"/>
    <x v="8"/>
    <n v="149.30000000000001"/>
    <x v="0"/>
    <x v="2"/>
  </r>
  <r>
    <s v="IRM-25436"/>
    <x v="3"/>
    <x v="9"/>
    <s v="SS Enhancements - Refactor existing self service pages to work through services implementation - part 4 / Important"/>
    <x v="9"/>
    <n v="186.6"/>
    <x v="0"/>
    <x v="2"/>
  </r>
  <r>
    <s v="IRM-26090"/>
    <x v="4"/>
    <x v="10"/>
    <s v="Technology Management - Breaking Changes for Solon 3.0.0 (Current PI27)"/>
    <x v="0"/>
    <n v="69.3"/>
    <x v="0"/>
    <x v="0"/>
  </r>
  <r>
    <s v="IRM-26090"/>
    <x v="4"/>
    <x v="10"/>
    <s v="Technology Management - Breaking Changes for Solon 3.0.0 (Current PI27)"/>
    <x v="1"/>
    <m/>
    <x v="0"/>
    <x v="0"/>
  </r>
  <r>
    <s v="IRM-26090"/>
    <x v="4"/>
    <x v="10"/>
    <s v="Technology Management - Breaking Changes for Solon 3.0.0 (Current PI27)"/>
    <x v="2"/>
    <m/>
    <x v="0"/>
    <x v="0"/>
  </r>
  <r>
    <s v="IRM-26090"/>
    <x v="4"/>
    <x v="10"/>
    <s v="Technology Management - Breaking Changes for Solon 3.0.0 (Current PI27)"/>
    <x v="3"/>
    <m/>
    <x v="0"/>
    <x v="0"/>
  </r>
  <r>
    <s v="IRM-26090"/>
    <x v="4"/>
    <x v="10"/>
    <s v="Technology Management - Breaking Changes for Solon 3.0.0 (Current PI27)"/>
    <x v="4"/>
    <m/>
    <x v="0"/>
    <x v="0"/>
  </r>
  <r>
    <s v="IRM-26090"/>
    <x v="4"/>
    <x v="10"/>
    <s v="Technology Management - Breaking Changes for Solon 3.0.0 (Current PI27)"/>
    <x v="5"/>
    <n v="13.9"/>
    <x v="0"/>
    <x v="1"/>
  </r>
  <r>
    <s v="IRM-26090"/>
    <x v="4"/>
    <x v="10"/>
    <s v="Technology Management - Breaking Changes for Solon 3.0.0 (Current PI27)"/>
    <x v="6"/>
    <n v="34.6"/>
    <x v="0"/>
    <x v="0"/>
  </r>
  <r>
    <s v="IRM-26090"/>
    <x v="4"/>
    <x v="10"/>
    <s v="Technology Management - Breaking Changes for Solon 3.0.0 (Current PI27)"/>
    <x v="7"/>
    <n v="27.7"/>
    <x v="0"/>
    <x v="0"/>
  </r>
  <r>
    <s v="IRM-26090"/>
    <x v="4"/>
    <x v="10"/>
    <s v="Technology Management - Breaking Changes for Solon 3.0.0 (Current PI27)"/>
    <x v="8"/>
    <n v="27.7"/>
    <x v="0"/>
    <x v="0"/>
  </r>
  <r>
    <s v="IRM-26090"/>
    <x v="4"/>
    <x v="10"/>
    <s v="Technology Management - Breaking Changes for Solon 3.0.0 (Current PI27)"/>
    <x v="9"/>
    <n v="34.6"/>
    <x v="0"/>
    <x v="0"/>
  </r>
  <r>
    <s v="IRM-26949"/>
    <x v="1"/>
    <x v="11"/>
    <s v="Assign Unique Number to Incoming and Outgoing Documents"/>
    <x v="0"/>
    <n v="253.3"/>
    <x v="0"/>
    <x v="3"/>
  </r>
  <r>
    <s v="IRM-26949"/>
    <x v="1"/>
    <x v="11"/>
    <s v="Assign Unique Number to Incoming and Outgoing Documents"/>
    <x v="1"/>
    <m/>
    <x v="0"/>
    <x v="3"/>
  </r>
  <r>
    <s v="IRM-26949"/>
    <x v="1"/>
    <x v="11"/>
    <s v="Assign Unique Number to Incoming and Outgoing Documents"/>
    <x v="2"/>
    <m/>
    <x v="0"/>
    <x v="3"/>
  </r>
  <r>
    <s v="IRM-26949"/>
    <x v="1"/>
    <x v="11"/>
    <s v="Assign Unique Number to Incoming and Outgoing Documents"/>
    <x v="3"/>
    <m/>
    <x v="0"/>
    <x v="3"/>
  </r>
  <r>
    <s v="IRM-26949"/>
    <x v="1"/>
    <x v="11"/>
    <s v="Assign Unique Number to Incoming and Outgoing Documents"/>
    <x v="4"/>
    <m/>
    <x v="0"/>
    <x v="3"/>
  </r>
  <r>
    <s v="IRM-26949"/>
    <x v="1"/>
    <x v="11"/>
    <s v="Assign Unique Number to Incoming and Outgoing Documents"/>
    <x v="5"/>
    <n v="50.7"/>
    <x v="0"/>
    <x v="0"/>
  </r>
  <r>
    <s v="IRM-26949"/>
    <x v="1"/>
    <x v="11"/>
    <s v="Assign Unique Number to Incoming and Outgoing Documents"/>
    <x v="6"/>
    <n v="126.6"/>
    <x v="0"/>
    <x v="3"/>
  </r>
  <r>
    <s v="IRM-26949"/>
    <x v="1"/>
    <x v="11"/>
    <s v="Assign Unique Number to Incoming and Outgoing Documents"/>
    <x v="7"/>
    <n v="101.3"/>
    <x v="0"/>
    <x v="3"/>
  </r>
  <r>
    <s v="IRM-26949"/>
    <x v="1"/>
    <x v="11"/>
    <s v="Assign Unique Number to Incoming and Outgoing Documents"/>
    <x v="8"/>
    <n v="101.3"/>
    <x v="0"/>
    <x v="3"/>
  </r>
  <r>
    <s v="IRM-26949"/>
    <x v="1"/>
    <x v="11"/>
    <s v="Assign Unique Number to Incoming and Outgoing Documents"/>
    <x v="9"/>
    <n v="126.6"/>
    <x v="0"/>
    <x v="3"/>
  </r>
  <r>
    <s v="IRM-26951"/>
    <x v="1"/>
    <x v="11"/>
    <s v="Send Outbound Message Manually to Multiple Recipients - Admin"/>
    <x v="0"/>
    <n v="40"/>
    <x v="0"/>
    <x v="0"/>
  </r>
  <r>
    <s v="IRM-26951"/>
    <x v="1"/>
    <x v="11"/>
    <s v="Send Outbound Message Manually to Multiple Recipients - Admin"/>
    <x v="1"/>
    <m/>
    <x v="0"/>
    <x v="0"/>
  </r>
  <r>
    <s v="IRM-26951"/>
    <x v="1"/>
    <x v="11"/>
    <s v="Send Outbound Message Manually to Multiple Recipients - Admin"/>
    <x v="2"/>
    <m/>
    <x v="0"/>
    <x v="0"/>
  </r>
  <r>
    <s v="IRM-26951"/>
    <x v="1"/>
    <x v="11"/>
    <s v="Send Outbound Message Manually to Multiple Recipients - Admin"/>
    <x v="3"/>
    <m/>
    <x v="0"/>
    <x v="0"/>
  </r>
  <r>
    <s v="IRM-26951"/>
    <x v="1"/>
    <x v="11"/>
    <s v="Send Outbound Message Manually to Multiple Recipients - Admin"/>
    <x v="4"/>
    <m/>
    <x v="0"/>
    <x v="0"/>
  </r>
  <r>
    <s v="IRM-26951"/>
    <x v="1"/>
    <x v="11"/>
    <s v="Send Outbound Message Manually to Multiple Recipients - Admin"/>
    <x v="5"/>
    <n v="8"/>
    <x v="0"/>
    <x v="1"/>
  </r>
  <r>
    <s v="IRM-26951"/>
    <x v="1"/>
    <x v="11"/>
    <s v="Send Outbound Message Manually to Multiple Recipients - Admin"/>
    <x v="6"/>
    <n v="20"/>
    <x v="0"/>
    <x v="0"/>
  </r>
  <r>
    <s v="IRM-26951"/>
    <x v="1"/>
    <x v="11"/>
    <s v="Send Outbound Message Manually to Multiple Recipients - Admin"/>
    <x v="7"/>
    <n v="16"/>
    <x v="0"/>
    <x v="0"/>
  </r>
  <r>
    <s v="IRM-26951"/>
    <x v="1"/>
    <x v="11"/>
    <s v="Send Outbound Message Manually to Multiple Recipients - Admin"/>
    <x v="8"/>
    <n v="16"/>
    <x v="0"/>
    <x v="0"/>
  </r>
  <r>
    <s v="IRM-26951"/>
    <x v="1"/>
    <x v="11"/>
    <s v="Send Outbound Message Manually to Multiple Recipients - Admin"/>
    <x v="9"/>
    <n v="20"/>
    <x v="0"/>
    <x v="0"/>
  </r>
  <r>
    <s v="IRM-27340"/>
    <x v="1"/>
    <x v="6"/>
    <s v="Filtering Relating Codelist items in tree view - Part 3 (leftover)"/>
    <x v="0"/>
    <n v="101.3"/>
    <x v="0"/>
    <x v="0"/>
  </r>
  <r>
    <s v="IRM-27340"/>
    <x v="1"/>
    <x v="6"/>
    <s v="Filtering Relating Codelist items in tree view - Part 3 (leftover)"/>
    <x v="1"/>
    <m/>
    <x v="0"/>
    <x v="0"/>
  </r>
  <r>
    <s v="IRM-27340"/>
    <x v="1"/>
    <x v="6"/>
    <s v="Filtering Relating Codelist items in tree view - Part 3 (leftover)"/>
    <x v="2"/>
    <m/>
    <x v="0"/>
    <x v="0"/>
  </r>
  <r>
    <s v="IRM-27340"/>
    <x v="1"/>
    <x v="6"/>
    <s v="Filtering Relating Codelist items in tree view - Part 3 (leftover)"/>
    <x v="3"/>
    <m/>
    <x v="0"/>
    <x v="0"/>
  </r>
  <r>
    <s v="IRM-27340"/>
    <x v="1"/>
    <x v="6"/>
    <s v="Filtering Relating Codelist items in tree view - Part 3 (leftover)"/>
    <x v="4"/>
    <m/>
    <x v="0"/>
    <x v="0"/>
  </r>
  <r>
    <s v="IRM-27340"/>
    <x v="1"/>
    <x v="6"/>
    <s v="Filtering Relating Codelist items in tree view - Part 3 (leftover)"/>
    <x v="5"/>
    <n v="20.3"/>
    <x v="0"/>
    <x v="1"/>
  </r>
  <r>
    <s v="IRM-27340"/>
    <x v="1"/>
    <x v="6"/>
    <s v="Filtering Relating Codelist items in tree view - Part 3 (leftover)"/>
    <x v="6"/>
    <n v="50.6"/>
    <x v="0"/>
    <x v="0"/>
  </r>
  <r>
    <s v="IRM-27340"/>
    <x v="1"/>
    <x v="6"/>
    <s v="Filtering Relating Codelist items in tree view - Part 3 (leftover)"/>
    <x v="7"/>
    <n v="40.5"/>
    <x v="0"/>
    <x v="0"/>
  </r>
  <r>
    <s v="IRM-27340"/>
    <x v="1"/>
    <x v="6"/>
    <s v="Filtering Relating Codelist items in tree view - Part 3 (leftover)"/>
    <x v="8"/>
    <n v="40.5"/>
    <x v="0"/>
    <x v="0"/>
  </r>
  <r>
    <s v="IRM-27340"/>
    <x v="1"/>
    <x v="6"/>
    <s v="Filtering Relating Codelist items in tree view - Part 3 (leftover)"/>
    <x v="9"/>
    <n v="50.6"/>
    <x v="0"/>
    <x v="0"/>
  </r>
  <r>
    <s v="IRM-27731"/>
    <x v="2"/>
    <x v="2"/>
    <s v="Augment additional Guidelines for items not covered in template (Spring/Spring Boot/Kafka etc)"/>
    <x v="0"/>
    <m/>
    <x v="1"/>
    <x v="2"/>
  </r>
  <r>
    <s v="IRM-27731"/>
    <x v="2"/>
    <x v="2"/>
    <s v="Augment additional Guidelines for items not covered in template (Spring/Spring Boot/Kafka etc)"/>
    <x v="5"/>
    <m/>
    <x v="1"/>
    <x v="3"/>
  </r>
  <r>
    <s v="IRM-27731"/>
    <x v="2"/>
    <x v="2"/>
    <s v="Augment additional Guidelines for items not covered in template (Spring/Spring Boot/Kafka etc)"/>
    <x v="6"/>
    <m/>
    <x v="1"/>
    <x v="2"/>
  </r>
  <r>
    <s v="IRM-27731"/>
    <x v="2"/>
    <x v="2"/>
    <s v="Augment additional Guidelines for items not covered in template (Spring/Spring Boot/Kafka etc)"/>
    <x v="7"/>
    <m/>
    <x v="1"/>
    <x v="2"/>
  </r>
  <r>
    <s v="IRM-27731"/>
    <x v="2"/>
    <x v="2"/>
    <s v="Augment additional Guidelines for items not covered in template (Spring/Spring Boot/Kafka etc)"/>
    <x v="8"/>
    <m/>
    <x v="1"/>
    <x v="2"/>
  </r>
  <r>
    <s v="IRM-27731"/>
    <x v="2"/>
    <x v="2"/>
    <s v="Augment additional Guidelines for items not covered in template (Spring/Spring Boot/Kafka etc)"/>
    <x v="9"/>
    <m/>
    <x v="1"/>
    <x v="2"/>
  </r>
  <r>
    <s v="IRM-27733"/>
    <x v="2"/>
    <x v="2"/>
    <s v="Enforce applicable guidelines in CI"/>
    <x v="0"/>
    <m/>
    <x v="1"/>
    <x v="2"/>
  </r>
  <r>
    <s v="IRM-27733"/>
    <x v="2"/>
    <x v="2"/>
    <s v="Enforce applicable guidelines in CI"/>
    <x v="5"/>
    <m/>
    <x v="1"/>
    <x v="3"/>
  </r>
  <r>
    <s v="IRM-27733"/>
    <x v="2"/>
    <x v="2"/>
    <s v="Enforce applicable guidelines in CI"/>
    <x v="6"/>
    <m/>
    <x v="1"/>
    <x v="2"/>
  </r>
  <r>
    <s v="IRM-27733"/>
    <x v="2"/>
    <x v="2"/>
    <s v="Enforce applicable guidelines in CI"/>
    <x v="7"/>
    <m/>
    <x v="1"/>
    <x v="2"/>
  </r>
  <r>
    <s v="IRM-27733"/>
    <x v="2"/>
    <x v="2"/>
    <s v="Enforce applicable guidelines in CI"/>
    <x v="8"/>
    <m/>
    <x v="1"/>
    <x v="2"/>
  </r>
  <r>
    <s v="IRM-27733"/>
    <x v="2"/>
    <x v="2"/>
    <s v="Enforce applicable guidelines in CI"/>
    <x v="9"/>
    <m/>
    <x v="1"/>
    <x v="2"/>
  </r>
  <r>
    <s v="IRM-28301"/>
    <x v="1"/>
    <x v="12"/>
    <s v="Documents Management - Manage Party Role Documents - Admin"/>
    <x v="0"/>
    <n v="38"/>
    <x v="0"/>
    <x v="0"/>
  </r>
  <r>
    <s v="IRM-28301"/>
    <x v="1"/>
    <x v="12"/>
    <s v="Documents Management - Manage Party Role Documents - Admin"/>
    <x v="1"/>
    <m/>
    <x v="0"/>
    <x v="0"/>
  </r>
  <r>
    <s v="IRM-28301"/>
    <x v="1"/>
    <x v="12"/>
    <s v="Documents Management - Manage Party Role Documents - Admin"/>
    <x v="2"/>
    <m/>
    <x v="0"/>
    <x v="0"/>
  </r>
  <r>
    <s v="IRM-28301"/>
    <x v="1"/>
    <x v="12"/>
    <s v="Documents Management - Manage Party Role Documents - Admin"/>
    <x v="3"/>
    <m/>
    <x v="0"/>
    <x v="0"/>
  </r>
  <r>
    <s v="IRM-28301"/>
    <x v="1"/>
    <x v="12"/>
    <s v="Documents Management - Manage Party Role Documents - Admin"/>
    <x v="4"/>
    <m/>
    <x v="0"/>
    <x v="0"/>
  </r>
  <r>
    <s v="IRM-28301"/>
    <x v="1"/>
    <x v="12"/>
    <s v="Documents Management - Manage Party Role Documents - Admin"/>
    <x v="5"/>
    <n v="7.6"/>
    <x v="0"/>
    <x v="1"/>
  </r>
  <r>
    <s v="IRM-28301"/>
    <x v="1"/>
    <x v="12"/>
    <s v="Documents Management - Manage Party Role Documents - Admin"/>
    <x v="6"/>
    <n v="19"/>
    <x v="0"/>
    <x v="0"/>
  </r>
  <r>
    <s v="IRM-28301"/>
    <x v="1"/>
    <x v="12"/>
    <s v="Documents Management - Manage Party Role Documents - Admin"/>
    <x v="7"/>
    <n v="15.2"/>
    <x v="0"/>
    <x v="0"/>
  </r>
  <r>
    <s v="IRM-28301"/>
    <x v="1"/>
    <x v="12"/>
    <s v="Documents Management - Manage Party Role Documents - Admin"/>
    <x v="8"/>
    <n v="15.2"/>
    <x v="0"/>
    <x v="0"/>
  </r>
  <r>
    <s v="IRM-28301"/>
    <x v="1"/>
    <x v="12"/>
    <s v="Documents Management - Manage Party Role Documents - Admin"/>
    <x v="9"/>
    <n v="19"/>
    <x v="0"/>
    <x v="0"/>
  </r>
  <r>
    <s v="IRM-28302"/>
    <x v="1"/>
    <x v="12"/>
    <s v="Documents Management - Self Service - Manage My Documents - User"/>
    <x v="0"/>
    <n v="46"/>
    <x v="0"/>
    <x v="0"/>
  </r>
  <r>
    <s v="IRM-28302"/>
    <x v="1"/>
    <x v="12"/>
    <s v="Documents Management - Self Service - Manage My Documents - User"/>
    <x v="1"/>
    <m/>
    <x v="0"/>
    <x v="0"/>
  </r>
  <r>
    <s v="IRM-28302"/>
    <x v="1"/>
    <x v="12"/>
    <s v="Documents Management - Self Service - Manage My Documents - User"/>
    <x v="2"/>
    <m/>
    <x v="0"/>
    <x v="0"/>
  </r>
  <r>
    <s v="IRM-28302"/>
    <x v="1"/>
    <x v="12"/>
    <s v="Documents Management - Self Service - Manage My Documents - User"/>
    <x v="3"/>
    <m/>
    <x v="0"/>
    <x v="0"/>
  </r>
  <r>
    <s v="IRM-28302"/>
    <x v="1"/>
    <x v="12"/>
    <s v="Documents Management - Self Service - Manage My Documents - User"/>
    <x v="4"/>
    <m/>
    <x v="0"/>
    <x v="0"/>
  </r>
  <r>
    <s v="IRM-28302"/>
    <x v="1"/>
    <x v="12"/>
    <s v="Documents Management - Self Service - Manage My Documents - User"/>
    <x v="5"/>
    <n v="9.1999999999999993"/>
    <x v="0"/>
    <x v="1"/>
  </r>
  <r>
    <s v="IRM-28302"/>
    <x v="1"/>
    <x v="12"/>
    <s v="Documents Management - Self Service - Manage My Documents - User"/>
    <x v="6"/>
    <n v="23"/>
    <x v="0"/>
    <x v="0"/>
  </r>
  <r>
    <s v="IRM-28302"/>
    <x v="1"/>
    <x v="12"/>
    <s v="Documents Management - Self Service - Manage My Documents - User"/>
    <x v="7"/>
    <n v="18.399999999999999"/>
    <x v="0"/>
    <x v="0"/>
  </r>
  <r>
    <s v="IRM-28302"/>
    <x v="1"/>
    <x v="12"/>
    <s v="Documents Management - Self Service - Manage My Documents - User"/>
    <x v="8"/>
    <n v="18.399999999999999"/>
    <x v="0"/>
    <x v="0"/>
  </r>
  <r>
    <s v="IRM-28302"/>
    <x v="1"/>
    <x v="12"/>
    <s v="Documents Management - Self Service - Manage My Documents - User"/>
    <x v="9"/>
    <n v="23"/>
    <x v="0"/>
    <x v="0"/>
  </r>
  <r>
    <s v="IRM-28303"/>
    <x v="1"/>
    <x v="12"/>
    <s v="Documents Management - Revenue management - Manage Party Role Documents  - User"/>
    <x v="0"/>
    <n v="160"/>
    <x v="0"/>
    <x v="0"/>
  </r>
  <r>
    <s v="IRM-28303"/>
    <x v="1"/>
    <x v="12"/>
    <s v="Documents Management - Revenue management - Manage Party Role Documents  - User"/>
    <x v="1"/>
    <m/>
    <x v="0"/>
    <x v="0"/>
  </r>
  <r>
    <s v="IRM-28303"/>
    <x v="1"/>
    <x v="12"/>
    <s v="Documents Management - Revenue management - Manage Party Role Documents  - User"/>
    <x v="2"/>
    <m/>
    <x v="0"/>
    <x v="0"/>
  </r>
  <r>
    <s v="IRM-28303"/>
    <x v="1"/>
    <x v="12"/>
    <s v="Documents Management - Revenue management - Manage Party Role Documents  - User"/>
    <x v="3"/>
    <m/>
    <x v="0"/>
    <x v="0"/>
  </r>
  <r>
    <s v="IRM-28303"/>
    <x v="1"/>
    <x v="12"/>
    <s v="Documents Management - Revenue management - Manage Party Role Documents  - User"/>
    <x v="4"/>
    <m/>
    <x v="0"/>
    <x v="0"/>
  </r>
  <r>
    <s v="IRM-28303"/>
    <x v="1"/>
    <x v="12"/>
    <s v="Documents Management - Revenue management - Manage Party Role Documents  - User"/>
    <x v="5"/>
    <n v="32"/>
    <x v="0"/>
    <x v="1"/>
  </r>
  <r>
    <s v="IRM-28303"/>
    <x v="1"/>
    <x v="12"/>
    <s v="Documents Management - Revenue management - Manage Party Role Documents  - User"/>
    <x v="6"/>
    <n v="80"/>
    <x v="0"/>
    <x v="0"/>
  </r>
  <r>
    <s v="IRM-28303"/>
    <x v="1"/>
    <x v="12"/>
    <s v="Documents Management - Revenue management - Manage Party Role Documents  - User"/>
    <x v="7"/>
    <n v="64"/>
    <x v="0"/>
    <x v="0"/>
  </r>
  <r>
    <s v="IRM-28303"/>
    <x v="1"/>
    <x v="12"/>
    <s v="Documents Management - Revenue management - Manage Party Role Documents  - User"/>
    <x v="8"/>
    <n v="64"/>
    <x v="0"/>
    <x v="0"/>
  </r>
  <r>
    <s v="IRM-28303"/>
    <x v="1"/>
    <x v="12"/>
    <s v="Documents Management - Revenue management - Manage Party Role Documents  - User"/>
    <x v="9"/>
    <n v="80"/>
    <x v="0"/>
    <x v="0"/>
  </r>
  <r>
    <s v="IRM-28521"/>
    <x v="1"/>
    <x v="12"/>
    <s v="Generic component - Support for Embedded 3rd-Party Digital Signature and Document Preview Components in RM pages"/>
    <x v="0"/>
    <n v="37.299999999999997"/>
    <x v="1"/>
    <x v="4"/>
  </r>
  <r>
    <s v="IRM-28521"/>
    <x v="1"/>
    <x v="12"/>
    <s v="Generic component - Support for Embedded 3rd-Party Digital Signature and Document Preview Components in RM pages"/>
    <x v="1"/>
    <m/>
    <x v="1"/>
    <x v="4"/>
  </r>
  <r>
    <s v="IRM-28521"/>
    <x v="1"/>
    <x v="12"/>
    <s v="Generic component - Support for Embedded 3rd-Party Digital Signature and Document Preview Components in RM pages"/>
    <x v="2"/>
    <m/>
    <x v="1"/>
    <x v="4"/>
  </r>
  <r>
    <s v="IRM-28521"/>
    <x v="1"/>
    <x v="12"/>
    <s v="Generic component - Support for Embedded 3rd-Party Digital Signature and Document Preview Components in RM pages"/>
    <x v="3"/>
    <m/>
    <x v="1"/>
    <x v="4"/>
  </r>
  <r>
    <s v="IRM-28521"/>
    <x v="1"/>
    <x v="12"/>
    <s v="Generic component - Support for Embedded 3rd-Party Digital Signature and Document Preview Components in RM pages"/>
    <x v="4"/>
    <m/>
    <x v="1"/>
    <x v="4"/>
  </r>
  <r>
    <s v="IRM-28521"/>
    <x v="1"/>
    <x v="12"/>
    <s v="Generic component - Support for Embedded 3rd-Party Digital Signature and Document Preview Components in RM pages"/>
    <x v="5"/>
    <n v="7.5"/>
    <x v="1"/>
    <x v="2"/>
  </r>
  <r>
    <s v="IRM-28521"/>
    <x v="1"/>
    <x v="12"/>
    <s v="Generic component - Support for Embedded 3rd-Party Digital Signature and Document Preview Components in RM pages"/>
    <x v="6"/>
    <n v="18.600000000000001"/>
    <x v="1"/>
    <x v="4"/>
  </r>
  <r>
    <s v="IRM-28521"/>
    <x v="1"/>
    <x v="12"/>
    <s v="Generic component - Support for Embedded 3rd-Party Digital Signature and Document Preview Components in RM pages"/>
    <x v="7"/>
    <n v="14.9"/>
    <x v="1"/>
    <x v="4"/>
  </r>
  <r>
    <s v="IRM-28521"/>
    <x v="1"/>
    <x v="12"/>
    <s v="Generic component - Support for Embedded 3rd-Party Digital Signature and Document Preview Components in RM pages"/>
    <x v="8"/>
    <n v="14.9"/>
    <x v="1"/>
    <x v="4"/>
  </r>
  <r>
    <s v="IRM-28521"/>
    <x v="1"/>
    <x v="12"/>
    <s v="Generic component - Support for Embedded 3rd-Party Digital Signature and Document Preview Components in RM pages"/>
    <x v="9"/>
    <n v="18.600000000000001"/>
    <x v="1"/>
    <x v="4"/>
  </r>
  <r>
    <s v="IRM-29268"/>
    <x v="4"/>
    <x v="10"/>
    <s v="POC/Fixed effort - Config Items Management ( Packaging &amp; versioning) : Enable delivery teams to safely and selectively migrate configurations across environments"/>
    <x v="0"/>
    <n v="800"/>
    <x v="1"/>
    <x v="3"/>
  </r>
  <r>
    <s v="IRM-29268"/>
    <x v="4"/>
    <x v="10"/>
    <s v="POC/Fixed effort - Config Items Management ( Packaging &amp; versioning) : Enable delivery teams to safely and selectively migrate configurations across environments"/>
    <x v="1"/>
    <m/>
    <x v="1"/>
    <x v="3"/>
  </r>
  <r>
    <s v="IRM-29268"/>
    <x v="4"/>
    <x v="10"/>
    <s v="POC/Fixed effort - Config Items Management ( Packaging &amp; versioning) : Enable delivery teams to safely and selectively migrate configurations across environments"/>
    <x v="2"/>
    <m/>
    <x v="1"/>
    <x v="3"/>
  </r>
  <r>
    <s v="IRM-29268"/>
    <x v="4"/>
    <x v="10"/>
    <s v="POC/Fixed effort - Config Items Management ( Packaging &amp; versioning) : Enable delivery teams to safely and selectively migrate configurations across environments"/>
    <x v="3"/>
    <m/>
    <x v="1"/>
    <x v="3"/>
  </r>
  <r>
    <s v="IRM-29268"/>
    <x v="4"/>
    <x v="10"/>
    <s v="POC/Fixed effort - Config Items Management ( Packaging &amp; versioning) : Enable delivery teams to safely and selectively migrate configurations across environments"/>
    <x v="4"/>
    <m/>
    <x v="1"/>
    <x v="3"/>
  </r>
  <r>
    <s v="IRM-29268"/>
    <x v="4"/>
    <x v="10"/>
    <s v="POC/Fixed effort - Config Items Management ( Packaging &amp; versioning) : Enable delivery teams to safely and selectively migrate configurations across environments"/>
    <x v="5"/>
    <n v="160"/>
    <x v="1"/>
    <x v="0"/>
  </r>
  <r>
    <s v="IRM-29268"/>
    <x v="4"/>
    <x v="10"/>
    <s v="POC/Fixed effort - Config Items Management ( Packaging &amp; versioning) : Enable delivery teams to safely and selectively migrate configurations across environments"/>
    <x v="6"/>
    <n v="400"/>
    <x v="1"/>
    <x v="3"/>
  </r>
  <r>
    <s v="IRM-29268"/>
    <x v="4"/>
    <x v="10"/>
    <s v="POC/Fixed effort - Config Items Management ( Packaging &amp; versioning) : Enable delivery teams to safely and selectively migrate configurations across environments"/>
    <x v="7"/>
    <n v="320"/>
    <x v="1"/>
    <x v="3"/>
  </r>
  <r>
    <s v="IRM-29268"/>
    <x v="4"/>
    <x v="10"/>
    <s v="POC/Fixed effort - Config Items Management ( Packaging &amp; versioning) : Enable delivery teams to safely and selectively migrate configurations across environments"/>
    <x v="8"/>
    <n v="320"/>
    <x v="1"/>
    <x v="3"/>
  </r>
  <r>
    <s v="IRM-29268"/>
    <x v="4"/>
    <x v="10"/>
    <s v="POC/Fixed effort - Config Items Management ( Packaging &amp; versioning) : Enable delivery teams to safely and selectively migrate configurations across environments"/>
    <x v="9"/>
    <n v="400"/>
    <x v="1"/>
    <x v="3"/>
  </r>
  <r>
    <s v="IRM-29306"/>
    <x v="4"/>
    <x v="13"/>
    <s v="Export Filtered List Table to Excel /Registration List pages"/>
    <x v="0"/>
    <n v="213.3"/>
    <x v="0"/>
    <x v="0"/>
  </r>
  <r>
    <s v="IRM-29306"/>
    <x v="4"/>
    <x v="13"/>
    <s v="Export Filtered List Table to Excel /Registration List pages"/>
    <x v="1"/>
    <m/>
    <x v="0"/>
    <x v="0"/>
  </r>
  <r>
    <s v="IRM-29306"/>
    <x v="4"/>
    <x v="13"/>
    <s v="Export Filtered List Table to Excel /Registration List pages"/>
    <x v="2"/>
    <m/>
    <x v="0"/>
    <x v="0"/>
  </r>
  <r>
    <s v="IRM-29306"/>
    <x v="4"/>
    <x v="13"/>
    <s v="Export Filtered List Table to Excel /Registration List pages"/>
    <x v="3"/>
    <m/>
    <x v="0"/>
    <x v="0"/>
  </r>
  <r>
    <s v="IRM-29306"/>
    <x v="4"/>
    <x v="13"/>
    <s v="Export Filtered List Table to Excel /Registration List pages"/>
    <x v="4"/>
    <m/>
    <x v="0"/>
    <x v="0"/>
  </r>
  <r>
    <s v="IRM-29306"/>
    <x v="4"/>
    <x v="13"/>
    <s v="Export Filtered List Table to Excel /Registration List pages"/>
    <x v="5"/>
    <n v="42.7"/>
    <x v="0"/>
    <x v="1"/>
  </r>
  <r>
    <s v="IRM-29306"/>
    <x v="4"/>
    <x v="13"/>
    <s v="Export Filtered List Table to Excel /Registration List pages"/>
    <x v="6"/>
    <n v="106.6"/>
    <x v="0"/>
    <x v="0"/>
  </r>
  <r>
    <s v="IRM-29306"/>
    <x v="4"/>
    <x v="13"/>
    <s v="Export Filtered List Table to Excel /Registration List pages"/>
    <x v="7"/>
    <n v="85.3"/>
    <x v="0"/>
    <x v="0"/>
  </r>
  <r>
    <s v="IRM-29306"/>
    <x v="4"/>
    <x v="13"/>
    <s v="Export Filtered List Table to Excel /Registration List pages"/>
    <x v="8"/>
    <n v="85.3"/>
    <x v="0"/>
    <x v="0"/>
  </r>
  <r>
    <s v="IRM-29306"/>
    <x v="4"/>
    <x v="13"/>
    <s v="Export Filtered List Table to Excel /Registration List pages"/>
    <x v="9"/>
    <n v="106.6"/>
    <x v="0"/>
    <x v="0"/>
  </r>
  <r>
    <s v="IRM-29317"/>
    <x v="1"/>
    <x v="6"/>
    <s v="Codelists : Translatable Metadata/Attributes labels "/>
    <x v="0"/>
    <n v="26.7"/>
    <x v="0"/>
    <x v="0"/>
  </r>
  <r>
    <s v="IRM-29317"/>
    <x v="1"/>
    <x v="6"/>
    <s v="Codelists : Translatable Metadata/Attributes labels "/>
    <x v="1"/>
    <m/>
    <x v="0"/>
    <x v="0"/>
  </r>
  <r>
    <s v="IRM-29317"/>
    <x v="1"/>
    <x v="6"/>
    <s v="Codelists : Translatable Metadata/Attributes labels "/>
    <x v="2"/>
    <m/>
    <x v="0"/>
    <x v="0"/>
  </r>
  <r>
    <s v="IRM-29317"/>
    <x v="1"/>
    <x v="6"/>
    <s v="Codelists : Translatable Metadata/Attributes labels "/>
    <x v="3"/>
    <m/>
    <x v="0"/>
    <x v="0"/>
  </r>
  <r>
    <s v="IRM-29317"/>
    <x v="1"/>
    <x v="6"/>
    <s v="Codelists : Translatable Metadata/Attributes labels "/>
    <x v="4"/>
    <m/>
    <x v="0"/>
    <x v="0"/>
  </r>
  <r>
    <s v="IRM-29317"/>
    <x v="1"/>
    <x v="6"/>
    <s v="Codelists : Translatable Metadata/Attributes labels "/>
    <x v="5"/>
    <n v="5.3"/>
    <x v="0"/>
    <x v="1"/>
  </r>
  <r>
    <s v="IRM-29317"/>
    <x v="1"/>
    <x v="6"/>
    <s v="Codelists : Translatable Metadata/Attributes labels "/>
    <x v="6"/>
    <n v="13.4"/>
    <x v="0"/>
    <x v="0"/>
  </r>
  <r>
    <s v="IRM-29317"/>
    <x v="1"/>
    <x v="6"/>
    <s v="Codelists : Translatable Metadata/Attributes labels "/>
    <x v="7"/>
    <n v="10.7"/>
    <x v="0"/>
    <x v="0"/>
  </r>
  <r>
    <s v="IRM-29317"/>
    <x v="1"/>
    <x v="6"/>
    <s v="Codelists : Translatable Metadata/Attributes labels "/>
    <x v="8"/>
    <n v="10.7"/>
    <x v="0"/>
    <x v="0"/>
  </r>
  <r>
    <s v="IRM-29317"/>
    <x v="1"/>
    <x v="6"/>
    <s v="Codelists : Translatable Metadata/Attributes labels "/>
    <x v="9"/>
    <n v="13.4"/>
    <x v="0"/>
    <x v="0"/>
  </r>
  <r>
    <s v="IRM-29344"/>
    <x v="1"/>
    <x v="6"/>
    <s v="Codelists : Attributes Field types and codelist relation"/>
    <x v="0"/>
    <n v="160"/>
    <x v="0"/>
    <x v="0"/>
  </r>
  <r>
    <s v="IRM-29344"/>
    <x v="1"/>
    <x v="6"/>
    <s v="Codelists : Attributes Field types and codelist relation"/>
    <x v="1"/>
    <m/>
    <x v="0"/>
    <x v="0"/>
  </r>
  <r>
    <s v="IRM-29344"/>
    <x v="1"/>
    <x v="6"/>
    <s v="Codelists : Attributes Field types and codelist relation"/>
    <x v="2"/>
    <m/>
    <x v="0"/>
    <x v="0"/>
  </r>
  <r>
    <s v="IRM-29344"/>
    <x v="1"/>
    <x v="6"/>
    <s v="Codelists : Attributes Field types and codelist relation"/>
    <x v="3"/>
    <m/>
    <x v="0"/>
    <x v="0"/>
  </r>
  <r>
    <s v="IRM-29344"/>
    <x v="1"/>
    <x v="6"/>
    <s v="Codelists : Attributes Field types and codelist relation"/>
    <x v="4"/>
    <m/>
    <x v="0"/>
    <x v="0"/>
  </r>
  <r>
    <s v="IRM-29344"/>
    <x v="1"/>
    <x v="6"/>
    <s v="Codelists : Attributes Field types and codelist relation"/>
    <x v="5"/>
    <n v="32"/>
    <x v="0"/>
    <x v="1"/>
  </r>
  <r>
    <s v="IRM-29344"/>
    <x v="1"/>
    <x v="6"/>
    <s v="Codelists : Attributes Field types and codelist relation"/>
    <x v="6"/>
    <n v="80"/>
    <x v="0"/>
    <x v="0"/>
  </r>
  <r>
    <s v="IRM-29344"/>
    <x v="1"/>
    <x v="6"/>
    <s v="Codelists : Attributes Field types and codelist relation"/>
    <x v="7"/>
    <n v="64"/>
    <x v="0"/>
    <x v="0"/>
  </r>
  <r>
    <s v="IRM-29344"/>
    <x v="1"/>
    <x v="6"/>
    <s v="Codelists : Attributes Field types and codelist relation"/>
    <x v="8"/>
    <n v="64"/>
    <x v="0"/>
    <x v="0"/>
  </r>
  <r>
    <s v="IRM-29344"/>
    <x v="1"/>
    <x v="6"/>
    <s v="Codelists : Attributes Field types and codelist relation"/>
    <x v="9"/>
    <n v="80"/>
    <x v="0"/>
    <x v="0"/>
  </r>
  <r>
    <s v="IRM-29430"/>
    <x v="0"/>
    <x v="14"/>
    <s v="Enhance Credit Interest Calculation to include unallocated payment segments"/>
    <x v="0"/>
    <n v="1066.7"/>
    <x v="2"/>
    <x v="3"/>
  </r>
  <r>
    <s v="IRM-29430"/>
    <x v="0"/>
    <x v="14"/>
    <s v="Enhance Credit Interest Calculation to include unallocated payment segments"/>
    <x v="1"/>
    <m/>
    <x v="2"/>
    <x v="3"/>
  </r>
  <r>
    <s v="IRM-29430"/>
    <x v="0"/>
    <x v="14"/>
    <s v="Enhance Credit Interest Calculation to include unallocated payment segments"/>
    <x v="2"/>
    <m/>
    <x v="2"/>
    <x v="3"/>
  </r>
  <r>
    <s v="IRM-29430"/>
    <x v="0"/>
    <x v="14"/>
    <s v="Enhance Credit Interest Calculation to include unallocated payment segments"/>
    <x v="3"/>
    <m/>
    <x v="2"/>
    <x v="3"/>
  </r>
  <r>
    <s v="IRM-29430"/>
    <x v="0"/>
    <x v="14"/>
    <s v="Enhance Credit Interest Calculation to include unallocated payment segments"/>
    <x v="4"/>
    <m/>
    <x v="2"/>
    <x v="3"/>
  </r>
  <r>
    <s v="IRM-29430"/>
    <x v="0"/>
    <x v="14"/>
    <s v="Enhance Credit Interest Calculation to include unallocated payment segments"/>
    <x v="5"/>
    <n v="213.3"/>
    <x v="2"/>
    <x v="0"/>
  </r>
  <r>
    <s v="IRM-29430"/>
    <x v="0"/>
    <x v="14"/>
    <s v="Enhance Credit Interest Calculation to include unallocated payment segments"/>
    <x v="6"/>
    <n v="533.4"/>
    <x v="2"/>
    <x v="3"/>
  </r>
  <r>
    <s v="IRM-29430"/>
    <x v="0"/>
    <x v="14"/>
    <s v="Enhance Credit Interest Calculation to include unallocated payment segments"/>
    <x v="7"/>
    <n v="426.7"/>
    <x v="2"/>
    <x v="3"/>
  </r>
  <r>
    <s v="IRM-29430"/>
    <x v="0"/>
    <x v="14"/>
    <s v="Enhance Credit Interest Calculation to include unallocated payment segments"/>
    <x v="8"/>
    <n v="426.7"/>
    <x v="2"/>
    <x v="3"/>
  </r>
  <r>
    <s v="IRM-29430"/>
    <x v="0"/>
    <x v="14"/>
    <s v="Enhance Credit Interest Calculation to include unallocated payment segments"/>
    <x v="9"/>
    <n v="533.4"/>
    <x v="2"/>
    <x v="3"/>
  </r>
  <r>
    <s v="IRM-29434"/>
    <x v="4"/>
    <x v="13"/>
    <s v="Display and search by Source and timestamp columns in Codelists, Parties and Addresses"/>
    <x v="0"/>
    <n v="1.1000000000000001"/>
    <x v="0"/>
    <x v="3"/>
  </r>
  <r>
    <s v="IRM-29434"/>
    <x v="4"/>
    <x v="13"/>
    <s v="Display and search by Source and timestamp columns in Codelists, Parties and Addresses"/>
    <x v="1"/>
    <m/>
    <x v="0"/>
    <x v="3"/>
  </r>
  <r>
    <s v="IRM-29434"/>
    <x v="4"/>
    <x v="13"/>
    <s v="Display and search by Source and timestamp columns in Codelists, Parties and Addresses"/>
    <x v="2"/>
    <m/>
    <x v="0"/>
    <x v="3"/>
  </r>
  <r>
    <s v="IRM-29434"/>
    <x v="4"/>
    <x v="13"/>
    <s v="Display and search by Source and timestamp columns in Codelists, Parties and Addresses"/>
    <x v="3"/>
    <m/>
    <x v="0"/>
    <x v="3"/>
  </r>
  <r>
    <s v="IRM-29434"/>
    <x v="4"/>
    <x v="13"/>
    <s v="Display and search by Source and timestamp columns in Codelists, Parties and Addresses"/>
    <x v="4"/>
    <m/>
    <x v="0"/>
    <x v="3"/>
  </r>
  <r>
    <s v="IRM-29434"/>
    <x v="4"/>
    <x v="13"/>
    <s v="Display and search by Source and timestamp columns in Codelists, Parties and Addresses"/>
    <x v="5"/>
    <n v="0.2"/>
    <x v="0"/>
    <x v="0"/>
  </r>
  <r>
    <s v="IRM-29434"/>
    <x v="4"/>
    <x v="13"/>
    <s v="Display and search by Source and timestamp columns in Codelists, Parties and Addresses"/>
    <x v="6"/>
    <n v="0.6"/>
    <x v="0"/>
    <x v="3"/>
  </r>
  <r>
    <s v="IRM-29434"/>
    <x v="4"/>
    <x v="13"/>
    <s v="Display and search by Source and timestamp columns in Codelists, Parties and Addresses"/>
    <x v="7"/>
    <n v="0.4"/>
    <x v="0"/>
    <x v="3"/>
  </r>
  <r>
    <s v="IRM-29434"/>
    <x v="4"/>
    <x v="13"/>
    <s v="Display and search by Source and timestamp columns in Codelists, Parties and Addresses"/>
    <x v="8"/>
    <n v="0.4"/>
    <x v="0"/>
    <x v="3"/>
  </r>
  <r>
    <s v="IRM-29434"/>
    <x v="4"/>
    <x v="13"/>
    <s v="Display and search by Source and timestamp columns in Codelists, Parties and Addresses"/>
    <x v="9"/>
    <n v="0.6"/>
    <x v="0"/>
    <x v="3"/>
  </r>
  <r>
    <s v="IRM-29513"/>
    <x v="3"/>
    <x v="15"/>
    <s v="Support four-eye principle in Solon Tax - Approval Workflow"/>
    <x v="0"/>
    <n v="140"/>
    <x v="0"/>
    <x v="2"/>
  </r>
  <r>
    <s v="IRM-29513"/>
    <x v="3"/>
    <x v="15"/>
    <s v="Support four-eye principle in Solon Tax - Approval Workflow"/>
    <x v="1"/>
    <m/>
    <x v="0"/>
    <x v="2"/>
  </r>
  <r>
    <s v="IRM-29513"/>
    <x v="3"/>
    <x v="15"/>
    <s v="Support four-eye principle in Solon Tax - Approval Workflow"/>
    <x v="2"/>
    <m/>
    <x v="0"/>
    <x v="2"/>
  </r>
  <r>
    <s v="IRM-29513"/>
    <x v="3"/>
    <x v="15"/>
    <s v="Support four-eye principle in Solon Tax - Approval Workflow"/>
    <x v="3"/>
    <m/>
    <x v="0"/>
    <x v="2"/>
  </r>
  <r>
    <s v="IRM-29513"/>
    <x v="3"/>
    <x v="15"/>
    <s v="Support four-eye principle in Solon Tax - Approval Workflow"/>
    <x v="4"/>
    <m/>
    <x v="0"/>
    <x v="2"/>
  </r>
  <r>
    <s v="IRM-29513"/>
    <x v="3"/>
    <x v="15"/>
    <s v="Support four-eye principle in Solon Tax - Approval Workflow"/>
    <x v="5"/>
    <n v="28"/>
    <x v="0"/>
    <x v="3"/>
  </r>
  <r>
    <s v="IRM-29513"/>
    <x v="3"/>
    <x v="15"/>
    <s v="Support four-eye principle in Solon Tax - Approval Workflow"/>
    <x v="6"/>
    <n v="70"/>
    <x v="0"/>
    <x v="2"/>
  </r>
  <r>
    <s v="IRM-29513"/>
    <x v="3"/>
    <x v="15"/>
    <s v="Support four-eye principle in Solon Tax - Approval Workflow"/>
    <x v="7"/>
    <n v="56"/>
    <x v="0"/>
    <x v="2"/>
  </r>
  <r>
    <s v="IRM-29513"/>
    <x v="3"/>
    <x v="15"/>
    <s v="Support four-eye principle in Solon Tax - Approval Workflow"/>
    <x v="8"/>
    <n v="56"/>
    <x v="0"/>
    <x v="2"/>
  </r>
  <r>
    <s v="IRM-29513"/>
    <x v="3"/>
    <x v="15"/>
    <s v="Support four-eye principle in Solon Tax - Approval Workflow"/>
    <x v="9"/>
    <n v="70"/>
    <x v="0"/>
    <x v="2"/>
  </r>
  <r>
    <s v="IRM-29547"/>
    <x v="4"/>
    <x v="10"/>
    <s v="Allowed Unicode characters to be used in 'Code' fields of configuration records (Registration/Taxpayer Accounting)"/>
    <x v="0"/>
    <n v="213.3"/>
    <x v="0"/>
    <x v="0"/>
  </r>
  <r>
    <s v="IRM-29547"/>
    <x v="4"/>
    <x v="10"/>
    <s v="Allowed Unicode characters to be used in 'Code' fields of configuration records (Registration/Taxpayer Accounting)"/>
    <x v="1"/>
    <m/>
    <x v="0"/>
    <x v="0"/>
  </r>
  <r>
    <s v="IRM-29547"/>
    <x v="4"/>
    <x v="10"/>
    <s v="Allowed Unicode characters to be used in 'Code' fields of configuration records (Registration/Taxpayer Accounting)"/>
    <x v="2"/>
    <m/>
    <x v="0"/>
    <x v="0"/>
  </r>
  <r>
    <s v="IRM-29547"/>
    <x v="4"/>
    <x v="10"/>
    <s v="Allowed Unicode characters to be used in 'Code' fields of configuration records (Registration/Taxpayer Accounting)"/>
    <x v="3"/>
    <m/>
    <x v="0"/>
    <x v="0"/>
  </r>
  <r>
    <s v="IRM-29547"/>
    <x v="4"/>
    <x v="10"/>
    <s v="Allowed Unicode characters to be used in 'Code' fields of configuration records (Registration/Taxpayer Accounting)"/>
    <x v="4"/>
    <m/>
    <x v="0"/>
    <x v="0"/>
  </r>
  <r>
    <s v="IRM-29547"/>
    <x v="4"/>
    <x v="10"/>
    <s v="Allowed Unicode characters to be used in 'Code' fields of configuration records (Registration/Taxpayer Accounting)"/>
    <x v="5"/>
    <n v="42.7"/>
    <x v="0"/>
    <x v="1"/>
  </r>
  <r>
    <s v="IRM-29547"/>
    <x v="4"/>
    <x v="10"/>
    <s v="Allowed Unicode characters to be used in 'Code' fields of configuration records (Registration/Taxpayer Accounting)"/>
    <x v="6"/>
    <n v="106.6"/>
    <x v="0"/>
    <x v="0"/>
  </r>
  <r>
    <s v="IRM-29547"/>
    <x v="4"/>
    <x v="10"/>
    <s v="Allowed Unicode characters to be used in 'Code' fields of configuration records (Registration/Taxpayer Accounting)"/>
    <x v="7"/>
    <n v="85.3"/>
    <x v="0"/>
    <x v="0"/>
  </r>
  <r>
    <s v="IRM-29547"/>
    <x v="4"/>
    <x v="10"/>
    <s v="Allowed Unicode characters to be used in 'Code' fields of configuration records (Registration/Taxpayer Accounting)"/>
    <x v="8"/>
    <n v="85.3"/>
    <x v="0"/>
    <x v="0"/>
  </r>
  <r>
    <s v="IRM-29547"/>
    <x v="4"/>
    <x v="10"/>
    <s v="Allowed Unicode characters to be used in 'Code' fields of configuration records (Registration/Taxpayer Accounting)"/>
    <x v="9"/>
    <n v="106.6"/>
    <x v="0"/>
    <x v="0"/>
  </r>
  <r>
    <s v="IRM-29663"/>
    <x v="4"/>
    <x v="4"/>
    <s v="Solon Tax logging enhancements"/>
    <x v="0"/>
    <n v="264"/>
    <x v="0"/>
    <x v="3"/>
  </r>
  <r>
    <s v="IRM-29663"/>
    <x v="4"/>
    <x v="4"/>
    <s v="Solon Tax logging enhancements"/>
    <x v="1"/>
    <m/>
    <x v="0"/>
    <x v="3"/>
  </r>
  <r>
    <s v="IRM-29663"/>
    <x v="4"/>
    <x v="4"/>
    <s v="Solon Tax logging enhancements"/>
    <x v="2"/>
    <m/>
    <x v="0"/>
    <x v="3"/>
  </r>
  <r>
    <s v="IRM-29663"/>
    <x v="4"/>
    <x v="4"/>
    <s v="Solon Tax logging enhancements"/>
    <x v="3"/>
    <m/>
    <x v="0"/>
    <x v="3"/>
  </r>
  <r>
    <s v="IRM-29663"/>
    <x v="4"/>
    <x v="4"/>
    <s v="Solon Tax logging enhancements"/>
    <x v="4"/>
    <m/>
    <x v="0"/>
    <x v="3"/>
  </r>
  <r>
    <s v="IRM-29663"/>
    <x v="4"/>
    <x v="4"/>
    <s v="Solon Tax logging enhancements"/>
    <x v="5"/>
    <n v="52.8"/>
    <x v="0"/>
    <x v="0"/>
  </r>
  <r>
    <s v="IRM-29663"/>
    <x v="4"/>
    <x v="4"/>
    <s v="Solon Tax logging enhancements"/>
    <x v="6"/>
    <n v="132"/>
    <x v="0"/>
    <x v="3"/>
  </r>
  <r>
    <s v="IRM-29663"/>
    <x v="4"/>
    <x v="4"/>
    <s v="Solon Tax logging enhancements"/>
    <x v="7"/>
    <n v="105.6"/>
    <x v="0"/>
    <x v="3"/>
  </r>
  <r>
    <s v="IRM-29663"/>
    <x v="4"/>
    <x v="4"/>
    <s v="Solon Tax logging enhancements"/>
    <x v="8"/>
    <n v="105.6"/>
    <x v="0"/>
    <x v="3"/>
  </r>
  <r>
    <s v="IRM-29663"/>
    <x v="4"/>
    <x v="4"/>
    <s v="Solon Tax logging enhancements"/>
    <x v="9"/>
    <n v="132"/>
    <x v="0"/>
    <x v="3"/>
  </r>
  <r>
    <s v="IRM-29710"/>
    <x v="4"/>
    <x v="8"/>
    <s v="Support row level security  - Allowed Operations per Operational Report Type"/>
    <x v="0"/>
    <n v="106.7"/>
    <x v="0"/>
    <x v="0"/>
  </r>
  <r>
    <s v="IRM-29710"/>
    <x v="4"/>
    <x v="8"/>
    <s v="Support row level security  - Allowed Operations per Operational Report Type"/>
    <x v="1"/>
    <m/>
    <x v="0"/>
    <x v="0"/>
  </r>
  <r>
    <s v="IRM-29710"/>
    <x v="4"/>
    <x v="8"/>
    <s v="Support row level security  - Allowed Operations per Operational Report Type"/>
    <x v="2"/>
    <m/>
    <x v="0"/>
    <x v="0"/>
  </r>
  <r>
    <s v="IRM-29710"/>
    <x v="4"/>
    <x v="8"/>
    <s v="Support row level security  - Allowed Operations per Operational Report Type"/>
    <x v="3"/>
    <m/>
    <x v="0"/>
    <x v="0"/>
  </r>
  <r>
    <s v="IRM-29710"/>
    <x v="4"/>
    <x v="8"/>
    <s v="Support row level security  - Allowed Operations per Operational Report Type"/>
    <x v="4"/>
    <m/>
    <x v="0"/>
    <x v="0"/>
  </r>
  <r>
    <s v="IRM-29710"/>
    <x v="4"/>
    <x v="8"/>
    <s v="Support row level security  - Allowed Operations per Operational Report Type"/>
    <x v="5"/>
    <n v="21.3"/>
    <x v="0"/>
    <x v="1"/>
  </r>
  <r>
    <s v="IRM-29710"/>
    <x v="4"/>
    <x v="8"/>
    <s v="Support row level security  - Allowed Operations per Operational Report Type"/>
    <x v="6"/>
    <n v="53.4"/>
    <x v="0"/>
    <x v="0"/>
  </r>
  <r>
    <s v="IRM-29710"/>
    <x v="4"/>
    <x v="8"/>
    <s v="Support row level security  - Allowed Operations per Operational Report Type"/>
    <x v="7"/>
    <n v="42.7"/>
    <x v="0"/>
    <x v="0"/>
  </r>
  <r>
    <s v="IRM-29710"/>
    <x v="4"/>
    <x v="8"/>
    <s v="Support row level security  - Allowed Operations per Operational Report Type"/>
    <x v="8"/>
    <n v="42.7"/>
    <x v="0"/>
    <x v="0"/>
  </r>
  <r>
    <s v="IRM-29710"/>
    <x v="4"/>
    <x v="8"/>
    <s v="Support row level security  - Allowed Operations per Operational Report Type"/>
    <x v="9"/>
    <n v="53.4"/>
    <x v="0"/>
    <x v="0"/>
  </r>
  <r>
    <s v="IRM-29998"/>
    <x v="1"/>
    <x v="16"/>
    <s v="Automatically distribute Operational Report in list of recipients"/>
    <x v="0"/>
    <n v="240"/>
    <x v="0"/>
    <x v="2"/>
  </r>
  <r>
    <s v="IRM-29998"/>
    <x v="1"/>
    <x v="16"/>
    <s v="Automatically distribute Operational Report in list of recipients"/>
    <x v="1"/>
    <m/>
    <x v="0"/>
    <x v="2"/>
  </r>
  <r>
    <s v="IRM-29998"/>
    <x v="1"/>
    <x v="16"/>
    <s v="Automatically distribute Operational Report in list of recipients"/>
    <x v="2"/>
    <m/>
    <x v="0"/>
    <x v="2"/>
  </r>
  <r>
    <s v="IRM-29998"/>
    <x v="1"/>
    <x v="16"/>
    <s v="Automatically distribute Operational Report in list of recipients"/>
    <x v="3"/>
    <m/>
    <x v="0"/>
    <x v="2"/>
  </r>
  <r>
    <s v="IRM-29998"/>
    <x v="1"/>
    <x v="16"/>
    <s v="Automatically distribute Operational Report in list of recipients"/>
    <x v="4"/>
    <m/>
    <x v="0"/>
    <x v="2"/>
  </r>
  <r>
    <s v="IRM-29998"/>
    <x v="1"/>
    <x v="16"/>
    <s v="Automatically distribute Operational Report in list of recipients"/>
    <x v="5"/>
    <n v="48"/>
    <x v="0"/>
    <x v="3"/>
  </r>
  <r>
    <s v="IRM-29998"/>
    <x v="1"/>
    <x v="16"/>
    <s v="Automatically distribute Operational Report in list of recipients"/>
    <x v="6"/>
    <n v="120"/>
    <x v="0"/>
    <x v="2"/>
  </r>
  <r>
    <s v="IRM-29998"/>
    <x v="1"/>
    <x v="16"/>
    <s v="Automatically distribute Operational Report in list of recipients"/>
    <x v="7"/>
    <n v="96"/>
    <x v="0"/>
    <x v="2"/>
  </r>
  <r>
    <s v="IRM-29998"/>
    <x v="1"/>
    <x v="16"/>
    <s v="Automatically distribute Operational Report in list of recipients"/>
    <x v="8"/>
    <n v="96"/>
    <x v="0"/>
    <x v="2"/>
  </r>
  <r>
    <s v="IRM-29998"/>
    <x v="1"/>
    <x v="16"/>
    <s v="Automatically distribute Operational Report in list of recipients"/>
    <x v="9"/>
    <n v="120"/>
    <x v="0"/>
    <x v="2"/>
  </r>
  <r>
    <s v="IRM-30255"/>
    <x v="4"/>
    <x v="10"/>
    <s v="Support an AI-assisted JSON schema generation mechanism within Form Designer"/>
    <x v="0"/>
    <n v="433.3"/>
    <x v="1"/>
    <x v="4"/>
  </r>
  <r>
    <s v="IRM-30255"/>
    <x v="4"/>
    <x v="10"/>
    <s v="Support an AI-assisted JSON schema generation mechanism within Form Designer"/>
    <x v="1"/>
    <m/>
    <x v="1"/>
    <x v="4"/>
  </r>
  <r>
    <s v="IRM-30255"/>
    <x v="4"/>
    <x v="10"/>
    <s v="Support an AI-assisted JSON schema generation mechanism within Form Designer"/>
    <x v="2"/>
    <m/>
    <x v="1"/>
    <x v="4"/>
  </r>
  <r>
    <s v="IRM-30255"/>
    <x v="4"/>
    <x v="10"/>
    <s v="Support an AI-assisted JSON schema generation mechanism within Form Designer"/>
    <x v="3"/>
    <m/>
    <x v="1"/>
    <x v="4"/>
  </r>
  <r>
    <s v="IRM-30255"/>
    <x v="4"/>
    <x v="10"/>
    <s v="Support an AI-assisted JSON schema generation mechanism within Form Designer"/>
    <x v="4"/>
    <m/>
    <x v="1"/>
    <x v="4"/>
  </r>
  <r>
    <s v="IRM-30255"/>
    <x v="4"/>
    <x v="10"/>
    <s v="Support an AI-assisted JSON schema generation mechanism within Form Designer"/>
    <x v="5"/>
    <n v="86.7"/>
    <x v="1"/>
    <x v="2"/>
  </r>
  <r>
    <s v="IRM-30255"/>
    <x v="4"/>
    <x v="10"/>
    <s v="Support an AI-assisted JSON schema generation mechanism within Form Designer"/>
    <x v="6"/>
    <n v="216.6"/>
    <x v="1"/>
    <x v="4"/>
  </r>
  <r>
    <s v="IRM-30255"/>
    <x v="4"/>
    <x v="10"/>
    <s v="Support an AI-assisted JSON schema generation mechanism within Form Designer"/>
    <x v="7"/>
    <n v="173.3"/>
    <x v="1"/>
    <x v="4"/>
  </r>
  <r>
    <s v="IRM-30255"/>
    <x v="4"/>
    <x v="10"/>
    <s v="Support an AI-assisted JSON schema generation mechanism within Form Designer"/>
    <x v="8"/>
    <n v="173.3"/>
    <x v="1"/>
    <x v="4"/>
  </r>
  <r>
    <s v="IRM-30255"/>
    <x v="4"/>
    <x v="10"/>
    <s v="Support an AI-assisted JSON schema generation mechanism within Form Designer"/>
    <x v="9"/>
    <n v="216.6"/>
    <x v="1"/>
    <x v="4"/>
  </r>
  <r>
    <s v="IRM-30334"/>
    <x v="2"/>
    <x v="2"/>
    <s v="PIT  &amp;  Pay as you earn"/>
    <x v="0"/>
    <n v="140"/>
    <x v="0"/>
    <x v="4"/>
  </r>
  <r>
    <s v="IRM-30334"/>
    <x v="2"/>
    <x v="2"/>
    <s v="PIT  &amp;  Pay as you earn"/>
    <x v="1"/>
    <m/>
    <x v="0"/>
    <x v="4"/>
  </r>
  <r>
    <s v="IRM-30334"/>
    <x v="2"/>
    <x v="2"/>
    <s v="PIT  &amp;  Pay as you earn"/>
    <x v="2"/>
    <m/>
    <x v="0"/>
    <x v="4"/>
  </r>
  <r>
    <s v="IRM-30334"/>
    <x v="2"/>
    <x v="2"/>
    <s v="PIT  &amp;  Pay as you earn"/>
    <x v="3"/>
    <m/>
    <x v="0"/>
    <x v="4"/>
  </r>
  <r>
    <s v="IRM-30334"/>
    <x v="2"/>
    <x v="2"/>
    <s v="PIT  &amp;  Pay as you earn"/>
    <x v="4"/>
    <m/>
    <x v="0"/>
    <x v="4"/>
  </r>
  <r>
    <s v="IRM-30334"/>
    <x v="2"/>
    <x v="2"/>
    <s v="PIT  &amp;  Pay as you earn"/>
    <x v="5"/>
    <n v="28"/>
    <x v="0"/>
    <x v="2"/>
  </r>
  <r>
    <s v="IRM-30334"/>
    <x v="2"/>
    <x v="2"/>
    <s v="PIT  &amp;  Pay as you earn"/>
    <x v="6"/>
    <n v="70"/>
    <x v="0"/>
    <x v="4"/>
  </r>
  <r>
    <s v="IRM-30334"/>
    <x v="2"/>
    <x v="2"/>
    <s v="PIT  &amp;  Pay as you earn"/>
    <x v="7"/>
    <n v="56"/>
    <x v="0"/>
    <x v="4"/>
  </r>
  <r>
    <s v="IRM-30334"/>
    <x v="2"/>
    <x v="2"/>
    <s v="PIT  &amp;  Pay as you earn"/>
    <x v="8"/>
    <n v="56"/>
    <x v="0"/>
    <x v="4"/>
  </r>
  <r>
    <s v="IRM-30334"/>
    <x v="2"/>
    <x v="2"/>
    <s v="PIT  &amp;  Pay as you earn"/>
    <x v="9"/>
    <n v="70"/>
    <x v="0"/>
    <x v="4"/>
  </r>
  <r>
    <s v="IRM-30356"/>
    <x v="5"/>
    <x v="17"/>
    <s v="Vida PoC - Flow and example  integrations"/>
    <x v="0"/>
    <n v="800"/>
    <x v="0"/>
    <x v="4"/>
  </r>
  <r>
    <s v="IRM-30356"/>
    <x v="5"/>
    <x v="17"/>
    <s v="Vida PoC - Flow and example  integrations"/>
    <x v="1"/>
    <m/>
    <x v="0"/>
    <x v="4"/>
  </r>
  <r>
    <s v="IRM-30356"/>
    <x v="5"/>
    <x v="17"/>
    <s v="Vida PoC - Flow and example  integrations"/>
    <x v="2"/>
    <m/>
    <x v="0"/>
    <x v="4"/>
  </r>
  <r>
    <s v="IRM-30356"/>
    <x v="5"/>
    <x v="17"/>
    <s v="Vida PoC - Flow and example  integrations"/>
    <x v="3"/>
    <m/>
    <x v="0"/>
    <x v="4"/>
  </r>
  <r>
    <s v="IRM-30356"/>
    <x v="5"/>
    <x v="17"/>
    <s v="Vida PoC - Flow and example  integrations"/>
    <x v="4"/>
    <m/>
    <x v="0"/>
    <x v="4"/>
  </r>
  <r>
    <s v="IRM-30356"/>
    <x v="5"/>
    <x v="17"/>
    <s v="Vida PoC - Flow and example  integrations"/>
    <x v="5"/>
    <n v="160"/>
    <x v="0"/>
    <x v="2"/>
  </r>
  <r>
    <s v="IRM-30356"/>
    <x v="5"/>
    <x v="17"/>
    <s v="Vida PoC - Flow and example  integrations"/>
    <x v="6"/>
    <n v="400"/>
    <x v="0"/>
    <x v="4"/>
  </r>
  <r>
    <s v="IRM-30356"/>
    <x v="5"/>
    <x v="17"/>
    <s v="Vida PoC - Flow and example  integrations"/>
    <x v="7"/>
    <n v="320"/>
    <x v="0"/>
    <x v="4"/>
  </r>
  <r>
    <s v="IRM-30356"/>
    <x v="5"/>
    <x v="17"/>
    <s v="Vida PoC - Flow and example  integrations"/>
    <x v="8"/>
    <n v="320"/>
    <x v="0"/>
    <x v="4"/>
  </r>
  <r>
    <s v="IRM-30356"/>
    <x v="5"/>
    <x v="17"/>
    <s v="Vida PoC - Flow and example  integrations"/>
    <x v="9"/>
    <n v="400"/>
    <x v="0"/>
    <x v="4"/>
  </r>
  <r>
    <s v="IRM-30357"/>
    <x v="4"/>
    <x v="13"/>
    <s v="AI in RM"/>
    <x v="0"/>
    <n v="433.3"/>
    <x v="1"/>
    <x v="4"/>
  </r>
  <r>
    <s v="IRM-30357"/>
    <x v="4"/>
    <x v="13"/>
    <s v="AI in RM"/>
    <x v="1"/>
    <m/>
    <x v="1"/>
    <x v="4"/>
  </r>
  <r>
    <s v="IRM-30357"/>
    <x v="4"/>
    <x v="13"/>
    <s v="AI in RM"/>
    <x v="2"/>
    <m/>
    <x v="1"/>
    <x v="4"/>
  </r>
  <r>
    <s v="IRM-30357"/>
    <x v="4"/>
    <x v="13"/>
    <s v="AI in RM"/>
    <x v="3"/>
    <m/>
    <x v="1"/>
    <x v="4"/>
  </r>
  <r>
    <s v="IRM-30357"/>
    <x v="4"/>
    <x v="13"/>
    <s v="AI in RM"/>
    <x v="4"/>
    <m/>
    <x v="1"/>
    <x v="4"/>
  </r>
  <r>
    <s v="IRM-30357"/>
    <x v="4"/>
    <x v="13"/>
    <s v="AI in RM"/>
    <x v="5"/>
    <n v="86.7"/>
    <x v="1"/>
    <x v="2"/>
  </r>
  <r>
    <s v="IRM-30357"/>
    <x v="4"/>
    <x v="13"/>
    <s v="AI in RM"/>
    <x v="6"/>
    <n v="216.6"/>
    <x v="1"/>
    <x v="4"/>
  </r>
  <r>
    <s v="IRM-30357"/>
    <x v="4"/>
    <x v="13"/>
    <s v="AI in RM"/>
    <x v="7"/>
    <n v="173.3"/>
    <x v="1"/>
    <x v="4"/>
  </r>
  <r>
    <s v="IRM-30357"/>
    <x v="4"/>
    <x v="13"/>
    <s v="AI in RM"/>
    <x v="8"/>
    <n v="173.3"/>
    <x v="1"/>
    <x v="4"/>
  </r>
  <r>
    <s v="IRM-30357"/>
    <x v="4"/>
    <x v="13"/>
    <s v="AI in RM"/>
    <x v="9"/>
    <n v="216.6"/>
    <x v="1"/>
    <x v="4"/>
  </r>
  <r>
    <s v="IRM-30358"/>
    <x v="4"/>
    <x v="13"/>
    <s v="AI in SS"/>
    <x v="0"/>
    <n v="266.7"/>
    <x v="1"/>
    <x v="4"/>
  </r>
  <r>
    <s v="IRM-30358"/>
    <x v="4"/>
    <x v="13"/>
    <s v="AI in SS"/>
    <x v="1"/>
    <m/>
    <x v="1"/>
    <x v="4"/>
  </r>
  <r>
    <s v="IRM-30358"/>
    <x v="4"/>
    <x v="13"/>
    <s v="AI in SS"/>
    <x v="2"/>
    <m/>
    <x v="1"/>
    <x v="4"/>
  </r>
  <r>
    <s v="IRM-30358"/>
    <x v="4"/>
    <x v="13"/>
    <s v="AI in SS"/>
    <x v="3"/>
    <m/>
    <x v="1"/>
    <x v="4"/>
  </r>
  <r>
    <s v="IRM-30358"/>
    <x v="4"/>
    <x v="13"/>
    <s v="AI in SS"/>
    <x v="4"/>
    <m/>
    <x v="1"/>
    <x v="4"/>
  </r>
  <r>
    <s v="IRM-30358"/>
    <x v="4"/>
    <x v="13"/>
    <s v="AI in SS"/>
    <x v="5"/>
    <n v="53.3"/>
    <x v="1"/>
    <x v="2"/>
  </r>
  <r>
    <s v="IRM-30358"/>
    <x v="4"/>
    <x v="13"/>
    <s v="AI in SS"/>
    <x v="6"/>
    <n v="133.4"/>
    <x v="1"/>
    <x v="4"/>
  </r>
  <r>
    <s v="IRM-30358"/>
    <x v="4"/>
    <x v="13"/>
    <s v="AI in SS"/>
    <x v="7"/>
    <n v="106.7"/>
    <x v="1"/>
    <x v="4"/>
  </r>
  <r>
    <s v="IRM-30358"/>
    <x v="4"/>
    <x v="13"/>
    <s v="AI in SS"/>
    <x v="8"/>
    <n v="106.7"/>
    <x v="1"/>
    <x v="4"/>
  </r>
  <r>
    <s v="IRM-30358"/>
    <x v="4"/>
    <x v="13"/>
    <s v="AI in SS"/>
    <x v="9"/>
    <n v="133.4"/>
    <x v="1"/>
    <x v="4"/>
  </r>
  <r>
    <s v="IRM-30360"/>
    <x v="4"/>
    <x v="8"/>
    <s v="Data visibility permissions / Row level access, per hierarchical level of users in teams"/>
    <x v="0"/>
    <n v="440"/>
    <x v="0"/>
    <x v="2"/>
  </r>
  <r>
    <s v="IRM-30360"/>
    <x v="4"/>
    <x v="8"/>
    <s v="Data visibility permissions / Row level access, per hierarchical level of users in teams"/>
    <x v="1"/>
    <m/>
    <x v="0"/>
    <x v="2"/>
  </r>
  <r>
    <s v="IRM-30360"/>
    <x v="4"/>
    <x v="8"/>
    <s v="Data visibility permissions / Row level access, per hierarchical level of users in teams"/>
    <x v="2"/>
    <m/>
    <x v="0"/>
    <x v="2"/>
  </r>
  <r>
    <s v="IRM-30360"/>
    <x v="4"/>
    <x v="8"/>
    <s v="Data visibility permissions / Row level access, per hierarchical level of users in teams"/>
    <x v="3"/>
    <m/>
    <x v="0"/>
    <x v="2"/>
  </r>
  <r>
    <s v="IRM-30360"/>
    <x v="4"/>
    <x v="8"/>
    <s v="Data visibility permissions / Row level access, per hierarchical level of users in teams"/>
    <x v="4"/>
    <m/>
    <x v="0"/>
    <x v="2"/>
  </r>
  <r>
    <s v="IRM-30360"/>
    <x v="4"/>
    <x v="8"/>
    <s v="Data visibility permissions / Row level access, per hierarchical level of users in teams"/>
    <x v="5"/>
    <n v="88"/>
    <x v="0"/>
    <x v="3"/>
  </r>
  <r>
    <s v="IRM-30360"/>
    <x v="4"/>
    <x v="8"/>
    <s v="Data visibility permissions / Row level access, per hierarchical level of users in teams"/>
    <x v="6"/>
    <n v="220"/>
    <x v="0"/>
    <x v="2"/>
  </r>
  <r>
    <s v="IRM-30360"/>
    <x v="4"/>
    <x v="8"/>
    <s v="Data visibility permissions / Row level access, per hierarchical level of users in teams"/>
    <x v="7"/>
    <n v="176"/>
    <x v="0"/>
    <x v="2"/>
  </r>
  <r>
    <s v="IRM-30360"/>
    <x v="4"/>
    <x v="8"/>
    <s v="Data visibility permissions / Row level access, per hierarchical level of users in teams"/>
    <x v="8"/>
    <n v="176"/>
    <x v="0"/>
    <x v="2"/>
  </r>
  <r>
    <s v="IRM-30360"/>
    <x v="4"/>
    <x v="8"/>
    <s v="Data visibility permissions / Row level access, per hierarchical level of users in teams"/>
    <x v="9"/>
    <n v="220"/>
    <x v="0"/>
    <x v="2"/>
  </r>
  <r>
    <s v="IRM-30362"/>
    <x v="0"/>
    <x v="18"/>
    <s v="GL decisions table - Ensure extensibility and high volume support of decisions /Functionality &amp; Reference Implementation"/>
    <x v="0"/>
    <n v="533.29999999999995"/>
    <x v="0"/>
    <x v="2"/>
  </r>
  <r>
    <s v="IRM-30362"/>
    <x v="0"/>
    <x v="18"/>
    <s v="GL decisions table - Ensure extensibility and high volume support of decisions /Functionality &amp; Reference Implementation"/>
    <x v="1"/>
    <m/>
    <x v="0"/>
    <x v="2"/>
  </r>
  <r>
    <s v="IRM-30362"/>
    <x v="0"/>
    <x v="18"/>
    <s v="GL decisions table - Ensure extensibility and high volume support of decisions /Functionality &amp; Reference Implementation"/>
    <x v="2"/>
    <m/>
    <x v="0"/>
    <x v="2"/>
  </r>
  <r>
    <s v="IRM-30362"/>
    <x v="0"/>
    <x v="18"/>
    <s v="GL decisions table - Ensure extensibility and high volume support of decisions /Functionality &amp; Reference Implementation"/>
    <x v="3"/>
    <m/>
    <x v="0"/>
    <x v="2"/>
  </r>
  <r>
    <s v="IRM-30362"/>
    <x v="0"/>
    <x v="18"/>
    <s v="GL decisions table - Ensure extensibility and high volume support of decisions /Functionality &amp; Reference Implementation"/>
    <x v="4"/>
    <m/>
    <x v="0"/>
    <x v="2"/>
  </r>
  <r>
    <s v="IRM-30362"/>
    <x v="0"/>
    <x v="18"/>
    <s v="GL decisions table - Ensure extensibility and high volume support of decisions /Functionality &amp; Reference Implementation"/>
    <x v="5"/>
    <n v="106.7"/>
    <x v="0"/>
    <x v="3"/>
  </r>
  <r>
    <s v="IRM-30362"/>
    <x v="0"/>
    <x v="18"/>
    <s v="GL decisions table - Ensure extensibility and high volume support of decisions /Functionality &amp; Reference Implementation"/>
    <x v="6"/>
    <n v="266.60000000000002"/>
    <x v="0"/>
    <x v="2"/>
  </r>
  <r>
    <s v="IRM-30362"/>
    <x v="0"/>
    <x v="18"/>
    <s v="GL decisions table - Ensure extensibility and high volume support of decisions /Functionality &amp; Reference Implementation"/>
    <x v="7"/>
    <n v="213.3"/>
    <x v="0"/>
    <x v="2"/>
  </r>
  <r>
    <s v="IRM-30362"/>
    <x v="0"/>
    <x v="18"/>
    <s v="GL decisions table - Ensure extensibility and high volume support of decisions /Functionality &amp; Reference Implementation"/>
    <x v="8"/>
    <n v="213.3"/>
    <x v="0"/>
    <x v="2"/>
  </r>
  <r>
    <s v="IRM-30362"/>
    <x v="0"/>
    <x v="18"/>
    <s v="GL decisions table - Ensure extensibility and high volume support of decisions /Functionality &amp; Reference Implementation"/>
    <x v="9"/>
    <n v="266.60000000000002"/>
    <x v="0"/>
    <x v="2"/>
  </r>
  <r>
    <s v="IRM-30366"/>
    <x v="0"/>
    <x v="0"/>
    <s v="Party Identifiers - Country parameter and Validations "/>
    <x v="0"/>
    <n v="106.7"/>
    <x v="0"/>
    <x v="0"/>
  </r>
  <r>
    <s v="IRM-30366"/>
    <x v="0"/>
    <x v="0"/>
    <s v="Party Identifiers - Country parameter and Validations "/>
    <x v="1"/>
    <m/>
    <x v="0"/>
    <x v="0"/>
  </r>
  <r>
    <s v="IRM-30366"/>
    <x v="0"/>
    <x v="0"/>
    <s v="Party Identifiers - Country parameter and Validations "/>
    <x v="2"/>
    <m/>
    <x v="0"/>
    <x v="0"/>
  </r>
  <r>
    <s v="IRM-30366"/>
    <x v="0"/>
    <x v="0"/>
    <s v="Party Identifiers - Country parameter and Validations "/>
    <x v="3"/>
    <m/>
    <x v="0"/>
    <x v="0"/>
  </r>
  <r>
    <s v="IRM-30366"/>
    <x v="0"/>
    <x v="0"/>
    <s v="Party Identifiers - Country parameter and Validations "/>
    <x v="4"/>
    <m/>
    <x v="0"/>
    <x v="0"/>
  </r>
  <r>
    <s v="IRM-30366"/>
    <x v="0"/>
    <x v="0"/>
    <s v="Party Identifiers - Country parameter and Validations "/>
    <x v="5"/>
    <n v="21.3"/>
    <x v="0"/>
    <x v="1"/>
  </r>
  <r>
    <s v="IRM-30366"/>
    <x v="0"/>
    <x v="0"/>
    <s v="Party Identifiers - Country parameter and Validations "/>
    <x v="6"/>
    <n v="53.4"/>
    <x v="0"/>
    <x v="0"/>
  </r>
  <r>
    <s v="IRM-30366"/>
    <x v="0"/>
    <x v="0"/>
    <s v="Party Identifiers - Country parameter and Validations "/>
    <x v="7"/>
    <n v="42.7"/>
    <x v="0"/>
    <x v="0"/>
  </r>
  <r>
    <s v="IRM-30366"/>
    <x v="0"/>
    <x v="0"/>
    <s v="Party Identifiers - Country parameter and Validations "/>
    <x v="8"/>
    <n v="42.7"/>
    <x v="0"/>
    <x v="0"/>
  </r>
  <r>
    <s v="IRM-30366"/>
    <x v="0"/>
    <x v="0"/>
    <s v="Party Identifiers - Country parameter and Validations "/>
    <x v="9"/>
    <n v="53.4"/>
    <x v="0"/>
    <x v="0"/>
  </r>
  <r>
    <s v="IRM-30369"/>
    <x v="4"/>
    <x v="4"/>
    <s v="Additional Details in Registry changes to relate and define declaration ID and state"/>
    <x v="0"/>
    <n v="373.3"/>
    <x v="0"/>
    <x v="0"/>
  </r>
  <r>
    <s v="IRM-30369"/>
    <x v="4"/>
    <x v="4"/>
    <s v="Additional Details in Registry changes to relate and define declaration ID and state"/>
    <x v="1"/>
    <m/>
    <x v="0"/>
    <x v="0"/>
  </r>
  <r>
    <s v="IRM-30369"/>
    <x v="4"/>
    <x v="4"/>
    <s v="Additional Details in Registry changes to relate and define declaration ID and state"/>
    <x v="2"/>
    <m/>
    <x v="0"/>
    <x v="0"/>
  </r>
  <r>
    <s v="IRM-30369"/>
    <x v="4"/>
    <x v="4"/>
    <s v="Additional Details in Registry changes to relate and define declaration ID and state"/>
    <x v="3"/>
    <m/>
    <x v="0"/>
    <x v="0"/>
  </r>
  <r>
    <s v="IRM-30369"/>
    <x v="4"/>
    <x v="4"/>
    <s v="Additional Details in Registry changes to relate and define declaration ID and state"/>
    <x v="4"/>
    <m/>
    <x v="0"/>
    <x v="0"/>
  </r>
  <r>
    <s v="IRM-30369"/>
    <x v="4"/>
    <x v="4"/>
    <s v="Additional Details in Registry changes to relate and define declaration ID and state"/>
    <x v="5"/>
    <n v="74.7"/>
    <x v="0"/>
    <x v="1"/>
  </r>
  <r>
    <s v="IRM-30369"/>
    <x v="4"/>
    <x v="4"/>
    <s v="Additional Details in Registry changes to relate and define declaration ID and state"/>
    <x v="6"/>
    <n v="186.6"/>
    <x v="0"/>
    <x v="0"/>
  </r>
  <r>
    <s v="IRM-30369"/>
    <x v="4"/>
    <x v="4"/>
    <s v="Additional Details in Registry changes to relate and define declaration ID and state"/>
    <x v="7"/>
    <n v="149.30000000000001"/>
    <x v="0"/>
    <x v="0"/>
  </r>
  <r>
    <s v="IRM-30369"/>
    <x v="4"/>
    <x v="4"/>
    <s v="Additional Details in Registry changes to relate and define declaration ID and state"/>
    <x v="8"/>
    <n v="149.30000000000001"/>
    <x v="0"/>
    <x v="0"/>
  </r>
  <r>
    <s v="IRM-30369"/>
    <x v="4"/>
    <x v="4"/>
    <s v="Additional Details in Registry changes to relate and define declaration ID and state"/>
    <x v="9"/>
    <n v="186.6"/>
    <x v="0"/>
    <x v="0"/>
  </r>
  <r>
    <s v="IRM-30371"/>
    <x v="0"/>
    <x v="0"/>
    <s v="Additional Name Elements"/>
    <x v="0"/>
    <n v="29.3"/>
    <x v="0"/>
    <x v="0"/>
  </r>
  <r>
    <s v="IRM-30371"/>
    <x v="0"/>
    <x v="0"/>
    <s v="Additional Name Elements"/>
    <x v="1"/>
    <m/>
    <x v="0"/>
    <x v="0"/>
  </r>
  <r>
    <s v="IRM-30371"/>
    <x v="0"/>
    <x v="0"/>
    <s v="Additional Name Elements"/>
    <x v="2"/>
    <m/>
    <x v="0"/>
    <x v="0"/>
  </r>
  <r>
    <s v="IRM-30371"/>
    <x v="0"/>
    <x v="0"/>
    <s v="Additional Name Elements"/>
    <x v="3"/>
    <m/>
    <x v="0"/>
    <x v="0"/>
  </r>
  <r>
    <s v="IRM-30371"/>
    <x v="0"/>
    <x v="0"/>
    <s v="Additional Name Elements"/>
    <x v="4"/>
    <m/>
    <x v="0"/>
    <x v="0"/>
  </r>
  <r>
    <s v="IRM-30371"/>
    <x v="0"/>
    <x v="0"/>
    <s v="Additional Name Elements"/>
    <x v="5"/>
    <n v="5.9"/>
    <x v="0"/>
    <x v="1"/>
  </r>
  <r>
    <s v="IRM-30371"/>
    <x v="0"/>
    <x v="0"/>
    <s v="Additional Name Elements"/>
    <x v="6"/>
    <n v="14.6"/>
    <x v="0"/>
    <x v="0"/>
  </r>
  <r>
    <s v="IRM-30371"/>
    <x v="0"/>
    <x v="0"/>
    <s v="Additional Name Elements"/>
    <x v="7"/>
    <n v="11.7"/>
    <x v="0"/>
    <x v="0"/>
  </r>
  <r>
    <s v="IRM-30371"/>
    <x v="0"/>
    <x v="0"/>
    <s v="Additional Name Elements"/>
    <x v="8"/>
    <n v="11.7"/>
    <x v="0"/>
    <x v="0"/>
  </r>
  <r>
    <s v="IRM-30371"/>
    <x v="0"/>
    <x v="0"/>
    <s v="Additional Name Elements"/>
    <x v="9"/>
    <n v="14.6"/>
    <x v="0"/>
    <x v="0"/>
  </r>
  <r>
    <s v="IRM-30372"/>
    <x v="4"/>
    <x v="8"/>
    <s v="Row level security example for human tasks   / Reference Implementation"/>
    <x v="0"/>
    <n v="140"/>
    <x v="0"/>
    <x v="2"/>
  </r>
  <r>
    <s v="IRM-30372"/>
    <x v="4"/>
    <x v="8"/>
    <s v="Row level security example for human tasks   / Reference Implementation"/>
    <x v="1"/>
    <m/>
    <x v="0"/>
    <x v="2"/>
  </r>
  <r>
    <s v="IRM-30372"/>
    <x v="4"/>
    <x v="8"/>
    <s v="Row level security example for human tasks   / Reference Implementation"/>
    <x v="2"/>
    <m/>
    <x v="0"/>
    <x v="2"/>
  </r>
  <r>
    <s v="IRM-30372"/>
    <x v="4"/>
    <x v="8"/>
    <s v="Row level security example for human tasks   / Reference Implementation"/>
    <x v="3"/>
    <m/>
    <x v="0"/>
    <x v="2"/>
  </r>
  <r>
    <s v="IRM-30372"/>
    <x v="4"/>
    <x v="8"/>
    <s v="Row level security example for human tasks   / Reference Implementation"/>
    <x v="4"/>
    <m/>
    <x v="0"/>
    <x v="2"/>
  </r>
  <r>
    <s v="IRM-30372"/>
    <x v="4"/>
    <x v="8"/>
    <s v="Row level security example for human tasks   / Reference Implementation"/>
    <x v="5"/>
    <n v="28"/>
    <x v="0"/>
    <x v="3"/>
  </r>
  <r>
    <s v="IRM-30372"/>
    <x v="4"/>
    <x v="8"/>
    <s v="Row level security example for human tasks   / Reference Implementation"/>
    <x v="6"/>
    <n v="70"/>
    <x v="0"/>
    <x v="2"/>
  </r>
  <r>
    <s v="IRM-30372"/>
    <x v="4"/>
    <x v="8"/>
    <s v="Row level security example for human tasks   / Reference Implementation"/>
    <x v="7"/>
    <n v="56"/>
    <x v="0"/>
    <x v="2"/>
  </r>
  <r>
    <s v="IRM-30372"/>
    <x v="4"/>
    <x v="8"/>
    <s v="Row level security example for human tasks   / Reference Implementation"/>
    <x v="8"/>
    <n v="56"/>
    <x v="0"/>
    <x v="2"/>
  </r>
  <r>
    <s v="IRM-30372"/>
    <x v="4"/>
    <x v="8"/>
    <s v="Row level security example for human tasks   / Reference Implementation"/>
    <x v="9"/>
    <n v="70"/>
    <x v="0"/>
    <x v="2"/>
  </r>
  <r>
    <s v="IRM-30376"/>
    <x v="4"/>
    <x v="19"/>
    <s v="Performance -Work on the known issues with performance in tasks assignment"/>
    <x v="0"/>
    <n v="128"/>
    <x v="1"/>
    <x v="2"/>
  </r>
  <r>
    <s v="IRM-30376"/>
    <x v="4"/>
    <x v="19"/>
    <s v="Performance -Work on the known issues with performance in tasks assignment"/>
    <x v="1"/>
    <m/>
    <x v="1"/>
    <x v="2"/>
  </r>
  <r>
    <s v="IRM-30376"/>
    <x v="4"/>
    <x v="19"/>
    <s v="Performance -Work on the known issues with performance in tasks assignment"/>
    <x v="2"/>
    <m/>
    <x v="1"/>
    <x v="2"/>
  </r>
  <r>
    <s v="IRM-30376"/>
    <x v="4"/>
    <x v="19"/>
    <s v="Performance -Work on the known issues with performance in tasks assignment"/>
    <x v="3"/>
    <m/>
    <x v="1"/>
    <x v="2"/>
  </r>
  <r>
    <s v="IRM-30376"/>
    <x v="4"/>
    <x v="19"/>
    <s v="Performance -Work on the known issues with performance in tasks assignment"/>
    <x v="4"/>
    <m/>
    <x v="1"/>
    <x v="2"/>
  </r>
  <r>
    <s v="IRM-30376"/>
    <x v="4"/>
    <x v="19"/>
    <s v="Performance -Work on the known issues with performance in tasks assignment"/>
    <x v="5"/>
    <n v="25.6"/>
    <x v="1"/>
    <x v="3"/>
  </r>
  <r>
    <s v="IRM-30376"/>
    <x v="4"/>
    <x v="19"/>
    <s v="Performance -Work on the known issues with performance in tasks assignment"/>
    <x v="6"/>
    <n v="64"/>
    <x v="1"/>
    <x v="2"/>
  </r>
  <r>
    <s v="IRM-30376"/>
    <x v="4"/>
    <x v="19"/>
    <s v="Performance -Work on the known issues with performance in tasks assignment"/>
    <x v="7"/>
    <n v="51.2"/>
    <x v="1"/>
    <x v="2"/>
  </r>
  <r>
    <s v="IRM-30376"/>
    <x v="4"/>
    <x v="19"/>
    <s v="Performance -Work on the known issues with performance in tasks assignment"/>
    <x v="8"/>
    <n v="51.2"/>
    <x v="1"/>
    <x v="2"/>
  </r>
  <r>
    <s v="IRM-30376"/>
    <x v="4"/>
    <x v="19"/>
    <s v="Performance -Work on the known issues with performance in tasks assignment"/>
    <x v="9"/>
    <n v="64"/>
    <x v="1"/>
    <x v="2"/>
  </r>
  <r>
    <s v="IRM-30378"/>
    <x v="1"/>
    <x v="1"/>
    <s v="Integration with Luminus (BRA &amp; Audit support)  "/>
    <x v="0"/>
    <n v="140"/>
    <x v="0"/>
    <x v="4"/>
  </r>
  <r>
    <s v="IRM-30378"/>
    <x v="1"/>
    <x v="1"/>
    <s v="Integration with Luminus (BRA &amp; Audit support)  "/>
    <x v="1"/>
    <m/>
    <x v="0"/>
    <x v="4"/>
  </r>
  <r>
    <s v="IRM-30378"/>
    <x v="1"/>
    <x v="1"/>
    <s v="Integration with Luminus (BRA &amp; Audit support)  "/>
    <x v="2"/>
    <m/>
    <x v="0"/>
    <x v="4"/>
  </r>
  <r>
    <s v="IRM-30378"/>
    <x v="1"/>
    <x v="1"/>
    <s v="Integration with Luminus (BRA &amp; Audit support)  "/>
    <x v="3"/>
    <m/>
    <x v="0"/>
    <x v="4"/>
  </r>
  <r>
    <s v="IRM-30378"/>
    <x v="1"/>
    <x v="1"/>
    <s v="Integration with Luminus (BRA &amp; Audit support)  "/>
    <x v="4"/>
    <m/>
    <x v="0"/>
    <x v="4"/>
  </r>
  <r>
    <s v="IRM-30378"/>
    <x v="1"/>
    <x v="1"/>
    <s v="Integration with Luminus (BRA &amp; Audit support)  "/>
    <x v="5"/>
    <n v="28"/>
    <x v="0"/>
    <x v="2"/>
  </r>
  <r>
    <s v="IRM-30378"/>
    <x v="1"/>
    <x v="1"/>
    <s v="Integration with Luminus (BRA &amp; Audit support)  "/>
    <x v="6"/>
    <n v="70"/>
    <x v="0"/>
    <x v="4"/>
  </r>
  <r>
    <s v="IRM-30378"/>
    <x v="1"/>
    <x v="1"/>
    <s v="Integration with Luminus (BRA &amp; Audit support)  "/>
    <x v="7"/>
    <n v="56"/>
    <x v="0"/>
    <x v="4"/>
  </r>
  <r>
    <s v="IRM-30378"/>
    <x v="1"/>
    <x v="1"/>
    <s v="Integration with Luminus (BRA &amp; Audit support)  "/>
    <x v="8"/>
    <n v="56"/>
    <x v="0"/>
    <x v="4"/>
  </r>
  <r>
    <s v="IRM-30378"/>
    <x v="1"/>
    <x v="1"/>
    <s v="Integration with Luminus (BRA &amp; Audit support)  "/>
    <x v="9"/>
    <n v="70"/>
    <x v="0"/>
    <x v="4"/>
  </r>
  <r>
    <s v="IRM-30402"/>
    <x v="1"/>
    <x v="20"/>
    <s v="SS Enhancements - Full process of Drools"/>
    <x v="0"/>
    <n v="320"/>
    <x v="0"/>
    <x v="0"/>
  </r>
  <r>
    <s v="IRM-30402"/>
    <x v="1"/>
    <x v="20"/>
    <s v="SS Enhancements - Full process of Drools"/>
    <x v="1"/>
    <m/>
    <x v="0"/>
    <x v="0"/>
  </r>
  <r>
    <s v="IRM-30402"/>
    <x v="1"/>
    <x v="20"/>
    <s v="SS Enhancements - Full process of Drools"/>
    <x v="2"/>
    <m/>
    <x v="0"/>
    <x v="0"/>
  </r>
  <r>
    <s v="IRM-30402"/>
    <x v="1"/>
    <x v="20"/>
    <s v="SS Enhancements - Full process of Drools"/>
    <x v="3"/>
    <m/>
    <x v="0"/>
    <x v="0"/>
  </r>
  <r>
    <s v="IRM-30402"/>
    <x v="1"/>
    <x v="20"/>
    <s v="SS Enhancements - Full process of Drools"/>
    <x v="4"/>
    <m/>
    <x v="0"/>
    <x v="0"/>
  </r>
  <r>
    <s v="IRM-30402"/>
    <x v="1"/>
    <x v="20"/>
    <s v="SS Enhancements - Full process of Drools"/>
    <x v="5"/>
    <n v="64"/>
    <x v="0"/>
    <x v="1"/>
  </r>
  <r>
    <s v="IRM-30402"/>
    <x v="1"/>
    <x v="20"/>
    <s v="SS Enhancements - Full process of Drools"/>
    <x v="6"/>
    <n v="160"/>
    <x v="0"/>
    <x v="0"/>
  </r>
  <r>
    <s v="IRM-30402"/>
    <x v="1"/>
    <x v="20"/>
    <s v="SS Enhancements - Full process of Drools"/>
    <x v="7"/>
    <n v="128"/>
    <x v="0"/>
    <x v="0"/>
  </r>
  <r>
    <s v="IRM-30402"/>
    <x v="1"/>
    <x v="20"/>
    <s v="SS Enhancements - Full process of Drools"/>
    <x v="8"/>
    <n v="128"/>
    <x v="0"/>
    <x v="0"/>
  </r>
  <r>
    <s v="IRM-30402"/>
    <x v="1"/>
    <x v="20"/>
    <s v="SS Enhancements - Full process of Drools"/>
    <x v="9"/>
    <n v="160"/>
    <x v="0"/>
    <x v="0"/>
  </r>
  <r>
    <s v="IRM-30403"/>
    <x v="1"/>
    <x v="21"/>
    <s v="SS Enhancements - CMS Integration"/>
    <x v="0"/>
    <n v="266.7"/>
    <x v="0"/>
    <x v="2"/>
  </r>
  <r>
    <s v="IRM-30403"/>
    <x v="1"/>
    <x v="21"/>
    <s v="SS Enhancements - CMS Integration"/>
    <x v="1"/>
    <m/>
    <x v="0"/>
    <x v="2"/>
  </r>
  <r>
    <s v="IRM-30403"/>
    <x v="1"/>
    <x v="21"/>
    <s v="SS Enhancements - CMS Integration"/>
    <x v="2"/>
    <m/>
    <x v="0"/>
    <x v="2"/>
  </r>
  <r>
    <s v="IRM-30403"/>
    <x v="1"/>
    <x v="21"/>
    <s v="SS Enhancements - CMS Integration"/>
    <x v="3"/>
    <m/>
    <x v="0"/>
    <x v="2"/>
  </r>
  <r>
    <s v="IRM-30403"/>
    <x v="1"/>
    <x v="21"/>
    <s v="SS Enhancements - CMS Integration"/>
    <x v="4"/>
    <m/>
    <x v="0"/>
    <x v="2"/>
  </r>
  <r>
    <s v="IRM-30403"/>
    <x v="1"/>
    <x v="21"/>
    <s v="SS Enhancements - CMS Integration"/>
    <x v="5"/>
    <n v="53.3"/>
    <x v="0"/>
    <x v="3"/>
  </r>
  <r>
    <s v="IRM-30403"/>
    <x v="1"/>
    <x v="21"/>
    <s v="SS Enhancements - CMS Integration"/>
    <x v="6"/>
    <n v="133.4"/>
    <x v="0"/>
    <x v="2"/>
  </r>
  <r>
    <s v="IRM-30403"/>
    <x v="1"/>
    <x v="21"/>
    <s v="SS Enhancements - CMS Integration"/>
    <x v="7"/>
    <n v="106.7"/>
    <x v="0"/>
    <x v="2"/>
  </r>
  <r>
    <s v="IRM-30403"/>
    <x v="1"/>
    <x v="21"/>
    <s v="SS Enhancements - CMS Integration"/>
    <x v="8"/>
    <n v="106.7"/>
    <x v="0"/>
    <x v="2"/>
  </r>
  <r>
    <s v="IRM-30403"/>
    <x v="1"/>
    <x v="21"/>
    <s v="SS Enhancements - CMS Integration"/>
    <x v="9"/>
    <n v="133.4"/>
    <x v="0"/>
    <x v="2"/>
  </r>
  <r>
    <s v="IRM-30418"/>
    <x v="1"/>
    <x v="22"/>
    <s v="Configurable Home Page widgets  in RM"/>
    <x v="0"/>
    <n v="80"/>
    <x v="0"/>
    <x v="2"/>
  </r>
  <r>
    <s v="IRM-30418"/>
    <x v="1"/>
    <x v="22"/>
    <s v="Configurable Home Page widgets  in RM"/>
    <x v="1"/>
    <m/>
    <x v="0"/>
    <x v="2"/>
  </r>
  <r>
    <s v="IRM-30418"/>
    <x v="1"/>
    <x v="22"/>
    <s v="Configurable Home Page widgets  in RM"/>
    <x v="2"/>
    <m/>
    <x v="0"/>
    <x v="2"/>
  </r>
  <r>
    <s v="IRM-30418"/>
    <x v="1"/>
    <x v="22"/>
    <s v="Configurable Home Page widgets  in RM"/>
    <x v="3"/>
    <m/>
    <x v="0"/>
    <x v="2"/>
  </r>
  <r>
    <s v="IRM-30418"/>
    <x v="1"/>
    <x v="22"/>
    <s v="Configurable Home Page widgets  in RM"/>
    <x v="4"/>
    <m/>
    <x v="0"/>
    <x v="2"/>
  </r>
  <r>
    <s v="IRM-30418"/>
    <x v="1"/>
    <x v="22"/>
    <s v="Configurable Home Page widgets  in RM"/>
    <x v="5"/>
    <n v="16"/>
    <x v="0"/>
    <x v="3"/>
  </r>
  <r>
    <s v="IRM-30418"/>
    <x v="1"/>
    <x v="22"/>
    <s v="Configurable Home Page widgets  in RM"/>
    <x v="6"/>
    <n v="40"/>
    <x v="0"/>
    <x v="2"/>
  </r>
  <r>
    <s v="IRM-30418"/>
    <x v="1"/>
    <x v="22"/>
    <s v="Configurable Home Page widgets  in RM"/>
    <x v="7"/>
    <n v="32"/>
    <x v="0"/>
    <x v="2"/>
  </r>
  <r>
    <s v="IRM-30418"/>
    <x v="1"/>
    <x v="22"/>
    <s v="Configurable Home Page widgets  in RM"/>
    <x v="8"/>
    <n v="32"/>
    <x v="0"/>
    <x v="2"/>
  </r>
  <r>
    <s v="IRM-30418"/>
    <x v="1"/>
    <x v="22"/>
    <s v="Configurable Home Page widgets  in RM"/>
    <x v="9"/>
    <n v="40"/>
    <x v="0"/>
    <x v="2"/>
  </r>
  <r>
    <s v="IRM-30419"/>
    <x v="4"/>
    <x v="13"/>
    <s v="Improve the search experience - RM"/>
    <x v="0"/>
    <n v="266.7"/>
    <x v="0"/>
    <x v="2"/>
  </r>
  <r>
    <s v="IRM-30419"/>
    <x v="4"/>
    <x v="13"/>
    <s v="Improve the search experience - RM"/>
    <x v="1"/>
    <m/>
    <x v="0"/>
    <x v="2"/>
  </r>
  <r>
    <s v="IRM-30419"/>
    <x v="4"/>
    <x v="13"/>
    <s v="Improve the search experience - RM"/>
    <x v="2"/>
    <m/>
    <x v="0"/>
    <x v="2"/>
  </r>
  <r>
    <s v="IRM-30419"/>
    <x v="4"/>
    <x v="13"/>
    <s v="Improve the search experience - RM"/>
    <x v="3"/>
    <m/>
    <x v="0"/>
    <x v="2"/>
  </r>
  <r>
    <s v="IRM-30419"/>
    <x v="4"/>
    <x v="13"/>
    <s v="Improve the search experience - RM"/>
    <x v="4"/>
    <m/>
    <x v="0"/>
    <x v="2"/>
  </r>
  <r>
    <s v="IRM-30419"/>
    <x v="4"/>
    <x v="13"/>
    <s v="Improve the search experience - RM"/>
    <x v="5"/>
    <n v="53.3"/>
    <x v="0"/>
    <x v="3"/>
  </r>
  <r>
    <s v="IRM-30419"/>
    <x v="4"/>
    <x v="13"/>
    <s v="Improve the search experience - RM"/>
    <x v="6"/>
    <n v="133.4"/>
    <x v="0"/>
    <x v="2"/>
  </r>
  <r>
    <s v="IRM-30419"/>
    <x v="4"/>
    <x v="13"/>
    <s v="Improve the search experience - RM"/>
    <x v="7"/>
    <n v="106.7"/>
    <x v="0"/>
    <x v="2"/>
  </r>
  <r>
    <s v="IRM-30419"/>
    <x v="4"/>
    <x v="13"/>
    <s v="Improve the search experience - RM"/>
    <x v="8"/>
    <n v="106.7"/>
    <x v="0"/>
    <x v="2"/>
  </r>
  <r>
    <s v="IRM-30419"/>
    <x v="4"/>
    <x v="13"/>
    <s v="Improve the search experience - RM"/>
    <x v="9"/>
    <n v="133.4"/>
    <x v="0"/>
    <x v="2"/>
  </r>
  <r>
    <s v="IRM-30421"/>
    <x v="4"/>
    <x v="23"/>
    <s v="Compliance with accessibility standards (WCAG 2.1 AA and EN 301 549)"/>
    <x v="0"/>
    <n v="133.30000000000001"/>
    <x v="1"/>
    <x v="4"/>
  </r>
  <r>
    <s v="IRM-30421"/>
    <x v="4"/>
    <x v="23"/>
    <s v="Compliance with accessibility standards (WCAG 2.1 AA and EN 301 549)"/>
    <x v="1"/>
    <m/>
    <x v="1"/>
    <x v="4"/>
  </r>
  <r>
    <s v="IRM-30421"/>
    <x v="4"/>
    <x v="23"/>
    <s v="Compliance with accessibility standards (WCAG 2.1 AA and EN 301 549)"/>
    <x v="2"/>
    <m/>
    <x v="1"/>
    <x v="4"/>
  </r>
  <r>
    <s v="IRM-30421"/>
    <x v="4"/>
    <x v="23"/>
    <s v="Compliance with accessibility standards (WCAG 2.1 AA and EN 301 549)"/>
    <x v="3"/>
    <m/>
    <x v="1"/>
    <x v="4"/>
  </r>
  <r>
    <s v="IRM-30421"/>
    <x v="4"/>
    <x v="23"/>
    <s v="Compliance with accessibility standards (WCAG 2.1 AA and EN 301 549)"/>
    <x v="4"/>
    <m/>
    <x v="1"/>
    <x v="4"/>
  </r>
  <r>
    <s v="IRM-30421"/>
    <x v="4"/>
    <x v="23"/>
    <s v="Compliance with accessibility standards (WCAG 2.1 AA and EN 301 549)"/>
    <x v="5"/>
    <n v="26.7"/>
    <x v="1"/>
    <x v="2"/>
  </r>
  <r>
    <s v="IRM-30421"/>
    <x v="4"/>
    <x v="23"/>
    <s v="Compliance with accessibility standards (WCAG 2.1 AA and EN 301 549)"/>
    <x v="6"/>
    <n v="66.599999999999994"/>
    <x v="1"/>
    <x v="4"/>
  </r>
  <r>
    <s v="IRM-30421"/>
    <x v="4"/>
    <x v="23"/>
    <s v="Compliance with accessibility standards (WCAG 2.1 AA and EN 301 549)"/>
    <x v="7"/>
    <n v="53.3"/>
    <x v="1"/>
    <x v="4"/>
  </r>
  <r>
    <s v="IRM-30421"/>
    <x v="4"/>
    <x v="23"/>
    <s v="Compliance with accessibility standards (WCAG 2.1 AA and EN 301 549)"/>
    <x v="8"/>
    <n v="53.3"/>
    <x v="1"/>
    <x v="4"/>
  </r>
  <r>
    <s v="IRM-30421"/>
    <x v="4"/>
    <x v="23"/>
    <s v="Compliance with accessibility standards (WCAG 2.1 AA and EN 301 549)"/>
    <x v="9"/>
    <n v="66.599999999999994"/>
    <x v="1"/>
    <x v="4"/>
  </r>
  <r>
    <s v="IRM-30464"/>
    <x v="4"/>
    <x v="10"/>
    <s v="Technology Management - Upgrade SOLON Tax Java version to 25"/>
    <x v="0"/>
    <n v="42.7"/>
    <x v="1"/>
    <x v="0"/>
  </r>
  <r>
    <s v="IRM-30464"/>
    <x v="4"/>
    <x v="10"/>
    <s v="Technology Management - Upgrade SOLON Tax Java version to 25"/>
    <x v="1"/>
    <m/>
    <x v="1"/>
    <x v="0"/>
  </r>
  <r>
    <s v="IRM-30464"/>
    <x v="4"/>
    <x v="10"/>
    <s v="Technology Management - Upgrade SOLON Tax Java version to 25"/>
    <x v="2"/>
    <m/>
    <x v="1"/>
    <x v="0"/>
  </r>
  <r>
    <s v="IRM-30464"/>
    <x v="4"/>
    <x v="10"/>
    <s v="Technology Management - Upgrade SOLON Tax Java version to 25"/>
    <x v="3"/>
    <m/>
    <x v="1"/>
    <x v="0"/>
  </r>
  <r>
    <s v="IRM-30464"/>
    <x v="4"/>
    <x v="10"/>
    <s v="Technology Management - Upgrade SOLON Tax Java version to 25"/>
    <x v="4"/>
    <m/>
    <x v="1"/>
    <x v="0"/>
  </r>
  <r>
    <s v="IRM-30464"/>
    <x v="4"/>
    <x v="10"/>
    <s v="Technology Management - Upgrade SOLON Tax Java version to 25"/>
    <x v="5"/>
    <n v="8.5"/>
    <x v="1"/>
    <x v="1"/>
  </r>
  <r>
    <s v="IRM-30464"/>
    <x v="4"/>
    <x v="10"/>
    <s v="Technology Management - Upgrade SOLON Tax Java version to 25"/>
    <x v="6"/>
    <n v="21.4"/>
    <x v="1"/>
    <x v="0"/>
  </r>
  <r>
    <s v="IRM-30464"/>
    <x v="4"/>
    <x v="10"/>
    <s v="Technology Management - Upgrade SOLON Tax Java version to 25"/>
    <x v="7"/>
    <n v="17.100000000000001"/>
    <x v="1"/>
    <x v="0"/>
  </r>
  <r>
    <s v="IRM-30464"/>
    <x v="4"/>
    <x v="10"/>
    <s v="Technology Management - Upgrade SOLON Tax Java version to 25"/>
    <x v="8"/>
    <n v="17.100000000000001"/>
    <x v="1"/>
    <x v="0"/>
  </r>
  <r>
    <s v="IRM-30464"/>
    <x v="4"/>
    <x v="10"/>
    <s v="Technology Management - Upgrade SOLON Tax Java version to 25"/>
    <x v="9"/>
    <n v="21.4"/>
    <x v="1"/>
    <x v="0"/>
  </r>
  <r>
    <s v="IRM-30525"/>
    <x v="2"/>
    <x v="2"/>
    <s v="Training environment"/>
    <x v="0"/>
    <n v="433.3"/>
    <x v="1"/>
    <x v="4"/>
  </r>
  <r>
    <s v="IRM-30525"/>
    <x v="2"/>
    <x v="2"/>
    <s v="Training environment"/>
    <x v="5"/>
    <n v="86.7"/>
    <x v="1"/>
    <x v="2"/>
  </r>
  <r>
    <s v="IRM-30525"/>
    <x v="2"/>
    <x v="2"/>
    <s v="Training environment"/>
    <x v="6"/>
    <n v="216.6"/>
    <x v="1"/>
    <x v="4"/>
  </r>
  <r>
    <s v="IRM-30525"/>
    <x v="2"/>
    <x v="2"/>
    <s v="Training environment"/>
    <x v="7"/>
    <n v="173.3"/>
    <x v="1"/>
    <x v="4"/>
  </r>
  <r>
    <s v="IRM-30525"/>
    <x v="2"/>
    <x v="2"/>
    <s v="Training environment"/>
    <x v="8"/>
    <n v="173.3"/>
    <x v="1"/>
    <x v="4"/>
  </r>
  <r>
    <s v="IRM-30525"/>
    <x v="2"/>
    <x v="2"/>
    <s v="Training environment"/>
    <x v="9"/>
    <n v="216.6"/>
    <x v="1"/>
    <x v="4"/>
  </r>
  <r>
    <s v="IRM-30526"/>
    <x v="2"/>
    <x v="2"/>
    <s v="Training material and courses"/>
    <x v="0"/>
    <n v="266.7"/>
    <x v="1"/>
    <x v="4"/>
  </r>
  <r>
    <s v="IRM-30526"/>
    <x v="2"/>
    <x v="2"/>
    <s v="Training material and courses"/>
    <x v="5"/>
    <n v="53.3"/>
    <x v="1"/>
    <x v="2"/>
  </r>
  <r>
    <s v="IRM-30526"/>
    <x v="2"/>
    <x v="2"/>
    <s v="Training material and courses"/>
    <x v="6"/>
    <n v="133.4"/>
    <x v="1"/>
    <x v="4"/>
  </r>
  <r>
    <s v="IRM-30526"/>
    <x v="2"/>
    <x v="2"/>
    <s v="Training material and courses"/>
    <x v="7"/>
    <n v="106.7"/>
    <x v="1"/>
    <x v="4"/>
  </r>
  <r>
    <s v="IRM-30526"/>
    <x v="2"/>
    <x v="2"/>
    <s v="Training material and courses"/>
    <x v="8"/>
    <n v="106.7"/>
    <x v="1"/>
    <x v="4"/>
  </r>
  <r>
    <s v="IRM-30526"/>
    <x v="2"/>
    <x v="2"/>
    <s v="Training material and courses"/>
    <x v="9"/>
    <n v="133.4"/>
    <x v="1"/>
    <x v="4"/>
  </r>
  <r>
    <s v="IRM-30561"/>
    <x v="4"/>
    <x v="10"/>
    <s v="After POC - Config Items Management ( Packaging &amp; versioning) : Enable delivery teams to safely and selectively migrate configurations across environments /WIP"/>
    <x v="0"/>
    <n v="4266.7"/>
    <x v="0"/>
    <x v="2"/>
  </r>
  <r>
    <s v="IRM-30561"/>
    <x v="4"/>
    <x v="10"/>
    <s v="After POC - Config Items Management ( Packaging &amp; versioning) : Enable delivery teams to safely and selectively migrate configurations across environments /WIP"/>
    <x v="1"/>
    <m/>
    <x v="0"/>
    <x v="2"/>
  </r>
  <r>
    <s v="IRM-30561"/>
    <x v="4"/>
    <x v="10"/>
    <s v="After POC - Config Items Management ( Packaging &amp; versioning) : Enable delivery teams to safely and selectively migrate configurations across environments /WIP"/>
    <x v="2"/>
    <m/>
    <x v="0"/>
    <x v="2"/>
  </r>
  <r>
    <s v="IRM-30561"/>
    <x v="4"/>
    <x v="10"/>
    <s v="After POC - Config Items Management ( Packaging &amp; versioning) : Enable delivery teams to safely and selectively migrate configurations across environments /WIP"/>
    <x v="3"/>
    <m/>
    <x v="0"/>
    <x v="2"/>
  </r>
  <r>
    <s v="IRM-30561"/>
    <x v="4"/>
    <x v="10"/>
    <s v="After POC - Config Items Management ( Packaging &amp; versioning) : Enable delivery teams to safely and selectively migrate configurations across environments /WIP"/>
    <x v="4"/>
    <m/>
    <x v="0"/>
    <x v="2"/>
  </r>
  <r>
    <s v="IRM-30561"/>
    <x v="4"/>
    <x v="10"/>
    <s v="After POC - Config Items Management ( Packaging &amp; versioning) : Enable delivery teams to safely and selectively migrate configurations across environments /WIP"/>
    <x v="5"/>
    <n v="853.3"/>
    <x v="0"/>
    <x v="3"/>
  </r>
  <r>
    <s v="IRM-30561"/>
    <x v="4"/>
    <x v="10"/>
    <s v="After POC - Config Items Management ( Packaging &amp; versioning) : Enable delivery teams to safely and selectively migrate configurations across environments /WIP"/>
    <x v="6"/>
    <n v="2133.4"/>
    <x v="0"/>
    <x v="2"/>
  </r>
  <r>
    <s v="IRM-30561"/>
    <x v="4"/>
    <x v="10"/>
    <s v="After POC - Config Items Management ( Packaging &amp; versioning) : Enable delivery teams to safely and selectively migrate configurations across environments /WIP"/>
    <x v="7"/>
    <n v="1706.7"/>
    <x v="0"/>
    <x v="2"/>
  </r>
  <r>
    <s v="IRM-30561"/>
    <x v="4"/>
    <x v="10"/>
    <s v="After POC - Config Items Management ( Packaging &amp; versioning) : Enable delivery teams to safely and selectively migrate configurations across environments /WIP"/>
    <x v="8"/>
    <n v="1706.7"/>
    <x v="0"/>
    <x v="2"/>
  </r>
  <r>
    <s v="IRM-30561"/>
    <x v="4"/>
    <x v="10"/>
    <s v="After POC - Config Items Management ( Packaging &amp; versioning) : Enable delivery teams to safely and selectively migrate configurations across environments /WIP"/>
    <x v="9"/>
    <n v="2133.4"/>
    <x v="0"/>
    <x v="2"/>
  </r>
  <r>
    <s v="IRM-30635"/>
    <x v="2"/>
    <x v="2"/>
    <s v="SOLON TAX Application Security Core Enablement "/>
    <x v="0"/>
    <n v="0.3"/>
    <x v="1"/>
    <x v="4"/>
  </r>
  <r>
    <s v="IRM-30635"/>
    <x v="2"/>
    <x v="2"/>
    <s v="SOLON TAX Application Security Core Enablement "/>
    <x v="5"/>
    <n v="0.1"/>
    <x v="1"/>
    <x v="2"/>
  </r>
  <r>
    <s v="IRM-30635"/>
    <x v="2"/>
    <x v="2"/>
    <s v="SOLON TAX Application Security Core Enablement "/>
    <x v="6"/>
    <n v="0.2"/>
    <x v="1"/>
    <x v="4"/>
  </r>
  <r>
    <s v="IRM-30635"/>
    <x v="2"/>
    <x v="2"/>
    <s v="SOLON TAX Application Security Core Enablement "/>
    <x v="7"/>
    <n v="0.1"/>
    <x v="1"/>
    <x v="4"/>
  </r>
  <r>
    <s v="IRM-30635"/>
    <x v="2"/>
    <x v="2"/>
    <s v="SOLON TAX Application Security Core Enablement "/>
    <x v="8"/>
    <n v="0.1"/>
    <x v="1"/>
    <x v="4"/>
  </r>
  <r>
    <s v="IRM-30635"/>
    <x v="2"/>
    <x v="2"/>
    <s v="SOLON TAX Application Security Core Enablement "/>
    <x v="9"/>
    <n v="0.2"/>
    <x v="1"/>
    <x v="4"/>
  </r>
  <r>
    <s v="IRM-30636"/>
    <x v="2"/>
    <x v="2"/>
    <s v="SOLONTAX Supply Chain Security Enablement"/>
    <x v="0"/>
    <n v="800"/>
    <x v="1"/>
    <x v="4"/>
  </r>
  <r>
    <s v="IRM-30636"/>
    <x v="2"/>
    <x v="2"/>
    <s v="SOLONTAX Supply Chain Security Enablement"/>
    <x v="5"/>
    <n v="160"/>
    <x v="1"/>
    <x v="2"/>
  </r>
  <r>
    <s v="IRM-30636"/>
    <x v="2"/>
    <x v="2"/>
    <s v="SOLONTAX Supply Chain Security Enablement"/>
    <x v="6"/>
    <n v="400"/>
    <x v="1"/>
    <x v="4"/>
  </r>
  <r>
    <s v="IRM-30636"/>
    <x v="2"/>
    <x v="2"/>
    <s v="SOLONTAX Supply Chain Security Enablement"/>
    <x v="7"/>
    <n v="320"/>
    <x v="1"/>
    <x v="4"/>
  </r>
  <r>
    <s v="IRM-30636"/>
    <x v="2"/>
    <x v="2"/>
    <s v="SOLONTAX Supply Chain Security Enablement"/>
    <x v="8"/>
    <n v="320"/>
    <x v="1"/>
    <x v="4"/>
  </r>
  <r>
    <s v="IRM-30636"/>
    <x v="2"/>
    <x v="2"/>
    <s v="SOLONTAX Supply Chain Security Enablement"/>
    <x v="9"/>
    <n v="400"/>
    <x v="1"/>
    <x v="4"/>
  </r>
  <r>
    <s v="IRM-30639"/>
    <x v="2"/>
    <x v="2"/>
    <s v="Horizontal Security Controls Design Specification &amp; Documentation"/>
    <x v="0"/>
    <n v="533.29999999999995"/>
    <x v="1"/>
    <x v="4"/>
  </r>
  <r>
    <s v="IRM-30639"/>
    <x v="2"/>
    <x v="2"/>
    <s v="Horizontal Security Controls Design Specification &amp; Documentation"/>
    <x v="5"/>
    <n v="106.7"/>
    <x v="1"/>
    <x v="2"/>
  </r>
  <r>
    <s v="IRM-30639"/>
    <x v="2"/>
    <x v="2"/>
    <s v="Horizontal Security Controls Design Specification &amp; Documentation"/>
    <x v="6"/>
    <n v="266.60000000000002"/>
    <x v="1"/>
    <x v="4"/>
  </r>
  <r>
    <s v="IRM-30639"/>
    <x v="2"/>
    <x v="2"/>
    <s v="Horizontal Security Controls Design Specification &amp; Documentation"/>
    <x v="7"/>
    <n v="213.3"/>
    <x v="1"/>
    <x v="4"/>
  </r>
  <r>
    <s v="IRM-30639"/>
    <x v="2"/>
    <x v="2"/>
    <s v="Horizontal Security Controls Design Specification &amp; Documentation"/>
    <x v="8"/>
    <n v="213.3"/>
    <x v="1"/>
    <x v="4"/>
  </r>
  <r>
    <s v="IRM-30639"/>
    <x v="2"/>
    <x v="2"/>
    <s v="Horizontal Security Controls Design Specification &amp; Documentation"/>
    <x v="9"/>
    <n v="266.60000000000002"/>
    <x v="1"/>
    <x v="4"/>
  </r>
  <r>
    <s v="IRM-30668"/>
    <x v="2"/>
    <x v="2"/>
    <s v="Amplio batch - Replacement of SCDF with Amplio (Part 2)"/>
    <x v="0"/>
    <n v="466.7"/>
    <x v="1"/>
    <x v="3"/>
  </r>
  <r>
    <s v="IRM-30668"/>
    <x v="2"/>
    <x v="2"/>
    <s v="Amplio batch - Replacement of SCDF with Amplio (Part 2)"/>
    <x v="1"/>
    <m/>
    <x v="1"/>
    <x v="3"/>
  </r>
  <r>
    <s v="IRM-30668"/>
    <x v="2"/>
    <x v="2"/>
    <s v="Amplio batch - Replacement of SCDF with Amplio (Part 2)"/>
    <x v="2"/>
    <m/>
    <x v="1"/>
    <x v="3"/>
  </r>
  <r>
    <s v="IRM-30668"/>
    <x v="2"/>
    <x v="2"/>
    <s v="Amplio batch - Replacement of SCDF with Amplio (Part 2)"/>
    <x v="3"/>
    <m/>
    <x v="1"/>
    <x v="3"/>
  </r>
  <r>
    <s v="IRM-30668"/>
    <x v="2"/>
    <x v="2"/>
    <s v="Amplio batch - Replacement of SCDF with Amplio (Part 2)"/>
    <x v="4"/>
    <m/>
    <x v="1"/>
    <x v="3"/>
  </r>
  <r>
    <s v="IRM-30668"/>
    <x v="2"/>
    <x v="2"/>
    <s v="Amplio batch - Replacement of SCDF with Amplio (Part 2)"/>
    <x v="5"/>
    <n v="93.3"/>
    <x v="1"/>
    <x v="0"/>
  </r>
  <r>
    <s v="IRM-30668"/>
    <x v="2"/>
    <x v="2"/>
    <s v="Amplio batch - Replacement of SCDF with Amplio (Part 2)"/>
    <x v="6"/>
    <n v="233.4"/>
    <x v="1"/>
    <x v="3"/>
  </r>
  <r>
    <s v="IRM-30668"/>
    <x v="2"/>
    <x v="2"/>
    <s v="Amplio batch - Replacement of SCDF with Amplio (Part 2)"/>
    <x v="7"/>
    <n v="186.7"/>
    <x v="1"/>
    <x v="3"/>
  </r>
  <r>
    <s v="IRM-30668"/>
    <x v="2"/>
    <x v="2"/>
    <s v="Amplio batch - Replacement of SCDF with Amplio (Part 2)"/>
    <x v="8"/>
    <n v="186.7"/>
    <x v="1"/>
    <x v="3"/>
  </r>
  <r>
    <s v="IRM-30668"/>
    <x v="2"/>
    <x v="2"/>
    <s v="Amplio batch - Replacement of SCDF with Amplio (Part 2)"/>
    <x v="9"/>
    <n v="233.4"/>
    <x v="1"/>
    <x v="3"/>
  </r>
  <r>
    <s v="IRM-30677"/>
    <x v="4"/>
    <x v="10"/>
    <s v="Automatic Documentation Generation enhancements"/>
    <x v="0"/>
    <n v="266.7"/>
    <x v="1"/>
    <x v="4"/>
  </r>
  <r>
    <s v="IRM-30677"/>
    <x v="4"/>
    <x v="10"/>
    <s v="Automatic Documentation Generation enhancements"/>
    <x v="1"/>
    <m/>
    <x v="1"/>
    <x v="4"/>
  </r>
  <r>
    <s v="IRM-30677"/>
    <x v="4"/>
    <x v="10"/>
    <s v="Automatic Documentation Generation enhancements"/>
    <x v="2"/>
    <m/>
    <x v="1"/>
    <x v="4"/>
  </r>
  <r>
    <s v="IRM-30677"/>
    <x v="4"/>
    <x v="10"/>
    <s v="Automatic Documentation Generation enhancements"/>
    <x v="3"/>
    <m/>
    <x v="1"/>
    <x v="4"/>
  </r>
  <r>
    <s v="IRM-30677"/>
    <x v="4"/>
    <x v="10"/>
    <s v="Automatic Documentation Generation enhancements"/>
    <x v="4"/>
    <m/>
    <x v="1"/>
    <x v="4"/>
  </r>
  <r>
    <s v="IRM-30677"/>
    <x v="4"/>
    <x v="10"/>
    <s v="Automatic Documentation Generation enhancements"/>
    <x v="5"/>
    <n v="53.3"/>
    <x v="1"/>
    <x v="2"/>
  </r>
  <r>
    <s v="IRM-30677"/>
    <x v="4"/>
    <x v="10"/>
    <s v="Automatic Documentation Generation enhancements"/>
    <x v="6"/>
    <n v="133.4"/>
    <x v="1"/>
    <x v="4"/>
  </r>
  <r>
    <s v="IRM-30677"/>
    <x v="4"/>
    <x v="10"/>
    <s v="Automatic Documentation Generation enhancements"/>
    <x v="7"/>
    <n v="106.7"/>
    <x v="1"/>
    <x v="4"/>
  </r>
  <r>
    <s v="IRM-30677"/>
    <x v="4"/>
    <x v="10"/>
    <s v="Automatic Documentation Generation enhancements"/>
    <x v="8"/>
    <n v="106.7"/>
    <x v="1"/>
    <x v="4"/>
  </r>
  <r>
    <s v="IRM-30677"/>
    <x v="4"/>
    <x v="10"/>
    <s v="Automatic Documentation Generation enhancements"/>
    <x v="9"/>
    <n v="133.4"/>
    <x v="1"/>
    <x v="4"/>
  </r>
  <r>
    <s v="IRM-30679"/>
    <x v="4"/>
    <x v="10"/>
    <s v="Vanilla Installation automation - Solon Tax kubernetes operator"/>
    <x v="0"/>
    <n v="266.7"/>
    <x v="1"/>
    <x v="4"/>
  </r>
  <r>
    <s v="IRM-30679"/>
    <x v="4"/>
    <x v="10"/>
    <s v="Vanilla Installation automation - Solon Tax kubernetes operator"/>
    <x v="1"/>
    <m/>
    <x v="1"/>
    <x v="4"/>
  </r>
  <r>
    <s v="IRM-30679"/>
    <x v="4"/>
    <x v="10"/>
    <s v="Vanilla Installation automation - Solon Tax kubernetes operator"/>
    <x v="2"/>
    <m/>
    <x v="1"/>
    <x v="4"/>
  </r>
  <r>
    <s v="IRM-30679"/>
    <x v="4"/>
    <x v="10"/>
    <s v="Vanilla Installation automation - Solon Tax kubernetes operator"/>
    <x v="3"/>
    <m/>
    <x v="1"/>
    <x v="4"/>
  </r>
  <r>
    <s v="IRM-30679"/>
    <x v="4"/>
    <x v="10"/>
    <s v="Vanilla Installation automation - Solon Tax kubernetes operator"/>
    <x v="4"/>
    <m/>
    <x v="1"/>
    <x v="4"/>
  </r>
  <r>
    <s v="IRM-30679"/>
    <x v="4"/>
    <x v="10"/>
    <s v="Vanilla Installation automation - Solon Tax kubernetes operator"/>
    <x v="5"/>
    <n v="53.3"/>
    <x v="1"/>
    <x v="2"/>
  </r>
  <r>
    <s v="IRM-30679"/>
    <x v="4"/>
    <x v="10"/>
    <s v="Vanilla Installation automation - Solon Tax kubernetes operator"/>
    <x v="6"/>
    <n v="133.4"/>
    <x v="1"/>
    <x v="4"/>
  </r>
  <r>
    <s v="IRM-30679"/>
    <x v="4"/>
    <x v="10"/>
    <s v="Vanilla Installation automation - Solon Tax kubernetes operator"/>
    <x v="7"/>
    <n v="106.7"/>
    <x v="1"/>
    <x v="4"/>
  </r>
  <r>
    <s v="IRM-30679"/>
    <x v="4"/>
    <x v="10"/>
    <s v="Vanilla Installation automation - Solon Tax kubernetes operator"/>
    <x v="8"/>
    <n v="106.7"/>
    <x v="1"/>
    <x v="4"/>
  </r>
  <r>
    <s v="IRM-30679"/>
    <x v="4"/>
    <x v="10"/>
    <s v="Vanilla Installation automation - Solon Tax kubernetes operator"/>
    <x v="9"/>
    <n v="133.4"/>
    <x v="1"/>
    <x v="4"/>
  </r>
  <r>
    <s v="IRM-30719"/>
    <x v="4"/>
    <x v="13"/>
    <s v="Usability Improvements (Current PI27) - DESCOPED"/>
    <x v="0"/>
    <n v="106.7"/>
    <x v="1"/>
    <x v="2"/>
  </r>
  <r>
    <s v="IRM-30719"/>
    <x v="4"/>
    <x v="13"/>
    <s v="Usability Improvements (Current PI27) - DESCOPED"/>
    <x v="1"/>
    <m/>
    <x v="1"/>
    <x v="2"/>
  </r>
  <r>
    <s v="IRM-30719"/>
    <x v="4"/>
    <x v="13"/>
    <s v="Usability Improvements (Current PI27) - DESCOPED"/>
    <x v="2"/>
    <m/>
    <x v="1"/>
    <x v="2"/>
  </r>
  <r>
    <s v="IRM-30719"/>
    <x v="4"/>
    <x v="13"/>
    <s v="Usability Improvements (Current PI27) - DESCOPED"/>
    <x v="3"/>
    <m/>
    <x v="1"/>
    <x v="2"/>
  </r>
  <r>
    <s v="IRM-30719"/>
    <x v="4"/>
    <x v="13"/>
    <s v="Usability Improvements (Current PI27) - DESCOPED"/>
    <x v="4"/>
    <m/>
    <x v="1"/>
    <x v="2"/>
  </r>
  <r>
    <s v="IRM-30719"/>
    <x v="4"/>
    <x v="13"/>
    <s v="Usability Improvements (Current PI27) - DESCOPED"/>
    <x v="5"/>
    <n v="21.3"/>
    <x v="1"/>
    <x v="3"/>
  </r>
  <r>
    <s v="IRM-30719"/>
    <x v="4"/>
    <x v="13"/>
    <s v="Usability Improvements (Current PI27) - DESCOPED"/>
    <x v="6"/>
    <n v="53.4"/>
    <x v="1"/>
    <x v="2"/>
  </r>
  <r>
    <s v="IRM-30719"/>
    <x v="4"/>
    <x v="13"/>
    <s v="Usability Improvements (Current PI27) - DESCOPED"/>
    <x v="7"/>
    <n v="42.7"/>
    <x v="1"/>
    <x v="2"/>
  </r>
  <r>
    <s v="IRM-30719"/>
    <x v="4"/>
    <x v="13"/>
    <s v="Usability Improvements (Current PI27) - DESCOPED"/>
    <x v="8"/>
    <n v="42.7"/>
    <x v="1"/>
    <x v="2"/>
  </r>
  <r>
    <s v="IRM-30719"/>
    <x v="4"/>
    <x v="13"/>
    <s v="Usability Improvements (Current PI27) - DESCOPED"/>
    <x v="9"/>
    <n v="53.4"/>
    <x v="1"/>
    <x v="2"/>
  </r>
  <r>
    <s v="IRM-30724"/>
    <x v="4"/>
    <x v="10"/>
    <s v="Release Automation Enhancements"/>
    <x v="0"/>
    <n v="140"/>
    <x v="1"/>
    <x v="4"/>
  </r>
  <r>
    <s v="IRM-30724"/>
    <x v="4"/>
    <x v="10"/>
    <s v="Release Automation Enhancements"/>
    <x v="1"/>
    <m/>
    <x v="1"/>
    <x v="4"/>
  </r>
  <r>
    <s v="IRM-30724"/>
    <x v="4"/>
    <x v="10"/>
    <s v="Release Automation Enhancements"/>
    <x v="2"/>
    <m/>
    <x v="1"/>
    <x v="4"/>
  </r>
  <r>
    <s v="IRM-30724"/>
    <x v="4"/>
    <x v="10"/>
    <s v="Release Automation Enhancements"/>
    <x v="3"/>
    <m/>
    <x v="1"/>
    <x v="4"/>
  </r>
  <r>
    <s v="IRM-30724"/>
    <x v="4"/>
    <x v="10"/>
    <s v="Release Automation Enhancements"/>
    <x v="4"/>
    <m/>
    <x v="1"/>
    <x v="4"/>
  </r>
  <r>
    <s v="IRM-30724"/>
    <x v="4"/>
    <x v="10"/>
    <s v="Release Automation Enhancements"/>
    <x v="5"/>
    <n v="28"/>
    <x v="1"/>
    <x v="2"/>
  </r>
  <r>
    <s v="IRM-30724"/>
    <x v="4"/>
    <x v="10"/>
    <s v="Release Automation Enhancements"/>
    <x v="6"/>
    <n v="70"/>
    <x v="1"/>
    <x v="4"/>
  </r>
  <r>
    <s v="IRM-30724"/>
    <x v="4"/>
    <x v="10"/>
    <s v="Release Automation Enhancements"/>
    <x v="7"/>
    <n v="56"/>
    <x v="1"/>
    <x v="4"/>
  </r>
  <r>
    <s v="IRM-30724"/>
    <x v="4"/>
    <x v="10"/>
    <s v="Release Automation Enhancements"/>
    <x v="8"/>
    <n v="56"/>
    <x v="1"/>
    <x v="4"/>
  </r>
  <r>
    <s v="IRM-30724"/>
    <x v="4"/>
    <x v="10"/>
    <s v="Release Automation Enhancements"/>
    <x v="9"/>
    <n v="70"/>
    <x v="1"/>
    <x v="4"/>
  </r>
  <r>
    <s v="IRM-30730"/>
    <x v="4"/>
    <x v="10"/>
    <s v="Introduce helm charts dependencies"/>
    <x v="0"/>
    <n v="140"/>
    <x v="1"/>
    <x v="4"/>
  </r>
  <r>
    <s v="IRM-30730"/>
    <x v="4"/>
    <x v="10"/>
    <s v="Introduce helm charts dependencies"/>
    <x v="1"/>
    <m/>
    <x v="1"/>
    <x v="4"/>
  </r>
  <r>
    <s v="IRM-30730"/>
    <x v="4"/>
    <x v="10"/>
    <s v="Introduce helm charts dependencies"/>
    <x v="2"/>
    <m/>
    <x v="1"/>
    <x v="4"/>
  </r>
  <r>
    <s v="IRM-30730"/>
    <x v="4"/>
    <x v="10"/>
    <s v="Introduce helm charts dependencies"/>
    <x v="3"/>
    <m/>
    <x v="1"/>
    <x v="4"/>
  </r>
  <r>
    <s v="IRM-30730"/>
    <x v="4"/>
    <x v="10"/>
    <s v="Introduce helm charts dependencies"/>
    <x v="4"/>
    <m/>
    <x v="1"/>
    <x v="4"/>
  </r>
  <r>
    <s v="IRM-30730"/>
    <x v="4"/>
    <x v="10"/>
    <s v="Introduce helm charts dependencies"/>
    <x v="5"/>
    <n v="28"/>
    <x v="1"/>
    <x v="2"/>
  </r>
  <r>
    <s v="IRM-30730"/>
    <x v="4"/>
    <x v="10"/>
    <s v="Introduce helm charts dependencies"/>
    <x v="6"/>
    <n v="70"/>
    <x v="1"/>
    <x v="4"/>
  </r>
  <r>
    <s v="IRM-30730"/>
    <x v="4"/>
    <x v="10"/>
    <s v="Introduce helm charts dependencies"/>
    <x v="7"/>
    <n v="56"/>
    <x v="1"/>
    <x v="4"/>
  </r>
  <r>
    <s v="IRM-30730"/>
    <x v="4"/>
    <x v="10"/>
    <s v="Introduce helm charts dependencies"/>
    <x v="8"/>
    <n v="56"/>
    <x v="1"/>
    <x v="4"/>
  </r>
  <r>
    <s v="IRM-30730"/>
    <x v="4"/>
    <x v="10"/>
    <s v="Introduce helm charts dependencies"/>
    <x v="9"/>
    <n v="70"/>
    <x v="1"/>
    <x v="4"/>
  </r>
  <r>
    <s v="IRM-30734"/>
    <x v="4"/>
    <x v="4"/>
    <s v="[Vanilla Installation] - Introduce OpenTelemetry observability support"/>
    <x v="0"/>
    <n v="140"/>
    <x v="1"/>
    <x v="4"/>
  </r>
  <r>
    <s v="IRM-30734"/>
    <x v="4"/>
    <x v="4"/>
    <s v="[Vanilla Installation] - Introduce OpenTelemetry observability support"/>
    <x v="1"/>
    <m/>
    <x v="1"/>
    <x v="4"/>
  </r>
  <r>
    <s v="IRM-30734"/>
    <x v="4"/>
    <x v="4"/>
    <s v="[Vanilla Installation] - Introduce OpenTelemetry observability support"/>
    <x v="2"/>
    <m/>
    <x v="1"/>
    <x v="4"/>
  </r>
  <r>
    <s v="IRM-30734"/>
    <x v="4"/>
    <x v="4"/>
    <s v="[Vanilla Installation] - Introduce OpenTelemetry observability support"/>
    <x v="3"/>
    <m/>
    <x v="1"/>
    <x v="4"/>
  </r>
  <r>
    <s v="IRM-30734"/>
    <x v="4"/>
    <x v="4"/>
    <s v="[Vanilla Installation] - Introduce OpenTelemetry observability support"/>
    <x v="4"/>
    <m/>
    <x v="1"/>
    <x v="4"/>
  </r>
  <r>
    <s v="IRM-30734"/>
    <x v="4"/>
    <x v="4"/>
    <s v="[Vanilla Installation] - Introduce OpenTelemetry observability support"/>
    <x v="5"/>
    <n v="28"/>
    <x v="1"/>
    <x v="2"/>
  </r>
  <r>
    <s v="IRM-30734"/>
    <x v="4"/>
    <x v="4"/>
    <s v="[Vanilla Installation] - Introduce OpenTelemetry observability support"/>
    <x v="6"/>
    <n v="70"/>
    <x v="1"/>
    <x v="4"/>
  </r>
  <r>
    <s v="IRM-30734"/>
    <x v="4"/>
    <x v="4"/>
    <s v="[Vanilla Installation] - Introduce OpenTelemetry observability support"/>
    <x v="7"/>
    <n v="56"/>
    <x v="1"/>
    <x v="4"/>
  </r>
  <r>
    <s v="IRM-30734"/>
    <x v="4"/>
    <x v="4"/>
    <s v="[Vanilla Installation] - Introduce OpenTelemetry observability support"/>
    <x v="8"/>
    <n v="56"/>
    <x v="1"/>
    <x v="4"/>
  </r>
  <r>
    <s v="IRM-30734"/>
    <x v="4"/>
    <x v="4"/>
    <s v="[Vanilla Installation] - Introduce OpenTelemetry observability support"/>
    <x v="9"/>
    <n v="70"/>
    <x v="1"/>
    <x v="4"/>
  </r>
  <r>
    <s v="IRM-30737"/>
    <x v="4"/>
    <x v="10"/>
    <s v="Decouple Solon Tax Modules and Enable Multi-Module Runtime Bundling"/>
    <x v="0"/>
    <n v="140"/>
    <x v="1"/>
    <x v="0"/>
  </r>
  <r>
    <s v="IRM-30737"/>
    <x v="4"/>
    <x v="10"/>
    <s v="Decouple Solon Tax Modules and Enable Multi-Module Runtime Bundling"/>
    <x v="1"/>
    <m/>
    <x v="1"/>
    <x v="0"/>
  </r>
  <r>
    <s v="IRM-30737"/>
    <x v="4"/>
    <x v="10"/>
    <s v="Decouple Solon Tax Modules and Enable Multi-Module Runtime Bundling"/>
    <x v="2"/>
    <m/>
    <x v="1"/>
    <x v="0"/>
  </r>
  <r>
    <s v="IRM-30737"/>
    <x v="4"/>
    <x v="10"/>
    <s v="Decouple Solon Tax Modules and Enable Multi-Module Runtime Bundling"/>
    <x v="3"/>
    <m/>
    <x v="1"/>
    <x v="0"/>
  </r>
  <r>
    <s v="IRM-30737"/>
    <x v="4"/>
    <x v="10"/>
    <s v="Decouple Solon Tax Modules and Enable Multi-Module Runtime Bundling"/>
    <x v="4"/>
    <m/>
    <x v="1"/>
    <x v="0"/>
  </r>
  <r>
    <s v="IRM-30737"/>
    <x v="4"/>
    <x v="10"/>
    <s v="Decouple Solon Tax Modules and Enable Multi-Module Runtime Bundling"/>
    <x v="5"/>
    <n v="28"/>
    <x v="1"/>
    <x v="1"/>
  </r>
  <r>
    <s v="IRM-30737"/>
    <x v="4"/>
    <x v="10"/>
    <s v="Decouple Solon Tax Modules and Enable Multi-Module Runtime Bundling"/>
    <x v="6"/>
    <n v="70"/>
    <x v="1"/>
    <x v="0"/>
  </r>
  <r>
    <s v="IRM-30737"/>
    <x v="4"/>
    <x v="10"/>
    <s v="Decouple Solon Tax Modules and Enable Multi-Module Runtime Bundling"/>
    <x v="7"/>
    <n v="56"/>
    <x v="1"/>
    <x v="0"/>
  </r>
  <r>
    <s v="IRM-30737"/>
    <x v="4"/>
    <x v="10"/>
    <s v="Decouple Solon Tax Modules and Enable Multi-Module Runtime Bundling"/>
    <x v="8"/>
    <n v="56"/>
    <x v="1"/>
    <x v="0"/>
  </r>
  <r>
    <s v="IRM-30737"/>
    <x v="4"/>
    <x v="10"/>
    <s v="Decouple Solon Tax Modules and Enable Multi-Module Runtime Bundling"/>
    <x v="9"/>
    <n v="70"/>
    <x v="1"/>
    <x v="0"/>
  </r>
  <r>
    <s v="IRM-30739"/>
    <x v="4"/>
    <x v="10"/>
    <s v="Dev Experience improvements"/>
    <x v="0"/>
    <n v="46.7"/>
    <x v="1"/>
    <x v="4"/>
  </r>
  <r>
    <s v="IRM-30739"/>
    <x v="4"/>
    <x v="10"/>
    <s v="Dev Experience improvements"/>
    <x v="1"/>
    <m/>
    <x v="1"/>
    <x v="4"/>
  </r>
  <r>
    <s v="IRM-30739"/>
    <x v="4"/>
    <x v="10"/>
    <s v="Dev Experience improvements"/>
    <x v="2"/>
    <m/>
    <x v="1"/>
    <x v="4"/>
  </r>
  <r>
    <s v="IRM-30739"/>
    <x v="4"/>
    <x v="10"/>
    <s v="Dev Experience improvements"/>
    <x v="3"/>
    <m/>
    <x v="1"/>
    <x v="4"/>
  </r>
  <r>
    <s v="IRM-30739"/>
    <x v="4"/>
    <x v="10"/>
    <s v="Dev Experience improvements"/>
    <x v="4"/>
    <m/>
    <x v="1"/>
    <x v="4"/>
  </r>
  <r>
    <s v="IRM-30739"/>
    <x v="4"/>
    <x v="10"/>
    <s v="Dev Experience improvements"/>
    <x v="5"/>
    <n v="9.3000000000000007"/>
    <x v="1"/>
    <x v="2"/>
  </r>
  <r>
    <s v="IRM-30739"/>
    <x v="4"/>
    <x v="10"/>
    <s v="Dev Experience improvements"/>
    <x v="6"/>
    <n v="23.4"/>
    <x v="1"/>
    <x v="4"/>
  </r>
  <r>
    <s v="IRM-30739"/>
    <x v="4"/>
    <x v="10"/>
    <s v="Dev Experience improvements"/>
    <x v="7"/>
    <n v="18.7"/>
    <x v="1"/>
    <x v="4"/>
  </r>
  <r>
    <s v="IRM-30739"/>
    <x v="4"/>
    <x v="10"/>
    <s v="Dev Experience improvements"/>
    <x v="8"/>
    <n v="18.7"/>
    <x v="1"/>
    <x v="4"/>
  </r>
  <r>
    <s v="IRM-30739"/>
    <x v="4"/>
    <x v="10"/>
    <s v="Dev Experience improvements"/>
    <x v="9"/>
    <n v="23.4"/>
    <x v="1"/>
    <x v="4"/>
  </r>
  <r>
    <s v="IRM-30741"/>
    <x v="4"/>
    <x v="10"/>
    <s v="Introduce ArchUnit"/>
    <x v="0"/>
    <n v="133.30000000000001"/>
    <x v="1"/>
    <x v="3"/>
  </r>
  <r>
    <s v="IRM-30741"/>
    <x v="4"/>
    <x v="10"/>
    <s v="Introduce ArchUnit"/>
    <x v="1"/>
    <m/>
    <x v="1"/>
    <x v="3"/>
  </r>
  <r>
    <s v="IRM-30741"/>
    <x v="4"/>
    <x v="10"/>
    <s v="Introduce ArchUnit"/>
    <x v="2"/>
    <m/>
    <x v="1"/>
    <x v="3"/>
  </r>
  <r>
    <s v="IRM-30741"/>
    <x v="4"/>
    <x v="10"/>
    <s v="Introduce ArchUnit"/>
    <x v="3"/>
    <m/>
    <x v="1"/>
    <x v="3"/>
  </r>
  <r>
    <s v="IRM-30741"/>
    <x v="4"/>
    <x v="10"/>
    <s v="Introduce ArchUnit"/>
    <x v="4"/>
    <m/>
    <x v="1"/>
    <x v="3"/>
  </r>
  <r>
    <s v="IRM-30741"/>
    <x v="4"/>
    <x v="10"/>
    <s v="Introduce ArchUnit"/>
    <x v="5"/>
    <n v="26.7"/>
    <x v="1"/>
    <x v="0"/>
  </r>
  <r>
    <s v="IRM-30741"/>
    <x v="4"/>
    <x v="10"/>
    <s v="Introduce ArchUnit"/>
    <x v="6"/>
    <n v="66.599999999999994"/>
    <x v="1"/>
    <x v="3"/>
  </r>
  <r>
    <s v="IRM-30741"/>
    <x v="4"/>
    <x v="10"/>
    <s v="Introduce ArchUnit"/>
    <x v="7"/>
    <n v="53.3"/>
    <x v="1"/>
    <x v="3"/>
  </r>
  <r>
    <s v="IRM-30741"/>
    <x v="4"/>
    <x v="10"/>
    <s v="Introduce ArchUnit"/>
    <x v="8"/>
    <n v="53.3"/>
    <x v="1"/>
    <x v="3"/>
  </r>
  <r>
    <s v="IRM-30741"/>
    <x v="4"/>
    <x v="10"/>
    <s v="Introduce ArchUnit"/>
    <x v="9"/>
    <n v="66.599999999999994"/>
    <x v="1"/>
    <x v="3"/>
  </r>
  <r>
    <s v="IRM-30748"/>
    <x v="4"/>
    <x v="23"/>
    <s v="Accessibility Improvements (Current PI27)"/>
    <x v="0"/>
    <n v="160"/>
    <x v="1"/>
    <x v="0"/>
  </r>
  <r>
    <s v="IRM-30748"/>
    <x v="4"/>
    <x v="23"/>
    <s v="Accessibility Improvements (Current PI27)"/>
    <x v="1"/>
    <m/>
    <x v="1"/>
    <x v="0"/>
  </r>
  <r>
    <s v="IRM-30748"/>
    <x v="4"/>
    <x v="23"/>
    <s v="Accessibility Improvements (Current PI27)"/>
    <x v="2"/>
    <m/>
    <x v="1"/>
    <x v="0"/>
  </r>
  <r>
    <s v="IRM-30748"/>
    <x v="4"/>
    <x v="23"/>
    <s v="Accessibility Improvements (Current PI27)"/>
    <x v="3"/>
    <m/>
    <x v="1"/>
    <x v="0"/>
  </r>
  <r>
    <s v="IRM-30748"/>
    <x v="4"/>
    <x v="23"/>
    <s v="Accessibility Improvements (Current PI27)"/>
    <x v="4"/>
    <m/>
    <x v="1"/>
    <x v="0"/>
  </r>
  <r>
    <s v="IRM-30748"/>
    <x v="4"/>
    <x v="23"/>
    <s v="Accessibility Improvements (Current PI27)"/>
    <x v="5"/>
    <n v="32"/>
    <x v="1"/>
    <x v="1"/>
  </r>
  <r>
    <s v="IRM-30748"/>
    <x v="4"/>
    <x v="23"/>
    <s v="Accessibility Improvements (Current PI27)"/>
    <x v="6"/>
    <n v="80"/>
    <x v="1"/>
    <x v="0"/>
  </r>
  <r>
    <s v="IRM-30748"/>
    <x v="4"/>
    <x v="23"/>
    <s v="Accessibility Improvements (Current PI27)"/>
    <x v="7"/>
    <n v="64"/>
    <x v="1"/>
    <x v="0"/>
  </r>
  <r>
    <s v="IRM-30748"/>
    <x v="4"/>
    <x v="23"/>
    <s v="Accessibility Improvements (Current PI27)"/>
    <x v="8"/>
    <n v="64"/>
    <x v="1"/>
    <x v="0"/>
  </r>
  <r>
    <s v="IRM-30748"/>
    <x v="4"/>
    <x v="23"/>
    <s v="Accessibility Improvements (Current PI27)"/>
    <x v="9"/>
    <n v="80"/>
    <x v="1"/>
    <x v="0"/>
  </r>
  <r>
    <s v="IRM-30785"/>
    <x v="6"/>
    <x v="24"/>
    <s v="SS enhancements -Configurable Authentication Modes for Public and Authenticated GET Operations"/>
    <x v="0"/>
    <n v="106.7"/>
    <x v="0"/>
    <x v="0"/>
  </r>
  <r>
    <s v="IRM-30785"/>
    <x v="6"/>
    <x v="24"/>
    <s v="SS enhancements -Configurable Authentication Modes for Public and Authenticated GET Operations"/>
    <x v="1"/>
    <m/>
    <x v="0"/>
    <x v="0"/>
  </r>
  <r>
    <s v="IRM-30785"/>
    <x v="6"/>
    <x v="24"/>
    <s v="SS enhancements -Configurable Authentication Modes for Public and Authenticated GET Operations"/>
    <x v="2"/>
    <m/>
    <x v="0"/>
    <x v="0"/>
  </r>
  <r>
    <s v="IRM-30785"/>
    <x v="6"/>
    <x v="24"/>
    <s v="SS enhancements -Configurable Authentication Modes for Public and Authenticated GET Operations"/>
    <x v="3"/>
    <m/>
    <x v="0"/>
    <x v="0"/>
  </r>
  <r>
    <s v="IRM-30785"/>
    <x v="6"/>
    <x v="24"/>
    <s v="SS enhancements -Configurable Authentication Modes for Public and Authenticated GET Operations"/>
    <x v="4"/>
    <m/>
    <x v="0"/>
    <x v="0"/>
  </r>
  <r>
    <s v="IRM-30785"/>
    <x v="6"/>
    <x v="24"/>
    <s v="SS enhancements -Configurable Authentication Modes for Public and Authenticated GET Operations"/>
    <x v="5"/>
    <n v="21.3"/>
    <x v="0"/>
    <x v="1"/>
  </r>
  <r>
    <s v="IRM-30785"/>
    <x v="6"/>
    <x v="24"/>
    <s v="SS enhancements -Configurable Authentication Modes for Public and Authenticated GET Operations"/>
    <x v="6"/>
    <n v="53.4"/>
    <x v="0"/>
    <x v="0"/>
  </r>
  <r>
    <s v="IRM-30785"/>
    <x v="6"/>
    <x v="24"/>
    <s v="SS enhancements -Configurable Authentication Modes for Public and Authenticated GET Operations"/>
    <x v="7"/>
    <n v="42.7"/>
    <x v="0"/>
    <x v="0"/>
  </r>
  <r>
    <s v="IRM-30785"/>
    <x v="6"/>
    <x v="24"/>
    <s v="SS enhancements -Configurable Authentication Modes for Public and Authenticated GET Operations"/>
    <x v="8"/>
    <n v="42.7"/>
    <x v="0"/>
    <x v="0"/>
  </r>
  <r>
    <s v="IRM-30785"/>
    <x v="6"/>
    <x v="24"/>
    <s v="SS enhancements -Configurable Authentication Modes for Public and Authenticated GET Operations"/>
    <x v="9"/>
    <n v="53.4"/>
    <x v="0"/>
    <x v="0"/>
  </r>
  <r>
    <s v="IRM-30828"/>
    <x v="0"/>
    <x v="25"/>
    <s v="Introduce Exemptions"/>
    <x v="0"/>
    <n v="433.3"/>
    <x v="0"/>
    <x v="4"/>
  </r>
  <r>
    <s v="IRM-30828"/>
    <x v="0"/>
    <x v="25"/>
    <s v="Introduce Exemptions"/>
    <x v="1"/>
    <m/>
    <x v="0"/>
    <x v="4"/>
  </r>
  <r>
    <s v="IRM-30828"/>
    <x v="0"/>
    <x v="25"/>
    <s v="Introduce Exemptions"/>
    <x v="2"/>
    <m/>
    <x v="0"/>
    <x v="4"/>
  </r>
  <r>
    <s v="IRM-30828"/>
    <x v="0"/>
    <x v="25"/>
    <s v="Introduce Exemptions"/>
    <x v="3"/>
    <m/>
    <x v="0"/>
    <x v="4"/>
  </r>
  <r>
    <s v="IRM-30828"/>
    <x v="0"/>
    <x v="25"/>
    <s v="Introduce Exemptions"/>
    <x v="4"/>
    <m/>
    <x v="0"/>
    <x v="4"/>
  </r>
  <r>
    <s v="IRM-30828"/>
    <x v="0"/>
    <x v="25"/>
    <s v="Introduce Exemptions"/>
    <x v="5"/>
    <n v="86.7"/>
    <x v="0"/>
    <x v="2"/>
  </r>
  <r>
    <s v="IRM-30828"/>
    <x v="0"/>
    <x v="25"/>
    <s v="Introduce Exemptions"/>
    <x v="6"/>
    <n v="216.6"/>
    <x v="0"/>
    <x v="4"/>
  </r>
  <r>
    <s v="IRM-30828"/>
    <x v="0"/>
    <x v="25"/>
    <s v="Introduce Exemptions"/>
    <x v="7"/>
    <n v="173.3"/>
    <x v="0"/>
    <x v="4"/>
  </r>
  <r>
    <s v="IRM-30828"/>
    <x v="0"/>
    <x v="25"/>
    <s v="Introduce Exemptions"/>
    <x v="8"/>
    <n v="173.3"/>
    <x v="0"/>
    <x v="4"/>
  </r>
  <r>
    <s v="IRM-30828"/>
    <x v="0"/>
    <x v="25"/>
    <s v="Introduce Exemptions"/>
    <x v="9"/>
    <n v="216.6"/>
    <x v="0"/>
    <x v="4"/>
  </r>
  <r>
    <s v="IRM-30840"/>
    <x v="5"/>
    <x v="26"/>
    <s v="Data Storage  - National DB -Central repository for all issued and received e-invoices."/>
    <x v="0"/>
    <n v="1333.3"/>
    <x v="0"/>
    <x v="4"/>
  </r>
  <r>
    <s v="IRM-30840"/>
    <x v="5"/>
    <x v="26"/>
    <s v="Data Storage  - National DB -Central repository for all issued and received e-invoices."/>
    <x v="1"/>
    <m/>
    <x v="0"/>
    <x v="4"/>
  </r>
  <r>
    <s v="IRM-30840"/>
    <x v="5"/>
    <x v="26"/>
    <s v="Data Storage  - National DB -Central repository for all issued and received e-invoices."/>
    <x v="2"/>
    <m/>
    <x v="0"/>
    <x v="4"/>
  </r>
  <r>
    <s v="IRM-30840"/>
    <x v="5"/>
    <x v="26"/>
    <s v="Data Storage  - National DB -Central repository for all issued and received e-invoices."/>
    <x v="3"/>
    <m/>
    <x v="0"/>
    <x v="4"/>
  </r>
  <r>
    <s v="IRM-30840"/>
    <x v="5"/>
    <x v="26"/>
    <s v="Data Storage  - National DB -Central repository for all issued and received e-invoices."/>
    <x v="4"/>
    <m/>
    <x v="0"/>
    <x v="4"/>
  </r>
  <r>
    <s v="IRM-30840"/>
    <x v="5"/>
    <x v="26"/>
    <s v="Data Storage  - National DB -Central repository for all issued and received e-invoices."/>
    <x v="5"/>
    <n v="266.7"/>
    <x v="0"/>
    <x v="2"/>
  </r>
  <r>
    <s v="IRM-30840"/>
    <x v="5"/>
    <x v="26"/>
    <s v="Data Storage  - National DB -Central repository for all issued and received e-invoices."/>
    <x v="6"/>
    <n v="666.6"/>
    <x v="0"/>
    <x v="4"/>
  </r>
  <r>
    <s v="IRM-30840"/>
    <x v="5"/>
    <x v="26"/>
    <s v="Data Storage  - National DB -Central repository for all issued and received e-invoices."/>
    <x v="7"/>
    <n v="533.29999999999995"/>
    <x v="0"/>
    <x v="4"/>
  </r>
  <r>
    <s v="IRM-30840"/>
    <x v="5"/>
    <x v="26"/>
    <s v="Data Storage  - National DB -Central repository for all issued and received e-invoices."/>
    <x v="8"/>
    <n v="533.29999999999995"/>
    <x v="0"/>
    <x v="4"/>
  </r>
  <r>
    <s v="IRM-30840"/>
    <x v="5"/>
    <x v="26"/>
    <s v="Data Storage  - National DB -Central repository for all issued and received e-invoices."/>
    <x v="9"/>
    <n v="666.6"/>
    <x v="0"/>
    <x v="4"/>
  </r>
  <r>
    <s v="IRM-31187"/>
    <x v="2"/>
    <x v="2"/>
    <s v="Amplio Batch - improvements and maintenance part 2"/>
    <x v="0"/>
    <n v="213.3"/>
    <x v="1"/>
    <x v="3"/>
  </r>
  <r>
    <s v="IRM-31187"/>
    <x v="2"/>
    <x v="2"/>
    <s v="Amplio Batch - improvements and maintenance part 2"/>
    <x v="1"/>
    <m/>
    <x v="1"/>
    <x v="3"/>
  </r>
  <r>
    <s v="IRM-31187"/>
    <x v="2"/>
    <x v="2"/>
    <s v="Amplio Batch - improvements and maintenance part 2"/>
    <x v="2"/>
    <m/>
    <x v="1"/>
    <x v="3"/>
  </r>
  <r>
    <s v="IRM-31187"/>
    <x v="2"/>
    <x v="2"/>
    <s v="Amplio Batch - improvements and maintenance part 2"/>
    <x v="3"/>
    <m/>
    <x v="1"/>
    <x v="3"/>
  </r>
  <r>
    <s v="IRM-31187"/>
    <x v="2"/>
    <x v="2"/>
    <s v="Amplio Batch - improvements and maintenance part 2"/>
    <x v="4"/>
    <m/>
    <x v="1"/>
    <x v="3"/>
  </r>
  <r>
    <s v="IRM-31187"/>
    <x v="2"/>
    <x v="2"/>
    <s v="Amplio Batch - improvements and maintenance part 2"/>
    <x v="5"/>
    <n v="42.7"/>
    <x v="1"/>
    <x v="0"/>
  </r>
  <r>
    <s v="IRM-31187"/>
    <x v="2"/>
    <x v="2"/>
    <s v="Amplio Batch - improvements and maintenance part 2"/>
    <x v="6"/>
    <n v="106.6"/>
    <x v="1"/>
    <x v="3"/>
  </r>
  <r>
    <s v="IRM-31187"/>
    <x v="2"/>
    <x v="2"/>
    <s v="Amplio Batch - improvements and maintenance part 2"/>
    <x v="7"/>
    <n v="85.3"/>
    <x v="1"/>
    <x v="3"/>
  </r>
  <r>
    <s v="IRM-31187"/>
    <x v="2"/>
    <x v="2"/>
    <s v="Amplio Batch - improvements and maintenance part 2"/>
    <x v="8"/>
    <n v="85.3"/>
    <x v="1"/>
    <x v="3"/>
  </r>
  <r>
    <s v="IRM-31187"/>
    <x v="2"/>
    <x v="2"/>
    <s v="Amplio Batch - improvements and maintenance part 2"/>
    <x v="9"/>
    <n v="106.6"/>
    <x v="1"/>
    <x v="3"/>
  </r>
  <r>
    <s v="IRM-31233"/>
    <x v="6"/>
    <x v="24"/>
    <s v="SS Enhancements - Party/PartyRole History details view on demand (Details in time)"/>
    <x v="0"/>
    <n v="160"/>
    <x v="0"/>
    <x v="0"/>
  </r>
  <r>
    <s v="IRM-31233"/>
    <x v="6"/>
    <x v="24"/>
    <s v="SS Enhancements - Party/PartyRole History details view on demand (Details in time)"/>
    <x v="1"/>
    <m/>
    <x v="0"/>
    <x v="0"/>
  </r>
  <r>
    <s v="IRM-31233"/>
    <x v="6"/>
    <x v="24"/>
    <s v="SS Enhancements - Party/PartyRole History details view on demand (Details in time)"/>
    <x v="2"/>
    <m/>
    <x v="0"/>
    <x v="0"/>
  </r>
  <r>
    <s v="IRM-31233"/>
    <x v="6"/>
    <x v="24"/>
    <s v="SS Enhancements - Party/PartyRole History details view on demand (Details in time)"/>
    <x v="3"/>
    <m/>
    <x v="0"/>
    <x v="0"/>
  </r>
  <r>
    <s v="IRM-31233"/>
    <x v="6"/>
    <x v="24"/>
    <s v="SS Enhancements - Party/PartyRole History details view on demand (Details in time)"/>
    <x v="4"/>
    <m/>
    <x v="0"/>
    <x v="0"/>
  </r>
  <r>
    <s v="IRM-31233"/>
    <x v="6"/>
    <x v="24"/>
    <s v="SS Enhancements - Party/PartyRole History details view on demand (Details in time)"/>
    <x v="5"/>
    <n v="32"/>
    <x v="0"/>
    <x v="1"/>
  </r>
  <r>
    <s v="IRM-31233"/>
    <x v="6"/>
    <x v="24"/>
    <s v="SS Enhancements - Party/PartyRole History details view on demand (Details in time)"/>
    <x v="6"/>
    <n v="80"/>
    <x v="0"/>
    <x v="0"/>
  </r>
  <r>
    <s v="IRM-31233"/>
    <x v="6"/>
    <x v="24"/>
    <s v="SS Enhancements - Party/PartyRole History details view on demand (Details in time)"/>
    <x v="7"/>
    <n v="64"/>
    <x v="0"/>
    <x v="0"/>
  </r>
  <r>
    <s v="IRM-31233"/>
    <x v="6"/>
    <x v="24"/>
    <s v="SS Enhancements - Party/PartyRole History details view on demand (Details in time)"/>
    <x v="8"/>
    <n v="64"/>
    <x v="0"/>
    <x v="0"/>
  </r>
  <r>
    <s v="IRM-31233"/>
    <x v="6"/>
    <x v="24"/>
    <s v="SS Enhancements - Party/PartyRole History details view on demand (Details in time)"/>
    <x v="9"/>
    <n v="80"/>
    <x v="0"/>
    <x v="0"/>
  </r>
  <r>
    <s v="IRM-31284"/>
    <x v="1"/>
    <x v="12"/>
    <s v="Document Management - Revenue management - Enable enhanced Document Management API"/>
    <x v="0"/>
    <n v="20"/>
    <x v="0"/>
    <x v="0"/>
  </r>
  <r>
    <s v="IRM-31284"/>
    <x v="1"/>
    <x v="12"/>
    <s v="Document Management - Revenue management - Enable enhanced Document Management API"/>
    <x v="1"/>
    <m/>
    <x v="0"/>
    <x v="0"/>
  </r>
  <r>
    <s v="IRM-31284"/>
    <x v="1"/>
    <x v="12"/>
    <s v="Document Management - Revenue management - Enable enhanced Document Management API"/>
    <x v="2"/>
    <m/>
    <x v="0"/>
    <x v="0"/>
  </r>
  <r>
    <s v="IRM-31284"/>
    <x v="1"/>
    <x v="12"/>
    <s v="Document Management - Revenue management - Enable enhanced Document Management API"/>
    <x v="3"/>
    <m/>
    <x v="0"/>
    <x v="0"/>
  </r>
  <r>
    <s v="IRM-31284"/>
    <x v="1"/>
    <x v="12"/>
    <s v="Document Management - Revenue management - Enable enhanced Document Management API"/>
    <x v="4"/>
    <m/>
    <x v="0"/>
    <x v="0"/>
  </r>
  <r>
    <s v="IRM-31284"/>
    <x v="1"/>
    <x v="12"/>
    <s v="Document Management - Revenue management - Enable enhanced Document Management API"/>
    <x v="5"/>
    <n v="4"/>
    <x v="0"/>
    <x v="1"/>
  </r>
  <r>
    <s v="IRM-31284"/>
    <x v="1"/>
    <x v="12"/>
    <s v="Document Management - Revenue management - Enable enhanced Document Management API"/>
    <x v="6"/>
    <n v="10"/>
    <x v="0"/>
    <x v="0"/>
  </r>
  <r>
    <s v="IRM-31284"/>
    <x v="1"/>
    <x v="12"/>
    <s v="Document Management - Revenue management - Enable enhanced Document Management API"/>
    <x v="7"/>
    <n v="8"/>
    <x v="0"/>
    <x v="0"/>
  </r>
  <r>
    <s v="IRM-31284"/>
    <x v="1"/>
    <x v="12"/>
    <s v="Document Management - Revenue management - Enable enhanced Document Management API"/>
    <x v="8"/>
    <n v="8"/>
    <x v="0"/>
    <x v="0"/>
  </r>
  <r>
    <s v="IRM-31284"/>
    <x v="1"/>
    <x v="12"/>
    <s v="Document Management - Revenue management - Enable enhanced Document Management API"/>
    <x v="9"/>
    <n v="10"/>
    <x v="0"/>
    <x v="0"/>
  </r>
  <r>
    <s v="IRM-31304"/>
    <x v="1"/>
    <x v="12"/>
    <s v="Document Management - Revenue management - Manage Documents"/>
    <x v="0"/>
    <n v="127.3"/>
    <x v="0"/>
    <x v="0"/>
  </r>
  <r>
    <s v="IRM-31304"/>
    <x v="1"/>
    <x v="12"/>
    <s v="Document Management - Revenue management - Manage Documents"/>
    <x v="1"/>
    <m/>
    <x v="0"/>
    <x v="0"/>
  </r>
  <r>
    <s v="IRM-31304"/>
    <x v="1"/>
    <x v="12"/>
    <s v="Document Management - Revenue management - Manage Documents"/>
    <x v="2"/>
    <m/>
    <x v="0"/>
    <x v="0"/>
  </r>
  <r>
    <s v="IRM-31304"/>
    <x v="1"/>
    <x v="12"/>
    <s v="Document Management - Revenue management - Manage Documents"/>
    <x v="3"/>
    <m/>
    <x v="0"/>
    <x v="0"/>
  </r>
  <r>
    <s v="IRM-31304"/>
    <x v="1"/>
    <x v="12"/>
    <s v="Document Management - Revenue management - Manage Documents"/>
    <x v="4"/>
    <m/>
    <x v="0"/>
    <x v="0"/>
  </r>
  <r>
    <s v="IRM-31304"/>
    <x v="1"/>
    <x v="12"/>
    <s v="Document Management - Revenue management - Manage Documents"/>
    <x v="5"/>
    <n v="25.5"/>
    <x v="0"/>
    <x v="1"/>
  </r>
  <r>
    <s v="IRM-31304"/>
    <x v="1"/>
    <x v="12"/>
    <s v="Document Management - Revenue management - Manage Documents"/>
    <x v="6"/>
    <n v="63.6"/>
    <x v="0"/>
    <x v="0"/>
  </r>
  <r>
    <s v="IRM-31304"/>
    <x v="1"/>
    <x v="12"/>
    <s v="Document Management - Revenue management - Manage Documents"/>
    <x v="7"/>
    <n v="50.9"/>
    <x v="0"/>
    <x v="0"/>
  </r>
  <r>
    <s v="IRM-31304"/>
    <x v="1"/>
    <x v="12"/>
    <s v="Document Management - Revenue management - Manage Documents"/>
    <x v="8"/>
    <n v="50.9"/>
    <x v="0"/>
    <x v="0"/>
  </r>
  <r>
    <s v="IRM-31304"/>
    <x v="1"/>
    <x v="12"/>
    <s v="Document Management - Revenue management - Manage Documents"/>
    <x v="9"/>
    <n v="63.6"/>
    <x v="0"/>
    <x v="0"/>
  </r>
  <r>
    <s v="IRM-31308"/>
    <x v="1"/>
    <x v="12"/>
    <s v="Document Management - Revenue management - Utilize new Document Management API"/>
    <x v="0"/>
    <n v="240.7"/>
    <x v="0"/>
    <x v="0"/>
  </r>
  <r>
    <s v="IRM-31308"/>
    <x v="1"/>
    <x v="12"/>
    <s v="Document Management - Revenue management - Utilize new Document Management API"/>
    <x v="1"/>
    <m/>
    <x v="0"/>
    <x v="0"/>
  </r>
  <r>
    <s v="IRM-31308"/>
    <x v="1"/>
    <x v="12"/>
    <s v="Document Management - Revenue management - Utilize new Document Management API"/>
    <x v="2"/>
    <m/>
    <x v="0"/>
    <x v="0"/>
  </r>
  <r>
    <s v="IRM-31308"/>
    <x v="1"/>
    <x v="12"/>
    <s v="Document Management - Revenue management - Utilize new Document Management API"/>
    <x v="3"/>
    <m/>
    <x v="0"/>
    <x v="0"/>
  </r>
  <r>
    <s v="IRM-31308"/>
    <x v="1"/>
    <x v="12"/>
    <s v="Document Management - Revenue management - Utilize new Document Management API"/>
    <x v="4"/>
    <m/>
    <x v="0"/>
    <x v="0"/>
  </r>
  <r>
    <s v="IRM-31308"/>
    <x v="1"/>
    <x v="12"/>
    <s v="Document Management - Revenue management - Utilize new Document Management API"/>
    <x v="5"/>
    <n v="48.1"/>
    <x v="0"/>
    <x v="1"/>
  </r>
  <r>
    <s v="IRM-31308"/>
    <x v="1"/>
    <x v="12"/>
    <s v="Document Management - Revenue management - Utilize new Document Management API"/>
    <x v="6"/>
    <n v="120.4"/>
    <x v="0"/>
    <x v="0"/>
  </r>
  <r>
    <s v="IRM-31308"/>
    <x v="1"/>
    <x v="12"/>
    <s v="Document Management - Revenue management - Utilize new Document Management API"/>
    <x v="7"/>
    <n v="96.3"/>
    <x v="0"/>
    <x v="0"/>
  </r>
  <r>
    <s v="IRM-31308"/>
    <x v="1"/>
    <x v="12"/>
    <s v="Document Management - Revenue management - Utilize new Document Management API"/>
    <x v="8"/>
    <n v="96.3"/>
    <x v="0"/>
    <x v="0"/>
  </r>
  <r>
    <s v="IRM-31308"/>
    <x v="1"/>
    <x v="12"/>
    <s v="Document Management - Revenue management - Utilize new Document Management API"/>
    <x v="9"/>
    <n v="120.4"/>
    <x v="0"/>
    <x v="0"/>
  </r>
  <r>
    <s v="IRM-31558"/>
    <x v="0"/>
    <x v="0"/>
    <s v="Enhance Party Role Search including child entities details (Part 2 of 2)"/>
    <x v="0"/>
    <n v="106.7"/>
    <x v="0"/>
    <x v="0"/>
  </r>
  <r>
    <s v="IRM-31558"/>
    <x v="0"/>
    <x v="0"/>
    <s v="Enhance Party Role Search including child entities details (Part 2 of 2)"/>
    <x v="1"/>
    <m/>
    <x v="0"/>
    <x v="0"/>
  </r>
  <r>
    <s v="IRM-31558"/>
    <x v="0"/>
    <x v="0"/>
    <s v="Enhance Party Role Search including child entities details (Part 2 of 2)"/>
    <x v="2"/>
    <m/>
    <x v="0"/>
    <x v="0"/>
  </r>
  <r>
    <s v="IRM-31558"/>
    <x v="0"/>
    <x v="0"/>
    <s v="Enhance Party Role Search including child entities details (Part 2 of 2)"/>
    <x v="3"/>
    <m/>
    <x v="0"/>
    <x v="0"/>
  </r>
  <r>
    <s v="IRM-31558"/>
    <x v="0"/>
    <x v="0"/>
    <s v="Enhance Party Role Search including child entities details (Part 2 of 2)"/>
    <x v="4"/>
    <m/>
    <x v="0"/>
    <x v="0"/>
  </r>
  <r>
    <s v="IRM-31558"/>
    <x v="0"/>
    <x v="0"/>
    <s v="Enhance Party Role Search including child entities details (Part 2 of 2)"/>
    <x v="5"/>
    <n v="21.3"/>
    <x v="0"/>
    <x v="1"/>
  </r>
  <r>
    <s v="IRM-31558"/>
    <x v="0"/>
    <x v="0"/>
    <s v="Enhance Party Role Search including child entities details (Part 2 of 2)"/>
    <x v="6"/>
    <n v="53.4"/>
    <x v="0"/>
    <x v="0"/>
  </r>
  <r>
    <s v="IRM-31558"/>
    <x v="0"/>
    <x v="0"/>
    <s v="Enhance Party Role Search including child entities details (Part 2 of 2)"/>
    <x v="7"/>
    <n v="42.7"/>
    <x v="0"/>
    <x v="0"/>
  </r>
  <r>
    <s v="IRM-31558"/>
    <x v="0"/>
    <x v="0"/>
    <s v="Enhance Party Role Search including child entities details (Part 2 of 2)"/>
    <x v="8"/>
    <n v="42.7"/>
    <x v="0"/>
    <x v="0"/>
  </r>
  <r>
    <s v="IRM-31558"/>
    <x v="0"/>
    <x v="0"/>
    <s v="Enhance Party Role Search including child entities details (Part 2 of 2)"/>
    <x v="9"/>
    <n v="53.4"/>
    <x v="0"/>
    <x v="0"/>
  </r>
  <r>
    <s v="IRM-31560"/>
    <x v="0"/>
    <x v="0"/>
    <s v="Party Role Eligible details - Enhancements"/>
    <x v="0"/>
    <n v="112"/>
    <x v="0"/>
    <x v="0"/>
  </r>
  <r>
    <s v="IRM-31560"/>
    <x v="0"/>
    <x v="0"/>
    <s v="Party Role Eligible details - Enhancements"/>
    <x v="1"/>
    <m/>
    <x v="0"/>
    <x v="0"/>
  </r>
  <r>
    <s v="IRM-31560"/>
    <x v="0"/>
    <x v="0"/>
    <s v="Party Role Eligible details - Enhancements"/>
    <x v="2"/>
    <m/>
    <x v="0"/>
    <x v="0"/>
  </r>
  <r>
    <s v="IRM-31560"/>
    <x v="0"/>
    <x v="0"/>
    <s v="Party Role Eligible details - Enhancements"/>
    <x v="3"/>
    <m/>
    <x v="0"/>
    <x v="0"/>
  </r>
  <r>
    <s v="IRM-31560"/>
    <x v="0"/>
    <x v="0"/>
    <s v="Party Role Eligible details - Enhancements"/>
    <x v="4"/>
    <m/>
    <x v="0"/>
    <x v="0"/>
  </r>
  <r>
    <s v="IRM-31560"/>
    <x v="0"/>
    <x v="0"/>
    <s v="Party Role Eligible details - Enhancements"/>
    <x v="5"/>
    <n v="22.4"/>
    <x v="0"/>
    <x v="1"/>
  </r>
  <r>
    <s v="IRM-31560"/>
    <x v="0"/>
    <x v="0"/>
    <s v="Party Role Eligible details - Enhancements"/>
    <x v="6"/>
    <n v="56"/>
    <x v="0"/>
    <x v="0"/>
  </r>
  <r>
    <s v="IRM-31560"/>
    <x v="0"/>
    <x v="0"/>
    <s v="Party Role Eligible details - Enhancements"/>
    <x v="7"/>
    <n v="44.8"/>
    <x v="0"/>
    <x v="0"/>
  </r>
  <r>
    <s v="IRM-31560"/>
    <x v="0"/>
    <x v="0"/>
    <s v="Party Role Eligible details - Enhancements"/>
    <x v="8"/>
    <n v="44.8"/>
    <x v="0"/>
    <x v="0"/>
  </r>
  <r>
    <s v="IRM-31560"/>
    <x v="0"/>
    <x v="0"/>
    <s v="Party Role Eligible details - Enhancements"/>
    <x v="9"/>
    <n v="56"/>
    <x v="0"/>
    <x v="0"/>
  </r>
  <r>
    <s v="IRM-31561"/>
    <x v="4"/>
    <x v="27"/>
    <s v="Enable user-define characteristics , Data Area for Party Address, State, Name,  Org unit member, Obligation"/>
    <x v="0"/>
    <n v="50.7"/>
    <x v="0"/>
    <x v="0"/>
  </r>
  <r>
    <s v="IRM-31561"/>
    <x v="4"/>
    <x v="27"/>
    <s v="Enable user-define characteristics , Data Area for Party Address, State, Name,  Org unit member, Obligation"/>
    <x v="1"/>
    <m/>
    <x v="0"/>
    <x v="0"/>
  </r>
  <r>
    <s v="IRM-31561"/>
    <x v="4"/>
    <x v="27"/>
    <s v="Enable user-define characteristics , Data Area for Party Address, State, Name,  Org unit member, Obligation"/>
    <x v="2"/>
    <m/>
    <x v="0"/>
    <x v="0"/>
  </r>
  <r>
    <s v="IRM-31561"/>
    <x v="4"/>
    <x v="27"/>
    <s v="Enable user-define characteristics , Data Area for Party Address, State, Name,  Org unit member, Obligation"/>
    <x v="3"/>
    <m/>
    <x v="0"/>
    <x v="0"/>
  </r>
  <r>
    <s v="IRM-31561"/>
    <x v="4"/>
    <x v="27"/>
    <s v="Enable user-define characteristics , Data Area for Party Address, State, Name,  Org unit member, Obligation"/>
    <x v="4"/>
    <m/>
    <x v="0"/>
    <x v="0"/>
  </r>
  <r>
    <s v="IRM-31561"/>
    <x v="4"/>
    <x v="27"/>
    <s v="Enable user-define characteristics , Data Area for Party Address, State, Name,  Org unit member, Obligation"/>
    <x v="5"/>
    <n v="10.1"/>
    <x v="0"/>
    <x v="1"/>
  </r>
  <r>
    <s v="IRM-31561"/>
    <x v="4"/>
    <x v="27"/>
    <s v="Enable user-define characteristics , Data Area for Party Address, State, Name,  Org unit member, Obligation"/>
    <x v="6"/>
    <n v="25.4"/>
    <x v="0"/>
    <x v="0"/>
  </r>
  <r>
    <s v="IRM-31561"/>
    <x v="4"/>
    <x v="27"/>
    <s v="Enable user-define characteristics , Data Area for Party Address, State, Name,  Org unit member, Obligation"/>
    <x v="7"/>
    <n v="20.3"/>
    <x v="0"/>
    <x v="0"/>
  </r>
  <r>
    <s v="IRM-31561"/>
    <x v="4"/>
    <x v="27"/>
    <s v="Enable user-define characteristics , Data Area for Party Address, State, Name,  Org unit member, Obligation"/>
    <x v="8"/>
    <n v="20.3"/>
    <x v="0"/>
    <x v="0"/>
  </r>
  <r>
    <s v="IRM-31561"/>
    <x v="4"/>
    <x v="27"/>
    <s v="Enable user-define characteristics , Data Area for Party Address, State, Name,  Org unit member, Obligation"/>
    <x v="9"/>
    <n v="25.4"/>
    <x v="0"/>
    <x v="0"/>
  </r>
  <r>
    <s v="IRM-31562"/>
    <x v="4"/>
    <x v="19"/>
    <s v="Solution - Partitioning db for Volume management and Performance reasons"/>
    <x v="0"/>
    <n v="64"/>
    <x v="0"/>
    <x v="0"/>
  </r>
  <r>
    <s v="IRM-31562"/>
    <x v="4"/>
    <x v="19"/>
    <s v="Solution - Partitioning db for Volume management and Performance reasons"/>
    <x v="1"/>
    <m/>
    <x v="0"/>
    <x v="0"/>
  </r>
  <r>
    <s v="IRM-31562"/>
    <x v="4"/>
    <x v="19"/>
    <s v="Solution - Partitioning db for Volume management and Performance reasons"/>
    <x v="2"/>
    <m/>
    <x v="0"/>
    <x v="0"/>
  </r>
  <r>
    <s v="IRM-31562"/>
    <x v="4"/>
    <x v="19"/>
    <s v="Solution - Partitioning db for Volume management and Performance reasons"/>
    <x v="3"/>
    <m/>
    <x v="0"/>
    <x v="0"/>
  </r>
  <r>
    <s v="IRM-31562"/>
    <x v="4"/>
    <x v="19"/>
    <s v="Solution - Partitioning db for Volume management and Performance reasons"/>
    <x v="4"/>
    <m/>
    <x v="0"/>
    <x v="0"/>
  </r>
  <r>
    <s v="IRM-31562"/>
    <x v="4"/>
    <x v="19"/>
    <s v="Solution - Partitioning db for Volume management and Performance reasons"/>
    <x v="5"/>
    <n v="12.8"/>
    <x v="0"/>
    <x v="1"/>
  </r>
  <r>
    <s v="IRM-31562"/>
    <x v="4"/>
    <x v="19"/>
    <s v="Solution - Partitioning db for Volume management and Performance reasons"/>
    <x v="6"/>
    <n v="32"/>
    <x v="0"/>
    <x v="0"/>
  </r>
  <r>
    <s v="IRM-31562"/>
    <x v="4"/>
    <x v="19"/>
    <s v="Solution - Partitioning db for Volume management and Performance reasons"/>
    <x v="7"/>
    <n v="25.6"/>
    <x v="0"/>
    <x v="0"/>
  </r>
  <r>
    <s v="IRM-31562"/>
    <x v="4"/>
    <x v="19"/>
    <s v="Solution - Partitioning db for Volume management and Performance reasons"/>
    <x v="8"/>
    <n v="25.6"/>
    <x v="0"/>
    <x v="0"/>
  </r>
  <r>
    <s v="IRM-31562"/>
    <x v="4"/>
    <x v="19"/>
    <s v="Solution - Partitioning db for Volume management and Performance reasons"/>
    <x v="9"/>
    <n v="32"/>
    <x v="0"/>
    <x v="0"/>
  </r>
  <r>
    <s v="IRM-31569"/>
    <x v="4"/>
    <x v="8"/>
    <s v="Need to use  keycloak in active cluster mode "/>
    <x v="0"/>
    <n v="186.7"/>
    <x v="0"/>
    <x v="0"/>
  </r>
  <r>
    <s v="IRM-31569"/>
    <x v="4"/>
    <x v="8"/>
    <s v="Need to use  keycloak in active cluster mode "/>
    <x v="1"/>
    <m/>
    <x v="0"/>
    <x v="0"/>
  </r>
  <r>
    <s v="IRM-31569"/>
    <x v="4"/>
    <x v="8"/>
    <s v="Need to use  keycloak in active cluster mode "/>
    <x v="2"/>
    <m/>
    <x v="0"/>
    <x v="0"/>
  </r>
  <r>
    <s v="IRM-31569"/>
    <x v="4"/>
    <x v="8"/>
    <s v="Need to use  keycloak in active cluster mode "/>
    <x v="3"/>
    <m/>
    <x v="0"/>
    <x v="0"/>
  </r>
  <r>
    <s v="IRM-31569"/>
    <x v="4"/>
    <x v="8"/>
    <s v="Need to use  keycloak in active cluster mode "/>
    <x v="4"/>
    <m/>
    <x v="0"/>
    <x v="0"/>
  </r>
  <r>
    <s v="IRM-31569"/>
    <x v="4"/>
    <x v="8"/>
    <s v="Need to use  keycloak in active cluster mode "/>
    <x v="5"/>
    <n v="37.299999999999997"/>
    <x v="0"/>
    <x v="1"/>
  </r>
  <r>
    <s v="IRM-31569"/>
    <x v="4"/>
    <x v="8"/>
    <s v="Need to use  keycloak in active cluster mode "/>
    <x v="6"/>
    <n v="93.4"/>
    <x v="0"/>
    <x v="0"/>
  </r>
  <r>
    <s v="IRM-31569"/>
    <x v="4"/>
    <x v="8"/>
    <s v="Need to use  keycloak in active cluster mode "/>
    <x v="7"/>
    <n v="74.7"/>
    <x v="0"/>
    <x v="0"/>
  </r>
  <r>
    <s v="IRM-31569"/>
    <x v="4"/>
    <x v="8"/>
    <s v="Need to use  keycloak in active cluster mode "/>
    <x v="8"/>
    <n v="74.7"/>
    <x v="0"/>
    <x v="0"/>
  </r>
  <r>
    <s v="IRM-31569"/>
    <x v="4"/>
    <x v="8"/>
    <s v="Need to use  keycloak in active cluster mode "/>
    <x v="9"/>
    <n v="93.4"/>
    <x v="0"/>
    <x v="0"/>
  </r>
  <r>
    <s v="IRM-31650"/>
    <x v="0"/>
    <x v="0"/>
    <s v="View Party and Party Role: as Today and Details in Time (list Backdated changes based on Valid from-to period)/RM"/>
    <x v="0"/>
    <n v="213.3"/>
    <x v="0"/>
    <x v="0"/>
  </r>
  <r>
    <s v="IRM-31650"/>
    <x v="0"/>
    <x v="0"/>
    <s v="View Party and Party Role: as Today and Details in Time (list Backdated changes based on Valid from-to period)/RM"/>
    <x v="1"/>
    <m/>
    <x v="0"/>
    <x v="0"/>
  </r>
  <r>
    <s v="IRM-31650"/>
    <x v="0"/>
    <x v="0"/>
    <s v="View Party and Party Role: as Today and Details in Time (list Backdated changes based on Valid from-to period)/RM"/>
    <x v="2"/>
    <m/>
    <x v="0"/>
    <x v="0"/>
  </r>
  <r>
    <s v="IRM-31650"/>
    <x v="0"/>
    <x v="0"/>
    <s v="View Party and Party Role: as Today and Details in Time (list Backdated changes based on Valid from-to period)/RM"/>
    <x v="3"/>
    <m/>
    <x v="0"/>
    <x v="0"/>
  </r>
  <r>
    <s v="IRM-31650"/>
    <x v="0"/>
    <x v="0"/>
    <s v="View Party and Party Role: as Today and Details in Time (list Backdated changes based on Valid from-to period)/RM"/>
    <x v="4"/>
    <m/>
    <x v="0"/>
    <x v="0"/>
  </r>
  <r>
    <s v="IRM-31650"/>
    <x v="0"/>
    <x v="0"/>
    <s v="View Party and Party Role: as Today and Details in Time (list Backdated changes based on Valid from-to period)/RM"/>
    <x v="5"/>
    <n v="42.7"/>
    <x v="0"/>
    <x v="1"/>
  </r>
  <r>
    <s v="IRM-31650"/>
    <x v="0"/>
    <x v="0"/>
    <s v="View Party and Party Role: as Today and Details in Time (list Backdated changes based on Valid from-to period)/RM"/>
    <x v="6"/>
    <n v="106.6"/>
    <x v="0"/>
    <x v="0"/>
  </r>
  <r>
    <s v="IRM-31650"/>
    <x v="0"/>
    <x v="0"/>
    <s v="View Party and Party Role: as Today and Details in Time (list Backdated changes based on Valid from-to period)/RM"/>
    <x v="7"/>
    <n v="85.3"/>
    <x v="0"/>
    <x v="0"/>
  </r>
  <r>
    <s v="IRM-31650"/>
    <x v="0"/>
    <x v="0"/>
    <s v="View Party and Party Role: as Today and Details in Time (list Backdated changes based on Valid from-to period)/RM"/>
    <x v="8"/>
    <n v="85.3"/>
    <x v="0"/>
    <x v="0"/>
  </r>
  <r>
    <s v="IRM-31650"/>
    <x v="0"/>
    <x v="0"/>
    <s v="View Party and Party Role: as Today and Details in Time (list Backdated changes based on Valid from-to period)/RM"/>
    <x v="9"/>
    <n v="106.6"/>
    <x v="0"/>
    <x v="0"/>
  </r>
  <r>
    <s v="IRM-31771"/>
    <x v="6"/>
    <x v="24"/>
    <s v="SS Enhancements - Party/Party Role details available in SS (BE availability)"/>
    <x v="0"/>
    <n v="80"/>
    <x v="0"/>
    <x v="0"/>
  </r>
  <r>
    <s v="IRM-31771"/>
    <x v="6"/>
    <x v="24"/>
    <s v="SS Enhancements - Party/Party Role details available in SS (BE availability)"/>
    <x v="1"/>
    <m/>
    <x v="0"/>
    <x v="0"/>
  </r>
  <r>
    <s v="IRM-31771"/>
    <x v="6"/>
    <x v="24"/>
    <s v="SS Enhancements - Party/Party Role details available in SS (BE availability)"/>
    <x v="2"/>
    <m/>
    <x v="0"/>
    <x v="0"/>
  </r>
  <r>
    <s v="IRM-31771"/>
    <x v="6"/>
    <x v="24"/>
    <s v="SS Enhancements - Party/Party Role details available in SS (BE availability)"/>
    <x v="3"/>
    <m/>
    <x v="0"/>
    <x v="0"/>
  </r>
  <r>
    <s v="IRM-31771"/>
    <x v="6"/>
    <x v="24"/>
    <s v="SS Enhancements - Party/Party Role details available in SS (BE availability)"/>
    <x v="4"/>
    <m/>
    <x v="0"/>
    <x v="0"/>
  </r>
  <r>
    <s v="IRM-31771"/>
    <x v="6"/>
    <x v="24"/>
    <s v="SS Enhancements - Party/Party Role details available in SS (BE availability)"/>
    <x v="5"/>
    <n v="16"/>
    <x v="0"/>
    <x v="1"/>
  </r>
  <r>
    <s v="IRM-31771"/>
    <x v="6"/>
    <x v="24"/>
    <s v="SS Enhancements - Party/Party Role details available in SS (BE availability)"/>
    <x v="6"/>
    <n v="40"/>
    <x v="0"/>
    <x v="0"/>
  </r>
  <r>
    <s v="IRM-31771"/>
    <x v="6"/>
    <x v="24"/>
    <s v="SS Enhancements - Party/Party Role details available in SS (BE availability)"/>
    <x v="7"/>
    <n v="32"/>
    <x v="0"/>
    <x v="0"/>
  </r>
  <r>
    <s v="IRM-31771"/>
    <x v="6"/>
    <x v="24"/>
    <s v="SS Enhancements - Party/Party Role details available in SS (BE availability)"/>
    <x v="8"/>
    <n v="32"/>
    <x v="0"/>
    <x v="0"/>
  </r>
  <r>
    <s v="IRM-31771"/>
    <x v="6"/>
    <x v="24"/>
    <s v="SS Enhancements - Party/Party Role details available in SS (BE availability)"/>
    <x v="9"/>
    <n v="40"/>
    <x v="0"/>
    <x v="0"/>
  </r>
  <r>
    <s v="IRM-31810"/>
    <x v="0"/>
    <x v="0"/>
    <s v="Support searching by source_cl from api-gateway-registration-parties API (Get Parties by criteria and pagination)"/>
    <x v="0"/>
    <n v="10.7"/>
    <x v="1"/>
    <x v="1"/>
  </r>
  <r>
    <s v="IRM-31810"/>
    <x v="0"/>
    <x v="0"/>
    <s v="Support searching by source_cl from api-gateway-registration-parties API (Get Parties by criteria and pagination)"/>
    <x v="1"/>
    <m/>
    <x v="1"/>
    <x v="1"/>
  </r>
  <r>
    <s v="IRM-31810"/>
    <x v="0"/>
    <x v="0"/>
    <s v="Support searching by source_cl from api-gateway-registration-parties API (Get Parties by criteria and pagination)"/>
    <x v="2"/>
    <m/>
    <x v="1"/>
    <x v="1"/>
  </r>
  <r>
    <s v="IRM-31810"/>
    <x v="0"/>
    <x v="0"/>
    <s v="Support searching by source_cl from api-gateway-registration-parties API (Get Parties by criteria and pagination)"/>
    <x v="3"/>
    <m/>
    <x v="1"/>
    <x v="1"/>
  </r>
  <r>
    <s v="IRM-31810"/>
    <x v="0"/>
    <x v="0"/>
    <s v="Support searching by source_cl from api-gateway-registration-parties API (Get Parties by criteria and pagination)"/>
    <x v="4"/>
    <m/>
    <x v="1"/>
    <x v="1"/>
  </r>
  <r>
    <s v="IRM-31810"/>
    <x v="0"/>
    <x v="0"/>
    <s v="Support searching by source_cl from api-gateway-registration-parties API (Get Parties by criteria and pagination)"/>
    <x v="6"/>
    <n v="5.4"/>
    <x v="1"/>
    <x v="1"/>
  </r>
  <r>
    <s v="IRM-31810"/>
    <x v="0"/>
    <x v="0"/>
    <s v="Support searching by source_cl from api-gateway-registration-parties API (Get Parties by criteria and pagination)"/>
    <x v="7"/>
    <n v="4.3"/>
    <x v="1"/>
    <x v="1"/>
  </r>
  <r>
    <s v="IRM-31810"/>
    <x v="0"/>
    <x v="0"/>
    <s v="Support searching by source_cl from api-gateway-registration-parties API (Get Parties by criteria and pagination)"/>
    <x v="8"/>
    <n v="4.3"/>
    <x v="1"/>
    <x v="1"/>
  </r>
  <r>
    <s v="IRM-31810"/>
    <x v="0"/>
    <x v="0"/>
    <s v="Support searching by source_cl from api-gateway-registration-parties API (Get Parties by criteria and pagination)"/>
    <x v="9"/>
    <n v="5.4"/>
    <x v="1"/>
    <x v="1"/>
  </r>
  <r>
    <s v="IRM-31854"/>
    <x v="1"/>
    <x v="22"/>
    <s v="LT_UI_Support customObjectField to always present the label"/>
    <x v="0"/>
    <n v="133.30000000000001"/>
    <x v="1"/>
    <x v="2"/>
  </r>
  <r>
    <s v="IRM-31854"/>
    <x v="1"/>
    <x v="22"/>
    <s v="LT_UI_Support customObjectField to always present the label"/>
    <x v="1"/>
    <m/>
    <x v="1"/>
    <x v="2"/>
  </r>
  <r>
    <s v="IRM-31854"/>
    <x v="1"/>
    <x v="22"/>
    <s v="LT_UI_Support customObjectField to always present the label"/>
    <x v="2"/>
    <m/>
    <x v="1"/>
    <x v="2"/>
  </r>
  <r>
    <s v="IRM-31854"/>
    <x v="1"/>
    <x v="22"/>
    <s v="LT_UI_Support customObjectField to always present the label"/>
    <x v="3"/>
    <m/>
    <x v="1"/>
    <x v="2"/>
  </r>
  <r>
    <s v="IRM-31854"/>
    <x v="1"/>
    <x v="22"/>
    <s v="LT_UI_Support customObjectField to always present the label"/>
    <x v="4"/>
    <m/>
    <x v="1"/>
    <x v="2"/>
  </r>
  <r>
    <s v="IRM-31854"/>
    <x v="1"/>
    <x v="22"/>
    <s v="LT_UI_Support customObjectField to always present the label"/>
    <x v="5"/>
    <n v="26.7"/>
    <x v="1"/>
    <x v="3"/>
  </r>
  <r>
    <s v="IRM-31854"/>
    <x v="1"/>
    <x v="22"/>
    <s v="LT_UI_Support customObjectField to always present the label"/>
    <x v="6"/>
    <n v="66.599999999999994"/>
    <x v="1"/>
    <x v="2"/>
  </r>
  <r>
    <s v="IRM-31854"/>
    <x v="1"/>
    <x v="22"/>
    <s v="LT_UI_Support customObjectField to always present the label"/>
    <x v="7"/>
    <n v="53.3"/>
    <x v="1"/>
    <x v="2"/>
  </r>
  <r>
    <s v="IRM-31854"/>
    <x v="1"/>
    <x v="22"/>
    <s v="LT_UI_Support customObjectField to always present the label"/>
    <x v="8"/>
    <n v="53.3"/>
    <x v="1"/>
    <x v="2"/>
  </r>
  <r>
    <s v="IRM-31854"/>
    <x v="1"/>
    <x v="22"/>
    <s v="LT_UI_Support customObjectField to always present the label"/>
    <x v="9"/>
    <n v="66.599999999999994"/>
    <x v="1"/>
    <x v="2"/>
  </r>
  <r>
    <s v="IRM-31937"/>
    <x v="1"/>
    <x v="22"/>
    <s v="Map input values from modal to a card's fields"/>
    <x v="0"/>
    <n v="26.7"/>
    <x v="1"/>
    <x v="1"/>
  </r>
  <r>
    <s v="IRM-31937"/>
    <x v="1"/>
    <x v="22"/>
    <s v="Map input values from modal to a card's fields"/>
    <x v="1"/>
    <m/>
    <x v="1"/>
    <x v="1"/>
  </r>
  <r>
    <s v="IRM-31937"/>
    <x v="1"/>
    <x v="22"/>
    <s v="Map input values from modal to a card's fields"/>
    <x v="2"/>
    <m/>
    <x v="1"/>
    <x v="1"/>
  </r>
  <r>
    <s v="IRM-31937"/>
    <x v="1"/>
    <x v="22"/>
    <s v="Map input values from modal to a card's fields"/>
    <x v="3"/>
    <m/>
    <x v="1"/>
    <x v="1"/>
  </r>
  <r>
    <s v="IRM-31937"/>
    <x v="1"/>
    <x v="22"/>
    <s v="Map input values from modal to a card's fields"/>
    <x v="4"/>
    <m/>
    <x v="1"/>
    <x v="1"/>
  </r>
  <r>
    <s v="IRM-31937"/>
    <x v="1"/>
    <x v="22"/>
    <s v="Map input values from modal to a card's fields"/>
    <x v="6"/>
    <n v="13.4"/>
    <x v="1"/>
    <x v="1"/>
  </r>
  <r>
    <s v="IRM-31937"/>
    <x v="1"/>
    <x v="22"/>
    <s v="Map input values from modal to a card's fields"/>
    <x v="7"/>
    <n v="10.7"/>
    <x v="1"/>
    <x v="1"/>
  </r>
  <r>
    <s v="IRM-31937"/>
    <x v="1"/>
    <x v="22"/>
    <s v="Map input values from modal to a card's fields"/>
    <x v="8"/>
    <n v="10.7"/>
    <x v="1"/>
    <x v="1"/>
  </r>
  <r>
    <s v="IRM-31937"/>
    <x v="1"/>
    <x v="22"/>
    <s v="Map input values from modal to a card's fields"/>
    <x v="9"/>
    <n v="13.4"/>
    <x v="1"/>
    <x v="1"/>
  </r>
  <r>
    <s v="IRM-32237"/>
    <x v="1"/>
    <x v="22"/>
    <s v="UI/UX Improvements: Visual cues : Add Visual Indicator for Required Fields"/>
    <x v="0"/>
    <n v="45.3"/>
    <x v="0"/>
    <x v="3"/>
  </r>
  <r>
    <s v="IRM-32237"/>
    <x v="1"/>
    <x v="22"/>
    <s v="UI/UX Improvements: Visual cues : Add Visual Indicator for Required Fields"/>
    <x v="1"/>
    <m/>
    <x v="0"/>
    <x v="3"/>
  </r>
  <r>
    <s v="IRM-32237"/>
    <x v="1"/>
    <x v="22"/>
    <s v="UI/UX Improvements: Visual cues : Add Visual Indicator for Required Fields"/>
    <x v="2"/>
    <m/>
    <x v="0"/>
    <x v="3"/>
  </r>
  <r>
    <s v="IRM-32237"/>
    <x v="1"/>
    <x v="22"/>
    <s v="UI/UX Improvements: Visual cues : Add Visual Indicator for Required Fields"/>
    <x v="3"/>
    <m/>
    <x v="0"/>
    <x v="3"/>
  </r>
  <r>
    <s v="IRM-32237"/>
    <x v="1"/>
    <x v="22"/>
    <s v="UI/UX Improvements: Visual cues : Add Visual Indicator for Required Fields"/>
    <x v="4"/>
    <m/>
    <x v="0"/>
    <x v="3"/>
  </r>
  <r>
    <s v="IRM-32237"/>
    <x v="1"/>
    <x v="22"/>
    <s v="UI/UX Improvements: Visual cues : Add Visual Indicator for Required Fields"/>
    <x v="5"/>
    <n v="9.1"/>
    <x v="0"/>
    <x v="0"/>
  </r>
  <r>
    <s v="IRM-32237"/>
    <x v="1"/>
    <x v="22"/>
    <s v="UI/UX Improvements: Visual cues : Add Visual Indicator for Required Fields"/>
    <x v="6"/>
    <n v="22.6"/>
    <x v="0"/>
    <x v="3"/>
  </r>
  <r>
    <s v="IRM-32237"/>
    <x v="1"/>
    <x v="22"/>
    <s v="UI/UX Improvements: Visual cues : Add Visual Indicator for Required Fields"/>
    <x v="7"/>
    <n v="18.100000000000001"/>
    <x v="0"/>
    <x v="3"/>
  </r>
  <r>
    <s v="IRM-32237"/>
    <x v="1"/>
    <x v="22"/>
    <s v="UI/UX Improvements: Visual cues : Add Visual Indicator for Required Fields"/>
    <x v="8"/>
    <n v="18.100000000000001"/>
    <x v="0"/>
    <x v="3"/>
  </r>
  <r>
    <s v="IRM-32237"/>
    <x v="1"/>
    <x v="22"/>
    <s v="UI/UX Improvements: Visual cues : Add Visual Indicator for Required Fields"/>
    <x v="9"/>
    <n v="22.6"/>
    <x v="0"/>
    <x v="3"/>
  </r>
  <r>
    <s v="IRM-32464"/>
    <x v="4"/>
    <x v="28"/>
    <s v="Call proxy services  /RM &amp; SS - Documentation"/>
    <x v="0"/>
    <n v="21.3"/>
    <x v="0"/>
    <x v="3"/>
  </r>
  <r>
    <s v="IRM-32464"/>
    <x v="4"/>
    <x v="28"/>
    <s v="Call proxy services  /RM &amp; SS - Documentation"/>
    <x v="1"/>
    <m/>
    <x v="0"/>
    <x v="3"/>
  </r>
  <r>
    <s v="IRM-32464"/>
    <x v="4"/>
    <x v="28"/>
    <s v="Call proxy services  /RM &amp; SS - Documentation"/>
    <x v="2"/>
    <m/>
    <x v="0"/>
    <x v="3"/>
  </r>
  <r>
    <s v="IRM-32464"/>
    <x v="4"/>
    <x v="28"/>
    <s v="Call proxy services  /RM &amp; SS - Documentation"/>
    <x v="3"/>
    <m/>
    <x v="0"/>
    <x v="3"/>
  </r>
  <r>
    <s v="IRM-32464"/>
    <x v="4"/>
    <x v="28"/>
    <s v="Call proxy services  /RM &amp; SS - Documentation"/>
    <x v="4"/>
    <m/>
    <x v="0"/>
    <x v="3"/>
  </r>
  <r>
    <s v="IRM-32464"/>
    <x v="4"/>
    <x v="28"/>
    <s v="Call proxy services  /RM &amp; SS - Documentation"/>
    <x v="5"/>
    <n v="4.3"/>
    <x v="0"/>
    <x v="0"/>
  </r>
  <r>
    <s v="IRM-32464"/>
    <x v="4"/>
    <x v="28"/>
    <s v="Call proxy services  /RM &amp; SS - Documentation"/>
    <x v="6"/>
    <n v="10.6"/>
    <x v="0"/>
    <x v="3"/>
  </r>
  <r>
    <s v="IRM-32464"/>
    <x v="4"/>
    <x v="28"/>
    <s v="Call proxy services  /RM &amp; SS - Documentation"/>
    <x v="7"/>
    <n v="8.5"/>
    <x v="0"/>
    <x v="3"/>
  </r>
  <r>
    <s v="IRM-32464"/>
    <x v="4"/>
    <x v="28"/>
    <s v="Call proxy services  /RM &amp; SS - Documentation"/>
    <x v="8"/>
    <n v="8.5"/>
    <x v="0"/>
    <x v="3"/>
  </r>
  <r>
    <s v="IRM-32464"/>
    <x v="4"/>
    <x v="28"/>
    <s v="Call proxy services  /RM &amp; SS - Documentation"/>
    <x v="9"/>
    <n v="10.6"/>
    <x v="0"/>
    <x v="3"/>
  </r>
  <r>
    <s v="IRM-32503"/>
    <x v="4"/>
    <x v="10"/>
    <s v=" Expansion of Character Limits for Code Across Configuration Entities"/>
    <x v="0"/>
    <n v="237.3"/>
    <x v="0"/>
    <x v="0"/>
  </r>
  <r>
    <s v="IRM-32503"/>
    <x v="4"/>
    <x v="10"/>
    <s v=" Expansion of Character Limits for Code Across Configuration Entities"/>
    <x v="1"/>
    <m/>
    <x v="0"/>
    <x v="0"/>
  </r>
  <r>
    <s v="IRM-32503"/>
    <x v="4"/>
    <x v="10"/>
    <s v=" Expansion of Character Limits for Code Across Configuration Entities"/>
    <x v="2"/>
    <m/>
    <x v="0"/>
    <x v="0"/>
  </r>
  <r>
    <s v="IRM-32503"/>
    <x v="4"/>
    <x v="10"/>
    <s v=" Expansion of Character Limits for Code Across Configuration Entities"/>
    <x v="3"/>
    <m/>
    <x v="0"/>
    <x v="0"/>
  </r>
  <r>
    <s v="IRM-32503"/>
    <x v="4"/>
    <x v="10"/>
    <s v=" Expansion of Character Limits for Code Across Configuration Entities"/>
    <x v="4"/>
    <m/>
    <x v="0"/>
    <x v="0"/>
  </r>
  <r>
    <s v="IRM-32503"/>
    <x v="4"/>
    <x v="10"/>
    <s v=" Expansion of Character Limits for Code Across Configuration Entities"/>
    <x v="5"/>
    <n v="47.5"/>
    <x v="0"/>
    <x v="1"/>
  </r>
  <r>
    <s v="IRM-32503"/>
    <x v="4"/>
    <x v="10"/>
    <s v=" Expansion of Character Limits for Code Across Configuration Entities"/>
    <x v="6"/>
    <n v="118.6"/>
    <x v="0"/>
    <x v="0"/>
  </r>
  <r>
    <s v="IRM-32503"/>
    <x v="4"/>
    <x v="10"/>
    <s v=" Expansion of Character Limits for Code Across Configuration Entities"/>
    <x v="7"/>
    <n v="94.9"/>
    <x v="0"/>
    <x v="0"/>
  </r>
  <r>
    <s v="IRM-32503"/>
    <x v="4"/>
    <x v="10"/>
    <s v=" Expansion of Character Limits for Code Across Configuration Entities"/>
    <x v="8"/>
    <n v="94.9"/>
    <x v="0"/>
    <x v="0"/>
  </r>
  <r>
    <s v="IRM-32503"/>
    <x v="4"/>
    <x v="10"/>
    <s v=" Expansion of Character Limits for Code Across Configuration Entities"/>
    <x v="9"/>
    <n v="118.6"/>
    <x v="0"/>
    <x v="0"/>
  </r>
  <r>
    <s v="IRM-32538"/>
    <x v="6"/>
    <x v="29"/>
    <s v="Extend Rights and Relationships to Support 3rd party systems"/>
    <x v="0"/>
    <n v="192"/>
    <x v="0"/>
    <x v="0"/>
  </r>
  <r>
    <s v="IRM-32538"/>
    <x v="6"/>
    <x v="29"/>
    <s v="Extend Rights and Relationships to Support 3rd party systems"/>
    <x v="1"/>
    <m/>
    <x v="0"/>
    <x v="0"/>
  </r>
  <r>
    <s v="IRM-32538"/>
    <x v="6"/>
    <x v="29"/>
    <s v="Extend Rights and Relationships to Support 3rd party systems"/>
    <x v="2"/>
    <m/>
    <x v="0"/>
    <x v="0"/>
  </r>
  <r>
    <s v="IRM-32538"/>
    <x v="6"/>
    <x v="29"/>
    <s v="Extend Rights and Relationships to Support 3rd party systems"/>
    <x v="3"/>
    <m/>
    <x v="0"/>
    <x v="0"/>
  </r>
  <r>
    <s v="IRM-32538"/>
    <x v="6"/>
    <x v="29"/>
    <s v="Extend Rights and Relationships to Support 3rd party systems"/>
    <x v="4"/>
    <m/>
    <x v="0"/>
    <x v="0"/>
  </r>
  <r>
    <s v="IRM-32538"/>
    <x v="6"/>
    <x v="29"/>
    <s v="Extend Rights and Relationships to Support 3rd party systems"/>
    <x v="5"/>
    <n v="38.4"/>
    <x v="0"/>
    <x v="1"/>
  </r>
  <r>
    <s v="IRM-32538"/>
    <x v="6"/>
    <x v="29"/>
    <s v="Extend Rights and Relationships to Support 3rd party systems"/>
    <x v="6"/>
    <n v="96"/>
    <x v="0"/>
    <x v="0"/>
  </r>
  <r>
    <s v="IRM-32538"/>
    <x v="6"/>
    <x v="29"/>
    <s v="Extend Rights and Relationships to Support 3rd party systems"/>
    <x v="7"/>
    <n v="76.8"/>
    <x v="0"/>
    <x v="0"/>
  </r>
  <r>
    <s v="IRM-32538"/>
    <x v="6"/>
    <x v="29"/>
    <s v="Extend Rights and Relationships to Support 3rd party systems"/>
    <x v="8"/>
    <n v="76.8"/>
    <x v="0"/>
    <x v="0"/>
  </r>
  <r>
    <s v="IRM-32538"/>
    <x v="6"/>
    <x v="29"/>
    <s v="Extend Rights and Relationships to Support 3rd party systems"/>
    <x v="9"/>
    <n v="96"/>
    <x v="0"/>
    <x v="0"/>
  </r>
  <r>
    <s v="IRM-32746"/>
    <x v="4"/>
    <x v="4"/>
    <s v="Audit Log - Ability to keep Audit trail for authorization /LEFTOVER"/>
    <x v="0"/>
    <n v="264"/>
    <x v="0"/>
    <x v="3"/>
  </r>
  <r>
    <s v="IRM-32746"/>
    <x v="4"/>
    <x v="4"/>
    <s v="Audit Log - Ability to keep Audit trail for authorization /LEFTOVER"/>
    <x v="1"/>
    <m/>
    <x v="0"/>
    <x v="3"/>
  </r>
  <r>
    <s v="IRM-32746"/>
    <x v="4"/>
    <x v="4"/>
    <s v="Audit Log - Ability to keep Audit trail for authorization /LEFTOVER"/>
    <x v="2"/>
    <m/>
    <x v="0"/>
    <x v="3"/>
  </r>
  <r>
    <s v="IRM-32746"/>
    <x v="4"/>
    <x v="4"/>
    <s v="Audit Log - Ability to keep Audit trail for authorization /LEFTOVER"/>
    <x v="3"/>
    <m/>
    <x v="0"/>
    <x v="3"/>
  </r>
  <r>
    <s v="IRM-32746"/>
    <x v="4"/>
    <x v="4"/>
    <s v="Audit Log - Ability to keep Audit trail for authorization /LEFTOVER"/>
    <x v="4"/>
    <m/>
    <x v="0"/>
    <x v="3"/>
  </r>
  <r>
    <s v="IRM-32746"/>
    <x v="4"/>
    <x v="4"/>
    <s v="Audit Log - Ability to keep Audit trail for authorization /LEFTOVER"/>
    <x v="5"/>
    <n v="52.8"/>
    <x v="0"/>
    <x v="0"/>
  </r>
  <r>
    <s v="IRM-32746"/>
    <x v="4"/>
    <x v="4"/>
    <s v="Audit Log - Ability to keep Audit trail for authorization /LEFTOVER"/>
    <x v="6"/>
    <n v="132"/>
    <x v="0"/>
    <x v="3"/>
  </r>
  <r>
    <s v="IRM-32746"/>
    <x v="4"/>
    <x v="4"/>
    <s v="Audit Log - Ability to keep Audit trail for authorization /LEFTOVER"/>
    <x v="7"/>
    <n v="105.6"/>
    <x v="0"/>
    <x v="3"/>
  </r>
  <r>
    <s v="IRM-32746"/>
    <x v="4"/>
    <x v="4"/>
    <s v="Audit Log - Ability to keep Audit trail for authorization /LEFTOVER"/>
    <x v="8"/>
    <n v="105.6"/>
    <x v="0"/>
    <x v="3"/>
  </r>
  <r>
    <s v="IRM-32746"/>
    <x v="4"/>
    <x v="4"/>
    <s v="Audit Log - Ability to keep Audit trail for authorization /LEFTOVER"/>
    <x v="9"/>
    <n v="132"/>
    <x v="0"/>
    <x v="3"/>
  </r>
  <r>
    <s v="IRM-32830"/>
    <x v="4"/>
    <x v="10"/>
    <s v="Feasibility check and support of Oracle 26ai"/>
    <x v="0"/>
    <n v="42.7"/>
    <x v="0"/>
    <x v="0"/>
  </r>
  <r>
    <s v="IRM-32830"/>
    <x v="4"/>
    <x v="10"/>
    <s v="Feasibility check and support of Oracle 26ai"/>
    <x v="1"/>
    <m/>
    <x v="0"/>
    <x v="0"/>
  </r>
  <r>
    <s v="IRM-32830"/>
    <x v="4"/>
    <x v="10"/>
    <s v="Feasibility check and support of Oracle 26ai"/>
    <x v="2"/>
    <m/>
    <x v="0"/>
    <x v="0"/>
  </r>
  <r>
    <s v="IRM-32830"/>
    <x v="4"/>
    <x v="10"/>
    <s v="Feasibility check and support of Oracle 26ai"/>
    <x v="3"/>
    <m/>
    <x v="0"/>
    <x v="0"/>
  </r>
  <r>
    <s v="IRM-32830"/>
    <x v="4"/>
    <x v="10"/>
    <s v="Feasibility check and support of Oracle 26ai"/>
    <x v="4"/>
    <m/>
    <x v="0"/>
    <x v="0"/>
  </r>
  <r>
    <s v="IRM-32830"/>
    <x v="4"/>
    <x v="10"/>
    <s v="Feasibility check and support of Oracle 26ai"/>
    <x v="5"/>
    <n v="8.5"/>
    <x v="0"/>
    <x v="1"/>
  </r>
  <r>
    <s v="IRM-32830"/>
    <x v="4"/>
    <x v="10"/>
    <s v="Feasibility check and support of Oracle 26ai"/>
    <x v="6"/>
    <n v="21.4"/>
    <x v="0"/>
    <x v="0"/>
  </r>
  <r>
    <s v="IRM-32830"/>
    <x v="4"/>
    <x v="10"/>
    <s v="Feasibility check and support of Oracle 26ai"/>
    <x v="7"/>
    <n v="17.100000000000001"/>
    <x v="0"/>
    <x v="0"/>
  </r>
  <r>
    <s v="IRM-32830"/>
    <x v="4"/>
    <x v="10"/>
    <s v="Feasibility check and support of Oracle 26ai"/>
    <x v="8"/>
    <n v="17.100000000000001"/>
    <x v="0"/>
    <x v="0"/>
  </r>
  <r>
    <s v="IRM-32830"/>
    <x v="4"/>
    <x v="10"/>
    <s v="Feasibility check and support of Oracle 26ai"/>
    <x v="9"/>
    <n v="21.4"/>
    <x v="0"/>
    <x v="0"/>
  </r>
  <r>
    <s v="IRM-32912"/>
    <x v="4"/>
    <x v="5"/>
    <s v="Data Integrity improvements. Error handling in synchronous operations that involve distributed transactions / Registry, Taxpayer"/>
    <x v="0"/>
    <n v="533.29999999999995"/>
    <x v="1"/>
    <x v="3"/>
  </r>
  <r>
    <s v="IRM-32912"/>
    <x v="4"/>
    <x v="5"/>
    <s v="Data Integrity improvements. Error handling in synchronous operations that involve distributed transactions / Registry, Taxpayer"/>
    <x v="1"/>
    <m/>
    <x v="1"/>
    <x v="3"/>
  </r>
  <r>
    <s v="IRM-32912"/>
    <x v="4"/>
    <x v="5"/>
    <s v="Data Integrity improvements. Error handling in synchronous operations that involve distributed transactions / Registry, Taxpayer"/>
    <x v="2"/>
    <m/>
    <x v="1"/>
    <x v="3"/>
  </r>
  <r>
    <s v="IRM-32912"/>
    <x v="4"/>
    <x v="5"/>
    <s v="Data Integrity improvements. Error handling in synchronous operations that involve distributed transactions / Registry, Taxpayer"/>
    <x v="3"/>
    <m/>
    <x v="1"/>
    <x v="3"/>
  </r>
  <r>
    <s v="IRM-32912"/>
    <x v="4"/>
    <x v="5"/>
    <s v="Data Integrity improvements. Error handling in synchronous operations that involve distributed transactions / Registry, Taxpayer"/>
    <x v="4"/>
    <m/>
    <x v="1"/>
    <x v="3"/>
  </r>
  <r>
    <s v="IRM-32912"/>
    <x v="4"/>
    <x v="5"/>
    <s v="Data Integrity improvements. Error handling in synchronous operations that involve distributed transactions / Registry, Taxpayer"/>
    <x v="5"/>
    <n v="106.7"/>
    <x v="1"/>
    <x v="0"/>
  </r>
  <r>
    <s v="IRM-32912"/>
    <x v="4"/>
    <x v="5"/>
    <s v="Data Integrity improvements. Error handling in synchronous operations that involve distributed transactions / Registry, Taxpayer"/>
    <x v="6"/>
    <n v="266.60000000000002"/>
    <x v="1"/>
    <x v="3"/>
  </r>
  <r>
    <s v="IRM-32912"/>
    <x v="4"/>
    <x v="5"/>
    <s v="Data Integrity improvements. Error handling in synchronous operations that involve distributed transactions / Registry, Taxpayer"/>
    <x v="7"/>
    <n v="213.3"/>
    <x v="1"/>
    <x v="3"/>
  </r>
  <r>
    <s v="IRM-32912"/>
    <x v="4"/>
    <x v="5"/>
    <s v="Data Integrity improvements. Error handling in synchronous operations that involve distributed transactions / Registry, Taxpayer"/>
    <x v="8"/>
    <n v="213.3"/>
    <x v="1"/>
    <x v="3"/>
  </r>
  <r>
    <s v="IRM-32912"/>
    <x v="4"/>
    <x v="5"/>
    <s v="Data Integrity improvements. Error handling in synchronous operations that involve distributed transactions / Registry, Taxpayer"/>
    <x v="9"/>
    <n v="266.60000000000002"/>
    <x v="1"/>
    <x v="3"/>
  </r>
  <r>
    <s v="IRM-33100"/>
    <x v="4"/>
    <x v="10"/>
    <s v="Long Description Field Across Configuration Entities"/>
    <x v="0"/>
    <n v="186.7"/>
    <x v="0"/>
    <x v="0"/>
  </r>
  <r>
    <s v="IRM-33100"/>
    <x v="4"/>
    <x v="10"/>
    <s v="Long Description Field Across Configuration Entities"/>
    <x v="1"/>
    <m/>
    <x v="0"/>
    <x v="0"/>
  </r>
  <r>
    <s v="IRM-33100"/>
    <x v="4"/>
    <x v="10"/>
    <s v="Long Description Field Across Configuration Entities"/>
    <x v="2"/>
    <m/>
    <x v="0"/>
    <x v="0"/>
  </r>
  <r>
    <s v="IRM-33100"/>
    <x v="4"/>
    <x v="10"/>
    <s v="Long Description Field Across Configuration Entities"/>
    <x v="3"/>
    <m/>
    <x v="0"/>
    <x v="0"/>
  </r>
  <r>
    <s v="IRM-33100"/>
    <x v="4"/>
    <x v="10"/>
    <s v="Long Description Field Across Configuration Entities"/>
    <x v="4"/>
    <m/>
    <x v="0"/>
    <x v="0"/>
  </r>
  <r>
    <s v="IRM-33100"/>
    <x v="4"/>
    <x v="10"/>
    <s v="Long Description Field Across Configuration Entities"/>
    <x v="5"/>
    <n v="37.299999999999997"/>
    <x v="0"/>
    <x v="1"/>
  </r>
  <r>
    <s v="IRM-33100"/>
    <x v="4"/>
    <x v="10"/>
    <s v="Long Description Field Across Configuration Entities"/>
    <x v="6"/>
    <n v="93.4"/>
    <x v="0"/>
    <x v="0"/>
  </r>
  <r>
    <s v="IRM-33100"/>
    <x v="4"/>
    <x v="10"/>
    <s v="Long Description Field Across Configuration Entities"/>
    <x v="7"/>
    <n v="74.7"/>
    <x v="0"/>
    <x v="0"/>
  </r>
  <r>
    <s v="IRM-33100"/>
    <x v="4"/>
    <x v="10"/>
    <s v="Long Description Field Across Configuration Entities"/>
    <x v="8"/>
    <n v="74.7"/>
    <x v="0"/>
    <x v="0"/>
  </r>
  <r>
    <s v="IRM-33100"/>
    <x v="4"/>
    <x v="10"/>
    <s v="Long Description Field Across Configuration Entities"/>
    <x v="9"/>
    <n v="93.4"/>
    <x v="0"/>
    <x v="0"/>
  </r>
  <r>
    <s v="IRM-33149"/>
    <x v="4"/>
    <x v="19"/>
    <s v="Performance improvements (Current PI27)"/>
    <x v="0"/>
    <n v="160"/>
    <x v="1"/>
    <x v="0"/>
  </r>
  <r>
    <s v="IRM-33149"/>
    <x v="4"/>
    <x v="19"/>
    <s v="Performance improvements (Current PI27)"/>
    <x v="1"/>
    <m/>
    <x v="1"/>
    <x v="0"/>
  </r>
  <r>
    <s v="IRM-33149"/>
    <x v="4"/>
    <x v="19"/>
    <s v="Performance improvements (Current PI27)"/>
    <x v="2"/>
    <m/>
    <x v="1"/>
    <x v="0"/>
  </r>
  <r>
    <s v="IRM-33149"/>
    <x v="4"/>
    <x v="19"/>
    <s v="Performance improvements (Current PI27)"/>
    <x v="3"/>
    <m/>
    <x v="1"/>
    <x v="0"/>
  </r>
  <r>
    <s v="IRM-33149"/>
    <x v="4"/>
    <x v="19"/>
    <s v="Performance improvements (Current PI27)"/>
    <x v="4"/>
    <m/>
    <x v="1"/>
    <x v="0"/>
  </r>
  <r>
    <s v="IRM-33149"/>
    <x v="4"/>
    <x v="19"/>
    <s v="Performance improvements (Current PI27)"/>
    <x v="5"/>
    <n v="32"/>
    <x v="1"/>
    <x v="1"/>
  </r>
  <r>
    <s v="IRM-33149"/>
    <x v="4"/>
    <x v="19"/>
    <s v="Performance improvements (Current PI27)"/>
    <x v="6"/>
    <n v="80"/>
    <x v="1"/>
    <x v="0"/>
  </r>
  <r>
    <s v="IRM-33149"/>
    <x v="4"/>
    <x v="19"/>
    <s v="Performance improvements (Current PI27)"/>
    <x v="7"/>
    <n v="64"/>
    <x v="1"/>
    <x v="0"/>
  </r>
  <r>
    <s v="IRM-33149"/>
    <x v="4"/>
    <x v="19"/>
    <s v="Performance improvements (Current PI27)"/>
    <x v="8"/>
    <n v="64"/>
    <x v="1"/>
    <x v="0"/>
  </r>
  <r>
    <s v="IRM-33149"/>
    <x v="4"/>
    <x v="19"/>
    <s v="Performance improvements (Current PI27)"/>
    <x v="9"/>
    <n v="80"/>
    <x v="1"/>
    <x v="0"/>
  </r>
  <r>
    <s v="IRM-33155"/>
    <x v="4"/>
    <x v="10"/>
    <s v="Improvements / Challenges - Bucket (Current PI27)"/>
    <x v="0"/>
    <n v="266.7"/>
    <x v="1"/>
    <x v="0"/>
  </r>
  <r>
    <s v="IRM-33155"/>
    <x v="4"/>
    <x v="10"/>
    <s v="Improvements / Challenges - Bucket (Current PI27)"/>
    <x v="1"/>
    <m/>
    <x v="1"/>
    <x v="0"/>
  </r>
  <r>
    <s v="IRM-33155"/>
    <x v="4"/>
    <x v="10"/>
    <s v="Improvements / Challenges - Bucket (Current PI27)"/>
    <x v="2"/>
    <m/>
    <x v="1"/>
    <x v="0"/>
  </r>
  <r>
    <s v="IRM-33155"/>
    <x v="4"/>
    <x v="10"/>
    <s v="Improvements / Challenges - Bucket (Current PI27)"/>
    <x v="3"/>
    <m/>
    <x v="1"/>
    <x v="0"/>
  </r>
  <r>
    <s v="IRM-33155"/>
    <x v="4"/>
    <x v="10"/>
    <s v="Improvements / Challenges - Bucket (Current PI27)"/>
    <x v="4"/>
    <m/>
    <x v="1"/>
    <x v="0"/>
  </r>
  <r>
    <s v="IRM-33155"/>
    <x v="4"/>
    <x v="10"/>
    <s v="Improvements / Challenges - Bucket (Current PI27)"/>
    <x v="5"/>
    <n v="53.3"/>
    <x v="1"/>
    <x v="1"/>
  </r>
  <r>
    <s v="IRM-33155"/>
    <x v="4"/>
    <x v="10"/>
    <s v="Improvements / Challenges - Bucket (Current PI27)"/>
    <x v="6"/>
    <n v="133.4"/>
    <x v="1"/>
    <x v="0"/>
  </r>
  <r>
    <s v="IRM-33155"/>
    <x v="4"/>
    <x v="10"/>
    <s v="Improvements / Challenges - Bucket (Current PI27)"/>
    <x v="7"/>
    <n v="106.7"/>
    <x v="1"/>
    <x v="0"/>
  </r>
  <r>
    <s v="IRM-33155"/>
    <x v="4"/>
    <x v="10"/>
    <s v="Improvements / Challenges - Bucket (Current PI27)"/>
    <x v="8"/>
    <n v="106.7"/>
    <x v="1"/>
    <x v="0"/>
  </r>
  <r>
    <s v="IRM-33155"/>
    <x v="4"/>
    <x v="10"/>
    <s v="Improvements / Challenges - Bucket (Current PI27)"/>
    <x v="9"/>
    <n v="133.4"/>
    <x v="1"/>
    <x v="0"/>
  </r>
  <r>
    <s v="IRM-33159"/>
    <x v="4"/>
    <x v="13"/>
    <s v="UI Improvements / Initiatives (Current PI27)"/>
    <x v="0"/>
    <n v="160"/>
    <x v="1"/>
    <x v="0"/>
  </r>
  <r>
    <s v="IRM-33159"/>
    <x v="4"/>
    <x v="13"/>
    <s v="UI Improvements / Initiatives (Current PI27)"/>
    <x v="1"/>
    <m/>
    <x v="1"/>
    <x v="0"/>
  </r>
  <r>
    <s v="IRM-33159"/>
    <x v="4"/>
    <x v="13"/>
    <s v="UI Improvements / Initiatives (Current PI27)"/>
    <x v="2"/>
    <m/>
    <x v="1"/>
    <x v="0"/>
  </r>
  <r>
    <s v="IRM-33159"/>
    <x v="4"/>
    <x v="13"/>
    <s v="UI Improvements / Initiatives (Current PI27)"/>
    <x v="3"/>
    <m/>
    <x v="1"/>
    <x v="0"/>
  </r>
  <r>
    <s v="IRM-33159"/>
    <x v="4"/>
    <x v="13"/>
    <s v="UI Improvements / Initiatives (Current PI27)"/>
    <x v="4"/>
    <m/>
    <x v="1"/>
    <x v="0"/>
  </r>
  <r>
    <s v="IRM-33159"/>
    <x v="4"/>
    <x v="13"/>
    <s v="UI Improvements / Initiatives (Current PI27)"/>
    <x v="5"/>
    <n v="32"/>
    <x v="1"/>
    <x v="1"/>
  </r>
  <r>
    <s v="IRM-33159"/>
    <x v="4"/>
    <x v="13"/>
    <s v="UI Improvements / Initiatives (Current PI27)"/>
    <x v="6"/>
    <n v="80"/>
    <x v="1"/>
    <x v="0"/>
  </r>
  <r>
    <s v="IRM-33159"/>
    <x v="4"/>
    <x v="13"/>
    <s v="UI Improvements / Initiatives (Current PI27)"/>
    <x v="7"/>
    <n v="64"/>
    <x v="1"/>
    <x v="0"/>
  </r>
  <r>
    <s v="IRM-33159"/>
    <x v="4"/>
    <x v="13"/>
    <s v="UI Improvements / Initiatives (Current PI27)"/>
    <x v="8"/>
    <n v="64"/>
    <x v="1"/>
    <x v="0"/>
  </r>
  <r>
    <s v="IRM-33159"/>
    <x v="4"/>
    <x v="13"/>
    <s v="UI Improvements / Initiatives (Current PI27)"/>
    <x v="9"/>
    <n v="80"/>
    <x v="1"/>
    <x v="0"/>
  </r>
  <r>
    <s v="IRM-33364"/>
    <x v="1"/>
    <x v="6"/>
    <s v="Codelists : New Attributes types Ui improvements"/>
    <x v="0"/>
    <n v="160"/>
    <x v="0"/>
    <x v="0"/>
  </r>
  <r>
    <s v="IRM-33364"/>
    <x v="1"/>
    <x v="6"/>
    <s v="Codelists : New Attributes types Ui improvements"/>
    <x v="1"/>
    <m/>
    <x v="0"/>
    <x v="0"/>
  </r>
  <r>
    <s v="IRM-33364"/>
    <x v="1"/>
    <x v="6"/>
    <s v="Codelists : New Attributes types Ui improvements"/>
    <x v="2"/>
    <m/>
    <x v="0"/>
    <x v="0"/>
  </r>
  <r>
    <s v="IRM-33364"/>
    <x v="1"/>
    <x v="6"/>
    <s v="Codelists : New Attributes types Ui improvements"/>
    <x v="3"/>
    <m/>
    <x v="0"/>
    <x v="0"/>
  </r>
  <r>
    <s v="IRM-33364"/>
    <x v="1"/>
    <x v="6"/>
    <s v="Codelists : New Attributes types Ui improvements"/>
    <x v="4"/>
    <m/>
    <x v="0"/>
    <x v="0"/>
  </r>
  <r>
    <s v="IRM-33364"/>
    <x v="1"/>
    <x v="6"/>
    <s v="Codelists : New Attributes types Ui improvements"/>
    <x v="5"/>
    <n v="32"/>
    <x v="0"/>
    <x v="1"/>
  </r>
  <r>
    <s v="IRM-33364"/>
    <x v="1"/>
    <x v="6"/>
    <s v="Codelists : New Attributes types Ui improvements"/>
    <x v="6"/>
    <n v="80"/>
    <x v="0"/>
    <x v="0"/>
  </r>
  <r>
    <s v="IRM-33364"/>
    <x v="1"/>
    <x v="6"/>
    <s v="Codelists : New Attributes types Ui improvements"/>
    <x v="7"/>
    <n v="64"/>
    <x v="0"/>
    <x v="0"/>
  </r>
  <r>
    <s v="IRM-33364"/>
    <x v="1"/>
    <x v="6"/>
    <s v="Codelists : New Attributes types Ui improvements"/>
    <x v="8"/>
    <n v="64"/>
    <x v="0"/>
    <x v="0"/>
  </r>
  <r>
    <s v="IRM-33364"/>
    <x v="1"/>
    <x v="6"/>
    <s v="Codelists : New Attributes types Ui improvements"/>
    <x v="9"/>
    <n v="80"/>
    <x v="0"/>
    <x v="0"/>
  </r>
  <r>
    <s v="IRM-33406"/>
    <x v="4"/>
    <x v="10"/>
    <s v="Integrate Self-Contained Documentation Portal into Solon Tax Deliverable"/>
    <x v="0"/>
    <n v="160"/>
    <x v="1"/>
    <x v="2"/>
  </r>
  <r>
    <s v="IRM-33406"/>
    <x v="4"/>
    <x v="10"/>
    <s v="Integrate Self-Contained Documentation Portal into Solon Tax Deliverable"/>
    <x v="1"/>
    <m/>
    <x v="1"/>
    <x v="2"/>
  </r>
  <r>
    <s v="IRM-33406"/>
    <x v="4"/>
    <x v="10"/>
    <s v="Integrate Self-Contained Documentation Portal into Solon Tax Deliverable"/>
    <x v="2"/>
    <m/>
    <x v="1"/>
    <x v="2"/>
  </r>
  <r>
    <s v="IRM-33406"/>
    <x v="4"/>
    <x v="10"/>
    <s v="Integrate Self-Contained Documentation Portal into Solon Tax Deliverable"/>
    <x v="3"/>
    <m/>
    <x v="1"/>
    <x v="2"/>
  </r>
  <r>
    <s v="IRM-33406"/>
    <x v="4"/>
    <x v="10"/>
    <s v="Integrate Self-Contained Documentation Portal into Solon Tax Deliverable"/>
    <x v="4"/>
    <m/>
    <x v="1"/>
    <x v="2"/>
  </r>
  <r>
    <s v="IRM-33406"/>
    <x v="4"/>
    <x v="10"/>
    <s v="Integrate Self-Contained Documentation Portal into Solon Tax Deliverable"/>
    <x v="5"/>
    <n v="32"/>
    <x v="1"/>
    <x v="3"/>
  </r>
  <r>
    <s v="IRM-33406"/>
    <x v="4"/>
    <x v="10"/>
    <s v="Integrate Self-Contained Documentation Portal into Solon Tax Deliverable"/>
    <x v="6"/>
    <n v="80"/>
    <x v="1"/>
    <x v="2"/>
  </r>
  <r>
    <s v="IRM-33406"/>
    <x v="4"/>
    <x v="10"/>
    <s v="Integrate Self-Contained Documentation Portal into Solon Tax Deliverable"/>
    <x v="7"/>
    <n v="64"/>
    <x v="1"/>
    <x v="2"/>
  </r>
  <r>
    <s v="IRM-33406"/>
    <x v="4"/>
    <x v="10"/>
    <s v="Integrate Self-Contained Documentation Portal into Solon Tax Deliverable"/>
    <x v="8"/>
    <n v="64"/>
    <x v="1"/>
    <x v="2"/>
  </r>
  <r>
    <s v="IRM-33406"/>
    <x v="4"/>
    <x v="10"/>
    <s v="Integrate Self-Contained Documentation Portal into Solon Tax Deliverable"/>
    <x v="9"/>
    <n v="80"/>
    <x v="1"/>
    <x v="2"/>
  </r>
  <r>
    <s v="IRM-33429"/>
    <x v="1"/>
    <x v="20"/>
    <s v="Form rule code, 50 characters"/>
    <x v="0"/>
    <n v="26.7"/>
    <x v="0"/>
    <x v="0"/>
  </r>
  <r>
    <s v="IRM-33429"/>
    <x v="1"/>
    <x v="20"/>
    <s v="Form rule code, 50 characters"/>
    <x v="1"/>
    <m/>
    <x v="0"/>
    <x v="0"/>
  </r>
  <r>
    <s v="IRM-33429"/>
    <x v="1"/>
    <x v="20"/>
    <s v="Form rule code, 50 characters"/>
    <x v="2"/>
    <m/>
    <x v="0"/>
    <x v="0"/>
  </r>
  <r>
    <s v="IRM-33429"/>
    <x v="1"/>
    <x v="20"/>
    <s v="Form rule code, 50 characters"/>
    <x v="3"/>
    <m/>
    <x v="0"/>
    <x v="0"/>
  </r>
  <r>
    <s v="IRM-33429"/>
    <x v="1"/>
    <x v="20"/>
    <s v="Form rule code, 50 characters"/>
    <x v="4"/>
    <m/>
    <x v="0"/>
    <x v="0"/>
  </r>
  <r>
    <s v="IRM-33429"/>
    <x v="1"/>
    <x v="20"/>
    <s v="Form rule code, 50 characters"/>
    <x v="5"/>
    <n v="5.3"/>
    <x v="0"/>
    <x v="1"/>
  </r>
  <r>
    <s v="IRM-33429"/>
    <x v="1"/>
    <x v="20"/>
    <s v="Form rule code, 50 characters"/>
    <x v="6"/>
    <n v="13.4"/>
    <x v="0"/>
    <x v="0"/>
  </r>
  <r>
    <s v="IRM-33429"/>
    <x v="1"/>
    <x v="20"/>
    <s v="Form rule code, 50 characters"/>
    <x v="7"/>
    <n v="10.7"/>
    <x v="0"/>
    <x v="0"/>
  </r>
  <r>
    <s v="IRM-33429"/>
    <x v="1"/>
    <x v="20"/>
    <s v="Form rule code, 50 characters"/>
    <x v="8"/>
    <n v="10.7"/>
    <x v="0"/>
    <x v="0"/>
  </r>
  <r>
    <s v="IRM-33429"/>
    <x v="1"/>
    <x v="20"/>
    <s v="Form rule code, 50 characters"/>
    <x v="9"/>
    <n v="13.4"/>
    <x v="0"/>
    <x v="0"/>
  </r>
  <r>
    <s v="IRM-33448"/>
    <x v="0"/>
    <x v="0"/>
    <s v="Party Identifiers - Related Documents"/>
    <x v="0"/>
    <n v="106.7"/>
    <x v="0"/>
    <x v="0"/>
  </r>
  <r>
    <s v="IRM-33448"/>
    <x v="0"/>
    <x v="0"/>
    <s v="Party Identifiers - Related Documents"/>
    <x v="1"/>
    <m/>
    <x v="0"/>
    <x v="0"/>
  </r>
  <r>
    <s v="IRM-33448"/>
    <x v="0"/>
    <x v="0"/>
    <s v="Party Identifiers - Related Documents"/>
    <x v="2"/>
    <m/>
    <x v="0"/>
    <x v="0"/>
  </r>
  <r>
    <s v="IRM-33448"/>
    <x v="0"/>
    <x v="0"/>
    <s v="Party Identifiers - Related Documents"/>
    <x v="3"/>
    <m/>
    <x v="0"/>
    <x v="0"/>
  </r>
  <r>
    <s v="IRM-33448"/>
    <x v="0"/>
    <x v="0"/>
    <s v="Party Identifiers - Related Documents"/>
    <x v="4"/>
    <m/>
    <x v="0"/>
    <x v="0"/>
  </r>
  <r>
    <s v="IRM-33448"/>
    <x v="0"/>
    <x v="0"/>
    <s v="Party Identifiers - Related Documents"/>
    <x v="5"/>
    <n v="21.3"/>
    <x v="0"/>
    <x v="1"/>
  </r>
  <r>
    <s v="IRM-33448"/>
    <x v="0"/>
    <x v="0"/>
    <s v="Party Identifiers - Related Documents"/>
    <x v="6"/>
    <n v="53.4"/>
    <x v="0"/>
    <x v="0"/>
  </r>
  <r>
    <s v="IRM-33448"/>
    <x v="0"/>
    <x v="0"/>
    <s v="Party Identifiers - Related Documents"/>
    <x v="7"/>
    <n v="42.7"/>
    <x v="0"/>
    <x v="0"/>
  </r>
  <r>
    <s v="IRM-33448"/>
    <x v="0"/>
    <x v="0"/>
    <s v="Party Identifiers - Related Documents"/>
    <x v="8"/>
    <n v="42.7"/>
    <x v="0"/>
    <x v="0"/>
  </r>
  <r>
    <s v="IRM-33448"/>
    <x v="0"/>
    <x v="0"/>
    <s v="Party Identifiers - Related Documents"/>
    <x v="9"/>
    <n v="53.4"/>
    <x v="0"/>
    <x v="0"/>
  </r>
  <r>
    <s v="IRM-33531"/>
    <x v="4"/>
    <x v="10"/>
    <s v="Support Oracle 26ai"/>
    <x v="0"/>
    <n v="53.3"/>
    <x v="0"/>
    <x v="0"/>
  </r>
  <r>
    <s v="IRM-33531"/>
    <x v="4"/>
    <x v="10"/>
    <s v="Support Oracle 26ai"/>
    <x v="1"/>
    <m/>
    <x v="0"/>
    <x v="0"/>
  </r>
  <r>
    <s v="IRM-33531"/>
    <x v="4"/>
    <x v="10"/>
    <s v="Support Oracle 26ai"/>
    <x v="2"/>
    <m/>
    <x v="0"/>
    <x v="0"/>
  </r>
  <r>
    <s v="IRM-33531"/>
    <x v="4"/>
    <x v="10"/>
    <s v="Support Oracle 26ai"/>
    <x v="3"/>
    <m/>
    <x v="0"/>
    <x v="0"/>
  </r>
  <r>
    <s v="IRM-33531"/>
    <x v="4"/>
    <x v="10"/>
    <s v="Support Oracle 26ai"/>
    <x v="4"/>
    <m/>
    <x v="0"/>
    <x v="0"/>
  </r>
  <r>
    <s v="IRM-33531"/>
    <x v="4"/>
    <x v="10"/>
    <s v="Support Oracle 26ai"/>
    <x v="5"/>
    <n v="10.7"/>
    <x v="0"/>
    <x v="1"/>
  </r>
  <r>
    <s v="IRM-33531"/>
    <x v="4"/>
    <x v="10"/>
    <s v="Support Oracle 26ai"/>
    <x v="6"/>
    <n v="26.6"/>
    <x v="0"/>
    <x v="0"/>
  </r>
  <r>
    <s v="IRM-33531"/>
    <x v="4"/>
    <x v="10"/>
    <s v="Support Oracle 26ai"/>
    <x v="7"/>
    <n v="21.3"/>
    <x v="0"/>
    <x v="0"/>
  </r>
  <r>
    <s v="IRM-33531"/>
    <x v="4"/>
    <x v="10"/>
    <s v="Support Oracle 26ai"/>
    <x v="8"/>
    <n v="21.3"/>
    <x v="0"/>
    <x v="0"/>
  </r>
  <r>
    <s v="IRM-33531"/>
    <x v="4"/>
    <x v="10"/>
    <s v="Support Oracle 26ai"/>
    <x v="9"/>
    <n v="26.6"/>
    <x v="0"/>
    <x v="0"/>
  </r>
  <r>
    <s v="IRM-33555"/>
    <x v="4"/>
    <x v="10"/>
    <s v="Technology Management - Upgrade SOLON Tax Spring Boot Version to 4.x.x"/>
    <x v="0"/>
    <n v="42.7"/>
    <x v="1"/>
    <x v="0"/>
  </r>
  <r>
    <s v="IRM-33555"/>
    <x v="4"/>
    <x v="10"/>
    <s v="Technology Management - Upgrade SOLON Tax Spring Boot Version to 4.x.x"/>
    <x v="1"/>
    <m/>
    <x v="1"/>
    <x v="0"/>
  </r>
  <r>
    <s v="IRM-33555"/>
    <x v="4"/>
    <x v="10"/>
    <s v="Technology Management - Upgrade SOLON Tax Spring Boot Version to 4.x.x"/>
    <x v="2"/>
    <m/>
    <x v="1"/>
    <x v="0"/>
  </r>
  <r>
    <s v="IRM-33555"/>
    <x v="4"/>
    <x v="10"/>
    <s v="Technology Management - Upgrade SOLON Tax Spring Boot Version to 4.x.x"/>
    <x v="3"/>
    <m/>
    <x v="1"/>
    <x v="0"/>
  </r>
  <r>
    <s v="IRM-33555"/>
    <x v="4"/>
    <x v="10"/>
    <s v="Technology Management - Upgrade SOLON Tax Spring Boot Version to 4.x.x"/>
    <x v="4"/>
    <m/>
    <x v="1"/>
    <x v="0"/>
  </r>
  <r>
    <s v="IRM-33555"/>
    <x v="4"/>
    <x v="10"/>
    <s v="Technology Management - Upgrade SOLON Tax Spring Boot Version to 4.x.x"/>
    <x v="5"/>
    <n v="8.5"/>
    <x v="1"/>
    <x v="1"/>
  </r>
  <r>
    <s v="IRM-33555"/>
    <x v="4"/>
    <x v="10"/>
    <s v="Technology Management - Upgrade SOLON Tax Spring Boot Version to 4.x.x"/>
    <x v="6"/>
    <n v="21.4"/>
    <x v="1"/>
    <x v="0"/>
  </r>
  <r>
    <s v="IRM-33555"/>
    <x v="4"/>
    <x v="10"/>
    <s v="Technology Management - Upgrade SOLON Tax Spring Boot Version to 4.x.x"/>
    <x v="7"/>
    <n v="17.100000000000001"/>
    <x v="1"/>
    <x v="0"/>
  </r>
  <r>
    <s v="IRM-33555"/>
    <x v="4"/>
    <x v="10"/>
    <s v="Technology Management - Upgrade SOLON Tax Spring Boot Version to 4.x.x"/>
    <x v="8"/>
    <n v="17.100000000000001"/>
    <x v="1"/>
    <x v="0"/>
  </r>
  <r>
    <s v="IRM-33555"/>
    <x v="4"/>
    <x v="10"/>
    <s v="Technology Management - Upgrade SOLON Tax Spring Boot Version to 4.x.x"/>
    <x v="9"/>
    <n v="21.4"/>
    <x v="1"/>
    <x v="0"/>
  </r>
  <r>
    <s v="IRM-33637"/>
    <x v="4"/>
    <x v="10"/>
    <s v="Extend Length in Comment Fields Across Entities"/>
    <x v="0"/>
    <n v="69.3"/>
    <x v="1"/>
    <x v="2"/>
  </r>
  <r>
    <s v="IRM-33637"/>
    <x v="4"/>
    <x v="10"/>
    <s v="Extend Length in Comment Fields Across Entities"/>
    <x v="1"/>
    <m/>
    <x v="1"/>
    <x v="2"/>
  </r>
  <r>
    <s v="IRM-33637"/>
    <x v="4"/>
    <x v="10"/>
    <s v="Extend Length in Comment Fields Across Entities"/>
    <x v="2"/>
    <m/>
    <x v="1"/>
    <x v="2"/>
  </r>
  <r>
    <s v="IRM-33637"/>
    <x v="4"/>
    <x v="10"/>
    <s v="Extend Length in Comment Fields Across Entities"/>
    <x v="3"/>
    <m/>
    <x v="1"/>
    <x v="2"/>
  </r>
  <r>
    <s v="IRM-33637"/>
    <x v="4"/>
    <x v="10"/>
    <s v="Extend Length in Comment Fields Across Entities"/>
    <x v="4"/>
    <m/>
    <x v="1"/>
    <x v="2"/>
  </r>
  <r>
    <s v="IRM-33637"/>
    <x v="4"/>
    <x v="10"/>
    <s v="Extend Length in Comment Fields Across Entities"/>
    <x v="5"/>
    <n v="13.9"/>
    <x v="1"/>
    <x v="3"/>
  </r>
  <r>
    <s v="IRM-33637"/>
    <x v="4"/>
    <x v="10"/>
    <s v="Extend Length in Comment Fields Across Entities"/>
    <x v="6"/>
    <n v="34.6"/>
    <x v="1"/>
    <x v="2"/>
  </r>
  <r>
    <s v="IRM-33637"/>
    <x v="4"/>
    <x v="10"/>
    <s v="Extend Length in Comment Fields Across Entities"/>
    <x v="7"/>
    <n v="27.7"/>
    <x v="1"/>
    <x v="2"/>
  </r>
  <r>
    <s v="IRM-33637"/>
    <x v="4"/>
    <x v="10"/>
    <s v="Extend Length in Comment Fields Across Entities"/>
    <x v="8"/>
    <n v="27.7"/>
    <x v="1"/>
    <x v="2"/>
  </r>
  <r>
    <s v="IRM-33637"/>
    <x v="4"/>
    <x v="10"/>
    <s v="Extend Length in Comment Fields Across Entities"/>
    <x v="9"/>
    <n v="34.6"/>
    <x v="1"/>
    <x v="2"/>
  </r>
  <r>
    <s v="IRM-33642"/>
    <x v="1"/>
    <x v="11"/>
    <s v="Change EmailContactSender parameters"/>
    <x v="0"/>
    <n v="2.7"/>
    <x v="0"/>
    <x v="0"/>
  </r>
  <r>
    <s v="IRM-33642"/>
    <x v="1"/>
    <x v="11"/>
    <s v="Change EmailContactSender parameters"/>
    <x v="1"/>
    <m/>
    <x v="0"/>
    <x v="0"/>
  </r>
  <r>
    <s v="IRM-33642"/>
    <x v="1"/>
    <x v="11"/>
    <s v="Change EmailContactSender parameters"/>
    <x v="2"/>
    <m/>
    <x v="0"/>
    <x v="0"/>
  </r>
  <r>
    <s v="IRM-33642"/>
    <x v="1"/>
    <x v="11"/>
    <s v="Change EmailContactSender parameters"/>
    <x v="3"/>
    <m/>
    <x v="0"/>
    <x v="0"/>
  </r>
  <r>
    <s v="IRM-33642"/>
    <x v="1"/>
    <x v="11"/>
    <s v="Change EmailContactSender parameters"/>
    <x v="4"/>
    <m/>
    <x v="0"/>
    <x v="0"/>
  </r>
  <r>
    <s v="IRM-33642"/>
    <x v="1"/>
    <x v="11"/>
    <s v="Change EmailContactSender parameters"/>
    <x v="5"/>
    <n v="0.5"/>
    <x v="0"/>
    <x v="1"/>
  </r>
  <r>
    <s v="IRM-33642"/>
    <x v="1"/>
    <x v="11"/>
    <s v="Change EmailContactSender parameters"/>
    <x v="6"/>
    <n v="1.4"/>
    <x v="0"/>
    <x v="0"/>
  </r>
  <r>
    <s v="IRM-33642"/>
    <x v="1"/>
    <x v="11"/>
    <s v="Change EmailContactSender parameters"/>
    <x v="7"/>
    <n v="1.1000000000000001"/>
    <x v="0"/>
    <x v="0"/>
  </r>
  <r>
    <s v="IRM-33642"/>
    <x v="1"/>
    <x v="11"/>
    <s v="Change EmailContactSender parameters"/>
    <x v="8"/>
    <n v="1.1000000000000001"/>
    <x v="0"/>
    <x v="0"/>
  </r>
  <r>
    <s v="IRM-33642"/>
    <x v="1"/>
    <x v="11"/>
    <s v="Change EmailContactSender parameters"/>
    <x v="9"/>
    <n v="1.4"/>
    <x v="0"/>
    <x v="0"/>
  </r>
  <r>
    <s v="IRM-34159"/>
    <x v="6"/>
    <x v="24"/>
    <s v="SS Enhancements - Contacts, Operational Reports"/>
    <x v="0"/>
    <n v="320"/>
    <x v="1"/>
    <x v="2"/>
  </r>
  <r>
    <s v="IRM-34159"/>
    <x v="6"/>
    <x v="24"/>
    <s v="SS Enhancements - Contacts, Operational Reports"/>
    <x v="1"/>
    <m/>
    <x v="1"/>
    <x v="2"/>
  </r>
  <r>
    <s v="IRM-34159"/>
    <x v="6"/>
    <x v="24"/>
    <s v="SS Enhancements - Contacts, Operational Reports"/>
    <x v="2"/>
    <m/>
    <x v="1"/>
    <x v="2"/>
  </r>
  <r>
    <s v="IRM-34159"/>
    <x v="6"/>
    <x v="24"/>
    <s v="SS Enhancements - Contacts, Operational Reports"/>
    <x v="3"/>
    <m/>
    <x v="1"/>
    <x v="2"/>
  </r>
  <r>
    <s v="IRM-34159"/>
    <x v="6"/>
    <x v="24"/>
    <s v="SS Enhancements - Contacts, Operational Reports"/>
    <x v="4"/>
    <m/>
    <x v="1"/>
    <x v="2"/>
  </r>
  <r>
    <s v="IRM-34159"/>
    <x v="6"/>
    <x v="24"/>
    <s v="SS Enhancements - Contacts, Operational Reports"/>
    <x v="5"/>
    <n v="64"/>
    <x v="1"/>
    <x v="3"/>
  </r>
  <r>
    <s v="IRM-34159"/>
    <x v="6"/>
    <x v="24"/>
    <s v="SS Enhancements - Contacts, Operational Reports"/>
    <x v="6"/>
    <n v="160"/>
    <x v="1"/>
    <x v="2"/>
  </r>
  <r>
    <s v="IRM-34159"/>
    <x v="6"/>
    <x v="24"/>
    <s v="SS Enhancements - Contacts, Operational Reports"/>
    <x v="7"/>
    <n v="128"/>
    <x v="1"/>
    <x v="2"/>
  </r>
  <r>
    <s v="IRM-34159"/>
    <x v="6"/>
    <x v="24"/>
    <s v="SS Enhancements - Contacts, Operational Reports"/>
    <x v="8"/>
    <n v="128"/>
    <x v="1"/>
    <x v="2"/>
  </r>
  <r>
    <s v="IRM-34159"/>
    <x v="6"/>
    <x v="24"/>
    <s v="SS Enhancements - Contacts, Operational Reports"/>
    <x v="9"/>
    <n v="160"/>
    <x v="1"/>
    <x v="2"/>
  </r>
  <r>
    <s v="IRM-34169"/>
    <x v="4"/>
    <x v="19"/>
    <s v="System Performance Enhancements for GR project / P1"/>
    <x v="0"/>
    <n v="34.700000000000003"/>
    <x v="0"/>
    <x v="0"/>
  </r>
  <r>
    <s v="IRM-34169"/>
    <x v="4"/>
    <x v="19"/>
    <s v="System Performance Enhancements for GR project / P1"/>
    <x v="1"/>
    <m/>
    <x v="0"/>
    <x v="0"/>
  </r>
  <r>
    <s v="IRM-34169"/>
    <x v="4"/>
    <x v="19"/>
    <s v="System Performance Enhancements for GR project / P1"/>
    <x v="2"/>
    <m/>
    <x v="0"/>
    <x v="0"/>
  </r>
  <r>
    <s v="IRM-34169"/>
    <x v="4"/>
    <x v="19"/>
    <s v="System Performance Enhancements for GR project / P1"/>
    <x v="3"/>
    <m/>
    <x v="0"/>
    <x v="0"/>
  </r>
  <r>
    <s v="IRM-34169"/>
    <x v="4"/>
    <x v="19"/>
    <s v="System Performance Enhancements for GR project / P1"/>
    <x v="4"/>
    <m/>
    <x v="0"/>
    <x v="0"/>
  </r>
  <r>
    <s v="IRM-34169"/>
    <x v="4"/>
    <x v="19"/>
    <s v="System Performance Enhancements for GR project / P1"/>
    <x v="5"/>
    <n v="6.9"/>
    <x v="0"/>
    <x v="1"/>
  </r>
  <r>
    <s v="IRM-34169"/>
    <x v="4"/>
    <x v="19"/>
    <s v="System Performance Enhancements for GR project / P1"/>
    <x v="6"/>
    <n v="17.399999999999999"/>
    <x v="0"/>
    <x v="0"/>
  </r>
  <r>
    <s v="IRM-34169"/>
    <x v="4"/>
    <x v="19"/>
    <s v="System Performance Enhancements for GR project / P1"/>
    <x v="7"/>
    <n v="13.9"/>
    <x v="0"/>
    <x v="0"/>
  </r>
  <r>
    <s v="IRM-34169"/>
    <x v="4"/>
    <x v="19"/>
    <s v="System Performance Enhancements for GR project / P1"/>
    <x v="8"/>
    <n v="13.9"/>
    <x v="0"/>
    <x v="0"/>
  </r>
  <r>
    <s v="IRM-34169"/>
    <x v="4"/>
    <x v="19"/>
    <s v="System Performance Enhancements for GR project / P1"/>
    <x v="9"/>
    <n v="17.399999999999999"/>
    <x v="0"/>
    <x v="0"/>
  </r>
  <r>
    <s v="IRM-34224"/>
    <x v="4"/>
    <x v="8"/>
    <s v="SS Enhancements - Authorization Support"/>
    <x v="0"/>
    <n v="320"/>
    <x v="0"/>
    <x v="0"/>
  </r>
  <r>
    <s v="IRM-34224"/>
    <x v="4"/>
    <x v="8"/>
    <s v="SS Enhancements - Authorization Support"/>
    <x v="1"/>
    <m/>
    <x v="0"/>
    <x v="0"/>
  </r>
  <r>
    <s v="IRM-34224"/>
    <x v="4"/>
    <x v="8"/>
    <s v="SS Enhancements - Authorization Support"/>
    <x v="2"/>
    <m/>
    <x v="0"/>
    <x v="0"/>
  </r>
  <r>
    <s v="IRM-34224"/>
    <x v="4"/>
    <x v="8"/>
    <s v="SS Enhancements - Authorization Support"/>
    <x v="3"/>
    <m/>
    <x v="0"/>
    <x v="0"/>
  </r>
  <r>
    <s v="IRM-34224"/>
    <x v="4"/>
    <x v="8"/>
    <s v="SS Enhancements - Authorization Support"/>
    <x v="4"/>
    <m/>
    <x v="0"/>
    <x v="0"/>
  </r>
  <r>
    <s v="IRM-34224"/>
    <x v="4"/>
    <x v="8"/>
    <s v="SS Enhancements - Authorization Support"/>
    <x v="5"/>
    <n v="64"/>
    <x v="0"/>
    <x v="1"/>
  </r>
  <r>
    <s v="IRM-34224"/>
    <x v="4"/>
    <x v="8"/>
    <s v="SS Enhancements - Authorization Support"/>
    <x v="6"/>
    <n v="160"/>
    <x v="0"/>
    <x v="0"/>
  </r>
  <r>
    <s v="IRM-34224"/>
    <x v="4"/>
    <x v="8"/>
    <s v="SS Enhancements - Authorization Support"/>
    <x v="7"/>
    <n v="128"/>
    <x v="0"/>
    <x v="0"/>
  </r>
  <r>
    <s v="IRM-34224"/>
    <x v="4"/>
    <x v="8"/>
    <s v="SS Enhancements - Authorization Support"/>
    <x v="8"/>
    <n v="128"/>
    <x v="0"/>
    <x v="0"/>
  </r>
  <r>
    <s v="IRM-34224"/>
    <x v="4"/>
    <x v="8"/>
    <s v="SS Enhancements - Authorization Support"/>
    <x v="9"/>
    <n v="160"/>
    <x v="0"/>
    <x v="0"/>
  </r>
  <r>
    <s v="IRM-34509"/>
    <x v="4"/>
    <x v="10"/>
    <s v="Decommission Camunda 8 support from Solon Tax"/>
    <x v="0"/>
    <n v="26.7"/>
    <x v="1"/>
    <x v="0"/>
  </r>
  <r>
    <s v="IRM-34509"/>
    <x v="4"/>
    <x v="10"/>
    <s v="Decommission Camunda 8 support from Solon Tax"/>
    <x v="1"/>
    <m/>
    <x v="1"/>
    <x v="0"/>
  </r>
  <r>
    <s v="IRM-34509"/>
    <x v="4"/>
    <x v="10"/>
    <s v="Decommission Camunda 8 support from Solon Tax"/>
    <x v="2"/>
    <m/>
    <x v="1"/>
    <x v="0"/>
  </r>
  <r>
    <s v="IRM-34509"/>
    <x v="4"/>
    <x v="10"/>
    <s v="Decommission Camunda 8 support from Solon Tax"/>
    <x v="3"/>
    <m/>
    <x v="1"/>
    <x v="0"/>
  </r>
  <r>
    <s v="IRM-34509"/>
    <x v="4"/>
    <x v="10"/>
    <s v="Decommission Camunda 8 support from Solon Tax"/>
    <x v="4"/>
    <m/>
    <x v="1"/>
    <x v="0"/>
  </r>
  <r>
    <s v="IRM-34509"/>
    <x v="4"/>
    <x v="10"/>
    <s v="Decommission Camunda 8 support from Solon Tax"/>
    <x v="5"/>
    <n v="5.3"/>
    <x v="1"/>
    <x v="1"/>
  </r>
  <r>
    <s v="IRM-34509"/>
    <x v="4"/>
    <x v="10"/>
    <s v="Decommission Camunda 8 support from Solon Tax"/>
    <x v="6"/>
    <n v="13.4"/>
    <x v="1"/>
    <x v="0"/>
  </r>
  <r>
    <s v="IRM-34509"/>
    <x v="4"/>
    <x v="10"/>
    <s v="Decommission Camunda 8 support from Solon Tax"/>
    <x v="7"/>
    <n v="10.7"/>
    <x v="1"/>
    <x v="0"/>
  </r>
  <r>
    <s v="IRM-34509"/>
    <x v="4"/>
    <x v="10"/>
    <s v="Decommission Camunda 8 support from Solon Tax"/>
    <x v="8"/>
    <n v="10.7"/>
    <x v="1"/>
    <x v="0"/>
  </r>
  <r>
    <s v="IRM-34509"/>
    <x v="4"/>
    <x v="10"/>
    <s v="Decommission Camunda 8 support from Solon Tax"/>
    <x v="9"/>
    <n v="13.4"/>
    <x v="1"/>
    <x v="0"/>
  </r>
  <r>
    <s v="IRM-34521"/>
    <x v="4"/>
    <x v="19"/>
    <s v="Enrich performance suite ( Part 2 )"/>
    <x v="0"/>
    <n v="213.3"/>
    <x v="1"/>
    <x v="0"/>
  </r>
  <r>
    <s v="IRM-34521"/>
    <x v="4"/>
    <x v="19"/>
    <s v="Enrich performance suite ( Part 2 )"/>
    <x v="1"/>
    <m/>
    <x v="1"/>
    <x v="0"/>
  </r>
  <r>
    <s v="IRM-34521"/>
    <x v="4"/>
    <x v="19"/>
    <s v="Enrich performance suite ( Part 2 )"/>
    <x v="2"/>
    <m/>
    <x v="1"/>
    <x v="0"/>
  </r>
  <r>
    <s v="IRM-34521"/>
    <x v="4"/>
    <x v="19"/>
    <s v="Enrich performance suite ( Part 2 )"/>
    <x v="3"/>
    <m/>
    <x v="1"/>
    <x v="0"/>
  </r>
  <r>
    <s v="IRM-34521"/>
    <x v="4"/>
    <x v="19"/>
    <s v="Enrich performance suite ( Part 2 )"/>
    <x v="4"/>
    <m/>
    <x v="1"/>
    <x v="0"/>
  </r>
  <r>
    <s v="IRM-34521"/>
    <x v="4"/>
    <x v="19"/>
    <s v="Enrich performance suite ( Part 2 )"/>
    <x v="5"/>
    <n v="42.7"/>
    <x v="1"/>
    <x v="1"/>
  </r>
  <r>
    <s v="IRM-34521"/>
    <x v="4"/>
    <x v="19"/>
    <s v="Enrich performance suite ( Part 2 )"/>
    <x v="6"/>
    <n v="106.6"/>
    <x v="1"/>
    <x v="0"/>
  </r>
  <r>
    <s v="IRM-34521"/>
    <x v="4"/>
    <x v="19"/>
    <s v="Enrich performance suite ( Part 2 )"/>
    <x v="7"/>
    <n v="85.3"/>
    <x v="1"/>
    <x v="0"/>
  </r>
  <r>
    <s v="IRM-34521"/>
    <x v="4"/>
    <x v="19"/>
    <s v="Enrich performance suite ( Part 2 )"/>
    <x v="8"/>
    <n v="85.3"/>
    <x v="1"/>
    <x v="0"/>
  </r>
  <r>
    <s v="IRM-34521"/>
    <x v="4"/>
    <x v="19"/>
    <s v="Enrich performance suite ( Part 2 )"/>
    <x v="9"/>
    <n v="106.6"/>
    <x v="1"/>
    <x v="0"/>
  </r>
  <r>
    <s v="IRM-34522"/>
    <x v="0"/>
    <x v="0"/>
    <s v="Support longer strings in Name Elements and the new name standard elements  RM/SS"/>
    <x v="0"/>
    <n v="58.7"/>
    <x v="0"/>
    <x v="0"/>
  </r>
  <r>
    <s v="IRM-34522"/>
    <x v="0"/>
    <x v="0"/>
    <s v="Support longer strings in Name Elements and the new name standard elements  RM/SS"/>
    <x v="1"/>
    <m/>
    <x v="0"/>
    <x v="0"/>
  </r>
  <r>
    <s v="IRM-34522"/>
    <x v="0"/>
    <x v="0"/>
    <s v="Support longer strings in Name Elements and the new name standard elements  RM/SS"/>
    <x v="2"/>
    <m/>
    <x v="0"/>
    <x v="0"/>
  </r>
  <r>
    <s v="IRM-34522"/>
    <x v="0"/>
    <x v="0"/>
    <s v="Support longer strings in Name Elements and the new name standard elements  RM/SS"/>
    <x v="3"/>
    <m/>
    <x v="0"/>
    <x v="0"/>
  </r>
  <r>
    <s v="IRM-34522"/>
    <x v="0"/>
    <x v="0"/>
    <s v="Support longer strings in Name Elements and the new name standard elements  RM/SS"/>
    <x v="4"/>
    <m/>
    <x v="0"/>
    <x v="0"/>
  </r>
  <r>
    <s v="IRM-34522"/>
    <x v="0"/>
    <x v="0"/>
    <s v="Support longer strings in Name Elements and the new name standard elements  RM/SS"/>
    <x v="5"/>
    <n v="11.7"/>
    <x v="0"/>
    <x v="1"/>
  </r>
  <r>
    <s v="IRM-34522"/>
    <x v="0"/>
    <x v="0"/>
    <s v="Support longer strings in Name Elements and the new name standard elements  RM/SS"/>
    <x v="6"/>
    <n v="29.4"/>
    <x v="0"/>
    <x v="0"/>
  </r>
  <r>
    <s v="IRM-34522"/>
    <x v="0"/>
    <x v="0"/>
    <s v="Support longer strings in Name Elements and the new name standard elements  RM/SS"/>
    <x v="7"/>
    <n v="23.5"/>
    <x v="0"/>
    <x v="0"/>
  </r>
  <r>
    <s v="IRM-34522"/>
    <x v="0"/>
    <x v="0"/>
    <s v="Support longer strings in Name Elements and the new name standard elements  RM/SS"/>
    <x v="8"/>
    <n v="23.5"/>
    <x v="0"/>
    <x v="0"/>
  </r>
  <r>
    <s v="IRM-34522"/>
    <x v="0"/>
    <x v="0"/>
    <s v="Support longer strings in Name Elements and the new name standard elements  RM/SS"/>
    <x v="9"/>
    <n v="29.4"/>
    <x v="0"/>
    <x v="0"/>
  </r>
  <r>
    <s v="IRM-34562"/>
    <x v="1"/>
    <x v="20"/>
    <s v="Make filingObligationAction.id Optional in POST /self-service-forms Endpoint"/>
    <x v="0"/>
    <n v="10.7"/>
    <x v="0"/>
    <x v="0"/>
  </r>
  <r>
    <s v="IRM-34562"/>
    <x v="1"/>
    <x v="20"/>
    <s v="Make filingObligationAction.id Optional in POST /self-service-forms Endpoint"/>
    <x v="1"/>
    <m/>
    <x v="0"/>
    <x v="0"/>
  </r>
  <r>
    <s v="IRM-34562"/>
    <x v="1"/>
    <x v="20"/>
    <s v="Make filingObligationAction.id Optional in POST /self-service-forms Endpoint"/>
    <x v="2"/>
    <m/>
    <x v="0"/>
    <x v="0"/>
  </r>
  <r>
    <s v="IRM-34562"/>
    <x v="1"/>
    <x v="20"/>
    <s v="Make filingObligationAction.id Optional in POST /self-service-forms Endpoint"/>
    <x v="3"/>
    <m/>
    <x v="0"/>
    <x v="0"/>
  </r>
  <r>
    <s v="IRM-34562"/>
    <x v="1"/>
    <x v="20"/>
    <s v="Make filingObligationAction.id Optional in POST /self-service-forms Endpoint"/>
    <x v="4"/>
    <m/>
    <x v="0"/>
    <x v="0"/>
  </r>
  <r>
    <s v="IRM-34562"/>
    <x v="1"/>
    <x v="20"/>
    <s v="Make filingObligationAction.id Optional in POST /self-service-forms Endpoint"/>
    <x v="5"/>
    <n v="2.1"/>
    <x v="0"/>
    <x v="1"/>
  </r>
  <r>
    <s v="IRM-34562"/>
    <x v="1"/>
    <x v="20"/>
    <s v="Make filingObligationAction.id Optional in POST /self-service-forms Endpoint"/>
    <x v="6"/>
    <n v="5.4"/>
    <x v="0"/>
    <x v="0"/>
  </r>
  <r>
    <s v="IRM-34562"/>
    <x v="1"/>
    <x v="20"/>
    <s v="Make filingObligationAction.id Optional in POST /self-service-forms Endpoint"/>
    <x v="7"/>
    <n v="4.3"/>
    <x v="0"/>
    <x v="0"/>
  </r>
  <r>
    <s v="IRM-34562"/>
    <x v="1"/>
    <x v="20"/>
    <s v="Make filingObligationAction.id Optional in POST /self-service-forms Endpoint"/>
    <x v="8"/>
    <n v="4.3"/>
    <x v="0"/>
    <x v="0"/>
  </r>
  <r>
    <s v="IRM-34562"/>
    <x v="1"/>
    <x v="20"/>
    <s v="Make filingObligationAction.id Optional in POST /self-service-forms Endpoint"/>
    <x v="9"/>
    <n v="5.4"/>
    <x v="0"/>
    <x v="0"/>
  </r>
  <r>
    <s v="IRM-34563"/>
    <x v="1"/>
    <x v="20"/>
    <s v="Make filingObligationAction optional on forms/operate endpoint"/>
    <x v="0"/>
    <n v="10.7"/>
    <x v="0"/>
    <x v="0"/>
  </r>
  <r>
    <s v="IRM-34563"/>
    <x v="1"/>
    <x v="20"/>
    <s v="Make filingObligationAction optional on forms/operate endpoint"/>
    <x v="1"/>
    <m/>
    <x v="0"/>
    <x v="0"/>
  </r>
  <r>
    <s v="IRM-34563"/>
    <x v="1"/>
    <x v="20"/>
    <s v="Make filingObligationAction optional on forms/operate endpoint"/>
    <x v="2"/>
    <m/>
    <x v="0"/>
    <x v="0"/>
  </r>
  <r>
    <s v="IRM-34563"/>
    <x v="1"/>
    <x v="20"/>
    <s v="Make filingObligationAction optional on forms/operate endpoint"/>
    <x v="3"/>
    <m/>
    <x v="0"/>
    <x v="0"/>
  </r>
  <r>
    <s v="IRM-34563"/>
    <x v="1"/>
    <x v="20"/>
    <s v="Make filingObligationAction optional on forms/operate endpoint"/>
    <x v="4"/>
    <m/>
    <x v="0"/>
    <x v="0"/>
  </r>
  <r>
    <s v="IRM-34563"/>
    <x v="1"/>
    <x v="20"/>
    <s v="Make filingObligationAction optional on forms/operate endpoint"/>
    <x v="5"/>
    <n v="2.1"/>
    <x v="0"/>
    <x v="1"/>
  </r>
  <r>
    <s v="IRM-34563"/>
    <x v="1"/>
    <x v="20"/>
    <s v="Make filingObligationAction optional on forms/operate endpoint"/>
    <x v="6"/>
    <n v="5.4"/>
    <x v="0"/>
    <x v="0"/>
  </r>
  <r>
    <s v="IRM-34563"/>
    <x v="1"/>
    <x v="20"/>
    <s v="Make filingObligationAction optional on forms/operate endpoint"/>
    <x v="7"/>
    <n v="4.3"/>
    <x v="0"/>
    <x v="0"/>
  </r>
  <r>
    <s v="IRM-34563"/>
    <x v="1"/>
    <x v="20"/>
    <s v="Make filingObligationAction optional on forms/operate endpoint"/>
    <x v="8"/>
    <n v="4.3"/>
    <x v="0"/>
    <x v="0"/>
  </r>
  <r>
    <s v="IRM-34563"/>
    <x v="1"/>
    <x v="20"/>
    <s v="Make filingObligationAction optional on forms/operate endpoint"/>
    <x v="9"/>
    <n v="5.4"/>
    <x v="0"/>
    <x v="0"/>
  </r>
  <r>
    <s v="IRM-34598"/>
    <x v="1"/>
    <x v="12"/>
    <s v="Digital Signatures - Validate signatures in attachments RM &amp; SS/ Reference Implementation"/>
    <x v="0"/>
    <n v="266.7"/>
    <x v="0"/>
    <x v="3"/>
  </r>
  <r>
    <s v="IRM-34598"/>
    <x v="1"/>
    <x v="12"/>
    <s v="Digital Signatures - Validate signatures in attachments RM &amp; SS/ Reference Implementation"/>
    <x v="1"/>
    <m/>
    <x v="0"/>
    <x v="3"/>
  </r>
  <r>
    <s v="IRM-34598"/>
    <x v="1"/>
    <x v="12"/>
    <s v="Digital Signatures - Validate signatures in attachments RM &amp; SS/ Reference Implementation"/>
    <x v="2"/>
    <m/>
    <x v="0"/>
    <x v="3"/>
  </r>
  <r>
    <s v="IRM-34598"/>
    <x v="1"/>
    <x v="12"/>
    <s v="Digital Signatures - Validate signatures in attachments RM &amp; SS/ Reference Implementation"/>
    <x v="3"/>
    <m/>
    <x v="0"/>
    <x v="3"/>
  </r>
  <r>
    <s v="IRM-34598"/>
    <x v="1"/>
    <x v="12"/>
    <s v="Digital Signatures - Validate signatures in attachments RM &amp; SS/ Reference Implementation"/>
    <x v="4"/>
    <m/>
    <x v="0"/>
    <x v="3"/>
  </r>
  <r>
    <s v="IRM-34598"/>
    <x v="1"/>
    <x v="12"/>
    <s v="Digital Signatures - Validate signatures in attachments RM &amp; SS/ Reference Implementation"/>
    <x v="5"/>
    <n v="53.3"/>
    <x v="0"/>
    <x v="0"/>
  </r>
  <r>
    <s v="IRM-34598"/>
    <x v="1"/>
    <x v="12"/>
    <s v="Digital Signatures - Validate signatures in attachments RM &amp; SS/ Reference Implementation"/>
    <x v="6"/>
    <n v="133.4"/>
    <x v="0"/>
    <x v="3"/>
  </r>
  <r>
    <s v="IRM-34598"/>
    <x v="1"/>
    <x v="12"/>
    <s v="Digital Signatures - Validate signatures in attachments RM &amp; SS/ Reference Implementation"/>
    <x v="7"/>
    <n v="106.7"/>
    <x v="0"/>
    <x v="3"/>
  </r>
  <r>
    <s v="IRM-34598"/>
    <x v="1"/>
    <x v="12"/>
    <s v="Digital Signatures - Validate signatures in attachments RM &amp; SS/ Reference Implementation"/>
    <x v="8"/>
    <n v="106.7"/>
    <x v="0"/>
    <x v="3"/>
  </r>
  <r>
    <s v="IRM-34598"/>
    <x v="1"/>
    <x v="12"/>
    <s v="Digital Signatures - Validate signatures in attachments RM &amp; SS/ Reference Implementation"/>
    <x v="9"/>
    <n v="133.4"/>
    <x v="0"/>
    <x v="3"/>
  </r>
  <r>
    <s v="IRM-34678"/>
    <x v="2"/>
    <x v="2"/>
    <s v="Amplio Batch improvements"/>
    <x v="0"/>
    <n v="160"/>
    <x v="0"/>
    <x v="0"/>
  </r>
  <r>
    <s v="IRM-34678"/>
    <x v="2"/>
    <x v="2"/>
    <s v="Amplio Batch improvements"/>
    <x v="1"/>
    <m/>
    <x v="0"/>
    <x v="0"/>
  </r>
  <r>
    <s v="IRM-34678"/>
    <x v="2"/>
    <x v="2"/>
    <s v="Amplio Batch improvements"/>
    <x v="2"/>
    <m/>
    <x v="0"/>
    <x v="0"/>
  </r>
  <r>
    <s v="IRM-34678"/>
    <x v="2"/>
    <x v="2"/>
    <s v="Amplio Batch improvements"/>
    <x v="3"/>
    <m/>
    <x v="0"/>
    <x v="0"/>
  </r>
  <r>
    <s v="IRM-34678"/>
    <x v="2"/>
    <x v="2"/>
    <s v="Amplio Batch improvements"/>
    <x v="4"/>
    <m/>
    <x v="0"/>
    <x v="0"/>
  </r>
  <r>
    <s v="IRM-34678"/>
    <x v="2"/>
    <x v="2"/>
    <s v="Amplio Batch improvements"/>
    <x v="5"/>
    <n v="32"/>
    <x v="0"/>
    <x v="1"/>
  </r>
  <r>
    <s v="IRM-34678"/>
    <x v="2"/>
    <x v="2"/>
    <s v="Amplio Batch improvements"/>
    <x v="6"/>
    <n v="80"/>
    <x v="0"/>
    <x v="0"/>
  </r>
  <r>
    <s v="IRM-34678"/>
    <x v="2"/>
    <x v="2"/>
    <s v="Amplio Batch improvements"/>
    <x v="7"/>
    <n v="64"/>
    <x v="0"/>
    <x v="0"/>
  </r>
  <r>
    <s v="IRM-34678"/>
    <x v="2"/>
    <x v="2"/>
    <s v="Amplio Batch improvements"/>
    <x v="8"/>
    <n v="64"/>
    <x v="0"/>
    <x v="0"/>
  </r>
  <r>
    <s v="IRM-34678"/>
    <x v="2"/>
    <x v="2"/>
    <s v="Amplio Batch improvements"/>
    <x v="9"/>
    <n v="80"/>
    <x v="0"/>
    <x v="0"/>
  </r>
  <r>
    <s v="IRM-34684"/>
    <x v="4"/>
    <x v="27"/>
    <s v="Enable user-defined characteristics (Data Area) for c_gl_account"/>
    <x v="0"/>
    <n v="66.7"/>
    <x v="0"/>
    <x v="0"/>
  </r>
  <r>
    <s v="IRM-34684"/>
    <x v="4"/>
    <x v="27"/>
    <s v="Enable user-defined characteristics (Data Area) for c_gl_account"/>
    <x v="1"/>
    <m/>
    <x v="0"/>
    <x v="0"/>
  </r>
  <r>
    <s v="IRM-34684"/>
    <x v="4"/>
    <x v="27"/>
    <s v="Enable user-defined characteristics (Data Area) for c_gl_account"/>
    <x v="2"/>
    <m/>
    <x v="0"/>
    <x v="0"/>
  </r>
  <r>
    <s v="IRM-34684"/>
    <x v="4"/>
    <x v="27"/>
    <s v="Enable user-defined characteristics (Data Area) for c_gl_account"/>
    <x v="3"/>
    <m/>
    <x v="0"/>
    <x v="0"/>
  </r>
  <r>
    <s v="IRM-34684"/>
    <x v="4"/>
    <x v="27"/>
    <s v="Enable user-defined characteristics (Data Area) for c_gl_account"/>
    <x v="4"/>
    <m/>
    <x v="0"/>
    <x v="0"/>
  </r>
  <r>
    <s v="IRM-34684"/>
    <x v="4"/>
    <x v="27"/>
    <s v="Enable user-defined characteristics (Data Area) for c_gl_account"/>
    <x v="5"/>
    <n v="13.3"/>
    <x v="0"/>
    <x v="1"/>
  </r>
  <r>
    <s v="IRM-34684"/>
    <x v="4"/>
    <x v="27"/>
    <s v="Enable user-defined characteristics (Data Area) for c_gl_account"/>
    <x v="6"/>
    <n v="33.4"/>
    <x v="0"/>
    <x v="0"/>
  </r>
  <r>
    <s v="IRM-34684"/>
    <x v="4"/>
    <x v="27"/>
    <s v="Enable user-defined characteristics (Data Area) for c_gl_account"/>
    <x v="7"/>
    <n v="26.7"/>
    <x v="0"/>
    <x v="0"/>
  </r>
  <r>
    <s v="IRM-34684"/>
    <x v="4"/>
    <x v="27"/>
    <s v="Enable user-defined characteristics (Data Area) for c_gl_account"/>
    <x v="8"/>
    <n v="26.7"/>
    <x v="0"/>
    <x v="0"/>
  </r>
  <r>
    <s v="IRM-34684"/>
    <x v="4"/>
    <x v="27"/>
    <s v="Enable user-defined characteristics (Data Area) for c_gl_account"/>
    <x v="9"/>
    <n v="33.4"/>
    <x v="0"/>
    <x v="0"/>
  </r>
  <r>
    <s v="IRM-34706"/>
    <x v="2"/>
    <x v="2"/>
    <s v="PI27 DevOps Release and Environment Support"/>
    <x v="0"/>
    <m/>
    <x v="1"/>
    <x v="0"/>
  </r>
  <r>
    <s v="IRM-34706"/>
    <x v="2"/>
    <x v="2"/>
    <s v="PI27 DevOps Release and Environment Support"/>
    <x v="5"/>
    <m/>
    <x v="1"/>
    <x v="1"/>
  </r>
  <r>
    <s v="IRM-34706"/>
    <x v="2"/>
    <x v="2"/>
    <s v="PI27 DevOps Release and Environment Support"/>
    <x v="6"/>
    <m/>
    <x v="1"/>
    <x v="0"/>
  </r>
  <r>
    <s v="IRM-34706"/>
    <x v="2"/>
    <x v="2"/>
    <s v="PI27 DevOps Release and Environment Support"/>
    <x v="7"/>
    <m/>
    <x v="1"/>
    <x v="0"/>
  </r>
  <r>
    <s v="IRM-34706"/>
    <x v="2"/>
    <x v="2"/>
    <s v="PI27 DevOps Release and Environment Support"/>
    <x v="8"/>
    <m/>
    <x v="1"/>
    <x v="0"/>
  </r>
  <r>
    <s v="IRM-34706"/>
    <x v="2"/>
    <x v="2"/>
    <s v="PI27 DevOps Release and Environment Support"/>
    <x v="9"/>
    <m/>
    <x v="1"/>
    <x v="0"/>
  </r>
  <r>
    <s v="IRM-35280"/>
    <x v="2"/>
    <x v="2"/>
    <s v="PI27 DevOPs Meetings and Training"/>
    <x v="0"/>
    <m/>
    <x v="1"/>
    <x v="4"/>
  </r>
  <r>
    <s v="IRM-35280"/>
    <x v="2"/>
    <x v="2"/>
    <s v="PI27 DevOPs Meetings and Training"/>
    <x v="5"/>
    <m/>
    <x v="1"/>
    <x v="2"/>
  </r>
  <r>
    <s v="IRM-35280"/>
    <x v="2"/>
    <x v="2"/>
    <s v="PI27 DevOPs Meetings and Training"/>
    <x v="6"/>
    <m/>
    <x v="1"/>
    <x v="4"/>
  </r>
  <r>
    <s v="IRM-35280"/>
    <x v="2"/>
    <x v="2"/>
    <s v="PI27 DevOPs Meetings and Training"/>
    <x v="7"/>
    <m/>
    <x v="1"/>
    <x v="4"/>
  </r>
  <r>
    <s v="IRM-35280"/>
    <x v="2"/>
    <x v="2"/>
    <s v="PI27 DevOPs Meetings and Training"/>
    <x v="8"/>
    <m/>
    <x v="1"/>
    <x v="4"/>
  </r>
  <r>
    <s v="IRM-35280"/>
    <x v="2"/>
    <x v="2"/>
    <s v="PI27 DevOPs Meetings and Training"/>
    <x v="9"/>
    <m/>
    <x v="1"/>
    <x v="4"/>
  </r>
  <r>
    <s v="IRM-35281"/>
    <x v="2"/>
    <x v="2"/>
    <s v="PI27 DevOps - Infrastructure and Maintenance activities"/>
    <x v="0"/>
    <m/>
    <x v="1"/>
    <x v="4"/>
  </r>
  <r>
    <s v="IRM-35281"/>
    <x v="2"/>
    <x v="2"/>
    <s v="PI27 DevOps - Infrastructure and Maintenance activities"/>
    <x v="5"/>
    <m/>
    <x v="1"/>
    <x v="2"/>
  </r>
  <r>
    <s v="IRM-35281"/>
    <x v="2"/>
    <x v="2"/>
    <s v="PI27 DevOps - Infrastructure and Maintenance activities"/>
    <x v="6"/>
    <m/>
    <x v="1"/>
    <x v="4"/>
  </r>
  <r>
    <s v="IRM-35281"/>
    <x v="2"/>
    <x v="2"/>
    <s v="PI27 DevOps - Infrastructure and Maintenance activities"/>
    <x v="7"/>
    <m/>
    <x v="1"/>
    <x v="4"/>
  </r>
  <r>
    <s v="IRM-35281"/>
    <x v="2"/>
    <x v="2"/>
    <s v="PI27 DevOps - Infrastructure and Maintenance activities"/>
    <x v="8"/>
    <m/>
    <x v="1"/>
    <x v="4"/>
  </r>
  <r>
    <s v="IRM-35281"/>
    <x v="2"/>
    <x v="2"/>
    <s v="PI27 DevOps - Infrastructure and Maintenance activities"/>
    <x v="9"/>
    <m/>
    <x v="1"/>
    <x v="4"/>
  </r>
  <r>
    <s v="IRM-35282"/>
    <x v="2"/>
    <x v="2"/>
    <s v="PI27 DevOps Cluster Upgrades"/>
    <x v="0"/>
    <m/>
    <x v="1"/>
    <x v="4"/>
  </r>
  <r>
    <s v="IRM-35282"/>
    <x v="2"/>
    <x v="2"/>
    <s v="PI27 DevOps Cluster Upgrades"/>
    <x v="5"/>
    <m/>
    <x v="1"/>
    <x v="2"/>
  </r>
  <r>
    <s v="IRM-35282"/>
    <x v="2"/>
    <x v="2"/>
    <s v="PI27 DevOps Cluster Upgrades"/>
    <x v="6"/>
    <m/>
    <x v="1"/>
    <x v="4"/>
  </r>
  <r>
    <s v="IRM-35282"/>
    <x v="2"/>
    <x v="2"/>
    <s v="PI27 DevOps Cluster Upgrades"/>
    <x v="7"/>
    <m/>
    <x v="1"/>
    <x v="4"/>
  </r>
  <r>
    <s v="IRM-35282"/>
    <x v="2"/>
    <x v="2"/>
    <s v="PI27 DevOps Cluster Upgrades"/>
    <x v="8"/>
    <m/>
    <x v="1"/>
    <x v="4"/>
  </r>
  <r>
    <s v="IRM-35282"/>
    <x v="2"/>
    <x v="2"/>
    <s v="PI27 DevOps Cluster Upgrades"/>
    <x v="9"/>
    <m/>
    <x v="1"/>
    <x v="4"/>
  </r>
  <r>
    <s v="IRM-35283"/>
    <x v="2"/>
    <x v="2"/>
    <s v="Pi27 DevOps Evolution"/>
    <x v="0"/>
    <m/>
    <x v="1"/>
    <x v="4"/>
  </r>
  <r>
    <s v="IRM-35283"/>
    <x v="2"/>
    <x v="2"/>
    <s v="Pi27 DevOps Evolution"/>
    <x v="5"/>
    <m/>
    <x v="1"/>
    <x v="2"/>
  </r>
  <r>
    <s v="IRM-35283"/>
    <x v="2"/>
    <x v="2"/>
    <s v="Pi27 DevOps Evolution"/>
    <x v="6"/>
    <m/>
    <x v="1"/>
    <x v="4"/>
  </r>
  <r>
    <s v="IRM-35283"/>
    <x v="2"/>
    <x v="2"/>
    <s v="Pi27 DevOps Evolution"/>
    <x v="7"/>
    <m/>
    <x v="1"/>
    <x v="4"/>
  </r>
  <r>
    <s v="IRM-35283"/>
    <x v="2"/>
    <x v="2"/>
    <s v="Pi27 DevOps Evolution"/>
    <x v="8"/>
    <m/>
    <x v="1"/>
    <x v="4"/>
  </r>
  <r>
    <s v="IRM-35283"/>
    <x v="2"/>
    <x v="2"/>
    <s v="Pi27 DevOps Evolution"/>
    <x v="9"/>
    <m/>
    <x v="1"/>
    <x v="4"/>
  </r>
  <r>
    <s v="IRM-3541"/>
    <x v="3"/>
    <x v="9"/>
    <s v="SS  Payments - See Current Payment Obligations"/>
    <x v="0"/>
    <n v="140"/>
    <x v="1"/>
    <x v="2"/>
  </r>
  <r>
    <s v="IRM-3541"/>
    <x v="3"/>
    <x v="9"/>
    <s v="SS  Payments - See Current Payment Obligations"/>
    <x v="1"/>
    <m/>
    <x v="1"/>
    <x v="2"/>
  </r>
  <r>
    <s v="IRM-3541"/>
    <x v="3"/>
    <x v="9"/>
    <s v="SS  Payments - See Current Payment Obligations"/>
    <x v="2"/>
    <m/>
    <x v="1"/>
    <x v="2"/>
  </r>
  <r>
    <s v="IRM-3541"/>
    <x v="3"/>
    <x v="9"/>
    <s v="SS  Payments - See Current Payment Obligations"/>
    <x v="3"/>
    <m/>
    <x v="1"/>
    <x v="2"/>
  </r>
  <r>
    <s v="IRM-3541"/>
    <x v="3"/>
    <x v="9"/>
    <s v="SS  Payments - See Current Payment Obligations"/>
    <x v="4"/>
    <m/>
    <x v="1"/>
    <x v="2"/>
  </r>
  <r>
    <s v="IRM-3541"/>
    <x v="3"/>
    <x v="9"/>
    <s v="SS  Payments - See Current Payment Obligations"/>
    <x v="5"/>
    <n v="28"/>
    <x v="1"/>
    <x v="3"/>
  </r>
  <r>
    <s v="IRM-3541"/>
    <x v="3"/>
    <x v="9"/>
    <s v="SS  Payments - See Current Payment Obligations"/>
    <x v="6"/>
    <n v="70"/>
    <x v="1"/>
    <x v="2"/>
  </r>
  <r>
    <s v="IRM-3541"/>
    <x v="3"/>
    <x v="9"/>
    <s v="SS  Payments - See Current Payment Obligations"/>
    <x v="7"/>
    <n v="56"/>
    <x v="1"/>
    <x v="2"/>
  </r>
  <r>
    <s v="IRM-3541"/>
    <x v="3"/>
    <x v="9"/>
    <s v="SS  Payments - See Current Payment Obligations"/>
    <x v="8"/>
    <n v="56"/>
    <x v="1"/>
    <x v="2"/>
  </r>
  <r>
    <s v="IRM-3541"/>
    <x v="3"/>
    <x v="9"/>
    <s v="SS  Payments - See Current Payment Obligations"/>
    <x v="9"/>
    <n v="70"/>
    <x v="1"/>
    <x v="2"/>
  </r>
  <r>
    <s v="IRM-3542"/>
    <x v="3"/>
    <x v="9"/>
    <s v="SS  Payments - Submit Payment Form"/>
    <x v="0"/>
    <n v="140"/>
    <x v="1"/>
    <x v="2"/>
  </r>
  <r>
    <s v="IRM-3542"/>
    <x v="3"/>
    <x v="9"/>
    <s v="SS  Payments - Submit Payment Form"/>
    <x v="1"/>
    <m/>
    <x v="1"/>
    <x v="2"/>
  </r>
  <r>
    <s v="IRM-3542"/>
    <x v="3"/>
    <x v="9"/>
    <s v="SS  Payments - Submit Payment Form"/>
    <x v="2"/>
    <m/>
    <x v="1"/>
    <x v="2"/>
  </r>
  <r>
    <s v="IRM-3542"/>
    <x v="3"/>
    <x v="9"/>
    <s v="SS  Payments - Submit Payment Form"/>
    <x v="3"/>
    <m/>
    <x v="1"/>
    <x v="2"/>
  </r>
  <r>
    <s v="IRM-3542"/>
    <x v="3"/>
    <x v="9"/>
    <s v="SS  Payments - Submit Payment Form"/>
    <x v="4"/>
    <m/>
    <x v="1"/>
    <x v="2"/>
  </r>
  <r>
    <s v="IRM-3542"/>
    <x v="3"/>
    <x v="9"/>
    <s v="SS  Payments - Submit Payment Form"/>
    <x v="5"/>
    <n v="28"/>
    <x v="1"/>
    <x v="3"/>
  </r>
  <r>
    <s v="IRM-3542"/>
    <x v="3"/>
    <x v="9"/>
    <s v="SS  Payments - Submit Payment Form"/>
    <x v="6"/>
    <n v="70"/>
    <x v="1"/>
    <x v="2"/>
  </r>
  <r>
    <s v="IRM-3542"/>
    <x v="3"/>
    <x v="9"/>
    <s v="SS  Payments - Submit Payment Form"/>
    <x v="7"/>
    <n v="56"/>
    <x v="1"/>
    <x v="2"/>
  </r>
  <r>
    <s v="IRM-3542"/>
    <x v="3"/>
    <x v="9"/>
    <s v="SS  Payments - Submit Payment Form"/>
    <x v="8"/>
    <n v="56"/>
    <x v="1"/>
    <x v="2"/>
  </r>
  <r>
    <s v="IRM-3542"/>
    <x v="3"/>
    <x v="9"/>
    <s v="SS  Payments - Submit Payment Form"/>
    <x v="9"/>
    <n v="70"/>
    <x v="1"/>
    <x v="2"/>
  </r>
  <r>
    <s v="IRM-3543"/>
    <x v="3"/>
    <x v="9"/>
    <s v="SS Payments - See Payment History"/>
    <x v="0"/>
    <n v="140"/>
    <x v="1"/>
    <x v="2"/>
  </r>
  <r>
    <s v="IRM-3543"/>
    <x v="3"/>
    <x v="9"/>
    <s v="SS Payments - See Payment History"/>
    <x v="1"/>
    <m/>
    <x v="1"/>
    <x v="2"/>
  </r>
  <r>
    <s v="IRM-3543"/>
    <x v="3"/>
    <x v="9"/>
    <s v="SS Payments - See Payment History"/>
    <x v="2"/>
    <m/>
    <x v="1"/>
    <x v="2"/>
  </r>
  <r>
    <s v="IRM-3543"/>
    <x v="3"/>
    <x v="9"/>
    <s v="SS Payments - See Payment History"/>
    <x v="3"/>
    <m/>
    <x v="1"/>
    <x v="2"/>
  </r>
  <r>
    <s v="IRM-3543"/>
    <x v="3"/>
    <x v="9"/>
    <s v="SS Payments - See Payment History"/>
    <x v="4"/>
    <m/>
    <x v="1"/>
    <x v="2"/>
  </r>
  <r>
    <s v="IRM-3543"/>
    <x v="3"/>
    <x v="9"/>
    <s v="SS Payments - See Payment History"/>
    <x v="5"/>
    <n v="28"/>
    <x v="1"/>
    <x v="3"/>
  </r>
  <r>
    <s v="IRM-3543"/>
    <x v="3"/>
    <x v="9"/>
    <s v="SS Payments - See Payment History"/>
    <x v="6"/>
    <n v="70"/>
    <x v="1"/>
    <x v="2"/>
  </r>
  <r>
    <s v="IRM-3543"/>
    <x v="3"/>
    <x v="9"/>
    <s v="SS Payments - See Payment History"/>
    <x v="7"/>
    <n v="56"/>
    <x v="1"/>
    <x v="2"/>
  </r>
  <r>
    <s v="IRM-3543"/>
    <x v="3"/>
    <x v="9"/>
    <s v="SS Payments - See Payment History"/>
    <x v="8"/>
    <n v="56"/>
    <x v="1"/>
    <x v="2"/>
  </r>
  <r>
    <s v="IRM-3543"/>
    <x v="3"/>
    <x v="9"/>
    <s v="SS Payments - See Payment History"/>
    <x v="9"/>
    <n v="70"/>
    <x v="1"/>
    <x v="2"/>
  </r>
  <r>
    <s v="IRM-3545"/>
    <x v="3"/>
    <x v="9"/>
    <s v="SS Payments - See Payment Details"/>
    <x v="0"/>
    <n v="140"/>
    <x v="1"/>
    <x v="2"/>
  </r>
  <r>
    <s v="IRM-3545"/>
    <x v="3"/>
    <x v="9"/>
    <s v="SS Payments - See Payment Details"/>
    <x v="1"/>
    <m/>
    <x v="1"/>
    <x v="2"/>
  </r>
  <r>
    <s v="IRM-3545"/>
    <x v="3"/>
    <x v="9"/>
    <s v="SS Payments - See Payment Details"/>
    <x v="2"/>
    <m/>
    <x v="1"/>
    <x v="2"/>
  </r>
  <r>
    <s v="IRM-3545"/>
    <x v="3"/>
    <x v="9"/>
    <s v="SS Payments - See Payment Details"/>
    <x v="3"/>
    <m/>
    <x v="1"/>
    <x v="2"/>
  </r>
  <r>
    <s v="IRM-3545"/>
    <x v="3"/>
    <x v="9"/>
    <s v="SS Payments - See Payment Details"/>
    <x v="4"/>
    <m/>
    <x v="1"/>
    <x v="2"/>
  </r>
  <r>
    <s v="IRM-3545"/>
    <x v="3"/>
    <x v="9"/>
    <s v="SS Payments - See Payment Details"/>
    <x v="5"/>
    <n v="28"/>
    <x v="1"/>
    <x v="3"/>
  </r>
  <r>
    <s v="IRM-3545"/>
    <x v="3"/>
    <x v="9"/>
    <s v="SS Payments - See Payment Details"/>
    <x v="6"/>
    <n v="70"/>
    <x v="1"/>
    <x v="2"/>
  </r>
  <r>
    <s v="IRM-3545"/>
    <x v="3"/>
    <x v="9"/>
    <s v="SS Payments - See Payment Details"/>
    <x v="7"/>
    <n v="56"/>
    <x v="1"/>
    <x v="2"/>
  </r>
  <r>
    <s v="IRM-3545"/>
    <x v="3"/>
    <x v="9"/>
    <s v="SS Payments - See Payment Details"/>
    <x v="8"/>
    <n v="56"/>
    <x v="1"/>
    <x v="2"/>
  </r>
  <r>
    <s v="IRM-3545"/>
    <x v="3"/>
    <x v="9"/>
    <s v="SS Payments - See Payment Details"/>
    <x v="9"/>
    <n v="70"/>
    <x v="1"/>
    <x v="2"/>
  </r>
  <r>
    <s v="IRM-35519"/>
    <x v="2"/>
    <x v="2"/>
    <s v="PI27 DBA Activities and Environment Support"/>
    <x v="0"/>
    <m/>
    <x v="1"/>
    <x v="4"/>
  </r>
  <r>
    <s v="IRM-35519"/>
    <x v="2"/>
    <x v="2"/>
    <s v="PI27 DBA Activities and Environment Support"/>
    <x v="5"/>
    <m/>
    <x v="1"/>
    <x v="2"/>
  </r>
  <r>
    <s v="IRM-35519"/>
    <x v="2"/>
    <x v="2"/>
    <s v="PI27 DBA Activities and Environment Support"/>
    <x v="6"/>
    <m/>
    <x v="1"/>
    <x v="4"/>
  </r>
  <r>
    <s v="IRM-35519"/>
    <x v="2"/>
    <x v="2"/>
    <s v="PI27 DBA Activities and Environment Support"/>
    <x v="7"/>
    <m/>
    <x v="1"/>
    <x v="4"/>
  </r>
  <r>
    <s v="IRM-35519"/>
    <x v="2"/>
    <x v="2"/>
    <s v="PI27 DBA Activities and Environment Support"/>
    <x v="8"/>
    <m/>
    <x v="1"/>
    <x v="4"/>
  </r>
  <r>
    <s v="IRM-35519"/>
    <x v="2"/>
    <x v="2"/>
    <s v="PI27 DBA Activities and Environment Support"/>
    <x v="9"/>
    <m/>
    <x v="1"/>
    <x v="4"/>
  </r>
  <r>
    <s v="IRM-36002"/>
    <x v="0"/>
    <x v="0"/>
    <s v="Define and monitor the hierarchy of parties using parent child party relationship"/>
    <x v="0"/>
    <n v="136"/>
    <x v="0"/>
    <x v="0"/>
  </r>
  <r>
    <s v="IRM-36002"/>
    <x v="0"/>
    <x v="0"/>
    <s v="Define and monitor the hierarchy of parties using parent child party relationship"/>
    <x v="1"/>
    <m/>
    <x v="0"/>
    <x v="0"/>
  </r>
  <r>
    <s v="IRM-36002"/>
    <x v="0"/>
    <x v="0"/>
    <s v="Define and monitor the hierarchy of parties using parent child party relationship"/>
    <x v="2"/>
    <m/>
    <x v="0"/>
    <x v="0"/>
  </r>
  <r>
    <s v="IRM-36002"/>
    <x v="0"/>
    <x v="0"/>
    <s v="Define and monitor the hierarchy of parties using parent child party relationship"/>
    <x v="3"/>
    <m/>
    <x v="0"/>
    <x v="0"/>
  </r>
  <r>
    <s v="IRM-36002"/>
    <x v="0"/>
    <x v="0"/>
    <s v="Define and monitor the hierarchy of parties using parent child party relationship"/>
    <x v="4"/>
    <m/>
    <x v="0"/>
    <x v="0"/>
  </r>
  <r>
    <s v="IRM-36002"/>
    <x v="0"/>
    <x v="0"/>
    <s v="Define and monitor the hierarchy of parties using parent child party relationship"/>
    <x v="5"/>
    <n v="27.2"/>
    <x v="0"/>
    <x v="1"/>
  </r>
  <r>
    <s v="IRM-36002"/>
    <x v="0"/>
    <x v="0"/>
    <s v="Define and monitor the hierarchy of parties using parent child party relationship"/>
    <x v="6"/>
    <n v="68"/>
    <x v="0"/>
    <x v="0"/>
  </r>
  <r>
    <s v="IRM-36002"/>
    <x v="0"/>
    <x v="0"/>
    <s v="Define and monitor the hierarchy of parties using parent child party relationship"/>
    <x v="7"/>
    <n v="54.4"/>
    <x v="0"/>
    <x v="0"/>
  </r>
  <r>
    <s v="IRM-36002"/>
    <x v="0"/>
    <x v="0"/>
    <s v="Define and monitor the hierarchy of parties using parent child party relationship"/>
    <x v="8"/>
    <n v="54.4"/>
    <x v="0"/>
    <x v="0"/>
  </r>
  <r>
    <s v="IRM-36002"/>
    <x v="0"/>
    <x v="0"/>
    <s v="Define and monitor the hierarchy of parties using parent child party relationship"/>
    <x v="9"/>
    <n v="68"/>
    <x v="0"/>
    <x v="0"/>
  </r>
  <r>
    <s v="IRM-36179"/>
    <x v="0"/>
    <x v="18"/>
    <s v="Search gl accounts by Category and Owner"/>
    <x v="0"/>
    <n v="37.299999999999997"/>
    <x v="0"/>
    <x v="0"/>
  </r>
  <r>
    <s v="IRM-36179"/>
    <x v="0"/>
    <x v="18"/>
    <s v="Search gl accounts by Category and Owner"/>
    <x v="1"/>
    <m/>
    <x v="0"/>
    <x v="0"/>
  </r>
  <r>
    <s v="IRM-36179"/>
    <x v="0"/>
    <x v="18"/>
    <s v="Search gl accounts by Category and Owner"/>
    <x v="2"/>
    <m/>
    <x v="0"/>
    <x v="0"/>
  </r>
  <r>
    <s v="IRM-36179"/>
    <x v="0"/>
    <x v="18"/>
    <s v="Search gl accounts by Category and Owner"/>
    <x v="3"/>
    <m/>
    <x v="0"/>
    <x v="0"/>
  </r>
  <r>
    <s v="IRM-36179"/>
    <x v="0"/>
    <x v="18"/>
    <s v="Search gl accounts by Category and Owner"/>
    <x v="4"/>
    <m/>
    <x v="0"/>
    <x v="0"/>
  </r>
  <r>
    <s v="IRM-36179"/>
    <x v="0"/>
    <x v="18"/>
    <s v="Search gl accounts by Category and Owner"/>
    <x v="5"/>
    <n v="7.5"/>
    <x v="0"/>
    <x v="1"/>
  </r>
  <r>
    <s v="IRM-36179"/>
    <x v="0"/>
    <x v="18"/>
    <s v="Search gl accounts by Category and Owner"/>
    <x v="6"/>
    <n v="18.600000000000001"/>
    <x v="0"/>
    <x v="0"/>
  </r>
  <r>
    <s v="IRM-36179"/>
    <x v="0"/>
    <x v="18"/>
    <s v="Search gl accounts by Category and Owner"/>
    <x v="7"/>
    <n v="14.9"/>
    <x v="0"/>
    <x v="0"/>
  </r>
  <r>
    <s v="IRM-36179"/>
    <x v="0"/>
    <x v="18"/>
    <s v="Search gl accounts by Category and Owner"/>
    <x v="8"/>
    <n v="14.9"/>
    <x v="0"/>
    <x v="0"/>
  </r>
  <r>
    <s v="IRM-36179"/>
    <x v="0"/>
    <x v="18"/>
    <s v="Search gl accounts by Category and Owner"/>
    <x v="9"/>
    <n v="18.600000000000001"/>
    <x v="0"/>
    <x v="0"/>
  </r>
  <r>
    <s v="IRM-36279"/>
    <x v="1"/>
    <x v="6"/>
    <s v="Addition of validitiy period on relationships between codelist items"/>
    <x v="0"/>
    <n v="266.7"/>
    <x v="1"/>
    <x v="4"/>
  </r>
  <r>
    <s v="IRM-36279"/>
    <x v="1"/>
    <x v="6"/>
    <s v="Addition of validitiy period on relationships between codelist items"/>
    <x v="1"/>
    <m/>
    <x v="1"/>
    <x v="4"/>
  </r>
  <r>
    <s v="IRM-36279"/>
    <x v="1"/>
    <x v="6"/>
    <s v="Addition of validitiy period on relationships between codelist items"/>
    <x v="2"/>
    <m/>
    <x v="1"/>
    <x v="4"/>
  </r>
  <r>
    <s v="IRM-36279"/>
    <x v="1"/>
    <x v="6"/>
    <s v="Addition of validitiy period on relationships between codelist items"/>
    <x v="3"/>
    <m/>
    <x v="1"/>
    <x v="4"/>
  </r>
  <r>
    <s v="IRM-36279"/>
    <x v="1"/>
    <x v="6"/>
    <s v="Addition of validitiy period on relationships between codelist items"/>
    <x v="4"/>
    <m/>
    <x v="1"/>
    <x v="4"/>
  </r>
  <r>
    <s v="IRM-36279"/>
    <x v="1"/>
    <x v="6"/>
    <s v="Addition of validitiy period on relationships between codelist items"/>
    <x v="5"/>
    <n v="53.3"/>
    <x v="1"/>
    <x v="2"/>
  </r>
  <r>
    <s v="IRM-36279"/>
    <x v="1"/>
    <x v="6"/>
    <s v="Addition of validitiy period on relationships between codelist items"/>
    <x v="6"/>
    <n v="133.4"/>
    <x v="1"/>
    <x v="4"/>
  </r>
  <r>
    <s v="IRM-36279"/>
    <x v="1"/>
    <x v="6"/>
    <s v="Addition of validitiy period on relationships between codelist items"/>
    <x v="7"/>
    <n v="106.7"/>
    <x v="1"/>
    <x v="4"/>
  </r>
  <r>
    <s v="IRM-36279"/>
    <x v="1"/>
    <x v="6"/>
    <s v="Addition of validitiy period on relationships between codelist items"/>
    <x v="8"/>
    <n v="106.7"/>
    <x v="1"/>
    <x v="4"/>
  </r>
  <r>
    <s v="IRM-36279"/>
    <x v="1"/>
    <x v="6"/>
    <s v="Addition of validitiy period on relationships between codelist items"/>
    <x v="9"/>
    <n v="133.4"/>
    <x v="1"/>
    <x v="4"/>
  </r>
  <r>
    <s v="IRM-36280"/>
    <x v="4"/>
    <x v="13"/>
    <s v="UI/UX Improvements: Registry List views - Display search results respecting governance limit in new UX / Part 1"/>
    <x v="0"/>
    <m/>
    <x v="0"/>
    <x v="3"/>
  </r>
  <r>
    <s v="IRM-36280"/>
    <x v="4"/>
    <x v="13"/>
    <s v="UI/UX Improvements: Registry List views - Display search results respecting governance limit in new UX / Part 1"/>
    <x v="1"/>
    <m/>
    <x v="0"/>
    <x v="3"/>
  </r>
  <r>
    <s v="IRM-36280"/>
    <x v="4"/>
    <x v="13"/>
    <s v="UI/UX Improvements: Registry List views - Display search results respecting governance limit in new UX / Part 1"/>
    <x v="2"/>
    <m/>
    <x v="0"/>
    <x v="3"/>
  </r>
  <r>
    <s v="IRM-36280"/>
    <x v="4"/>
    <x v="13"/>
    <s v="UI/UX Improvements: Registry List views - Display search results respecting governance limit in new UX / Part 1"/>
    <x v="3"/>
    <m/>
    <x v="0"/>
    <x v="3"/>
  </r>
  <r>
    <s v="IRM-36280"/>
    <x v="4"/>
    <x v="13"/>
    <s v="UI/UX Improvements: Registry List views - Display search results respecting governance limit in new UX / Part 1"/>
    <x v="4"/>
    <m/>
    <x v="0"/>
    <x v="3"/>
  </r>
  <r>
    <s v="IRM-36280"/>
    <x v="4"/>
    <x v="13"/>
    <s v="UI/UX Improvements: Registry List views - Display search results respecting governance limit in new UX / Part 1"/>
    <x v="5"/>
    <m/>
    <x v="0"/>
    <x v="0"/>
  </r>
  <r>
    <s v="IRM-36280"/>
    <x v="4"/>
    <x v="13"/>
    <s v="UI/UX Improvements: Registry List views - Display search results respecting governance limit in new UX / Part 1"/>
    <x v="6"/>
    <m/>
    <x v="0"/>
    <x v="3"/>
  </r>
  <r>
    <s v="IRM-36280"/>
    <x v="4"/>
    <x v="13"/>
    <s v="UI/UX Improvements: Registry List views - Display search results respecting governance limit in new UX / Part 1"/>
    <x v="7"/>
    <m/>
    <x v="0"/>
    <x v="3"/>
  </r>
  <r>
    <s v="IRM-36280"/>
    <x v="4"/>
    <x v="13"/>
    <s v="UI/UX Improvements: Registry List views - Display search results respecting governance limit in new UX / Part 1"/>
    <x v="8"/>
    <m/>
    <x v="0"/>
    <x v="3"/>
  </r>
  <r>
    <s v="IRM-36280"/>
    <x v="4"/>
    <x v="13"/>
    <s v="UI/UX Improvements: Registry List views - Display search results respecting governance limit in new UX / Part 1"/>
    <x v="9"/>
    <m/>
    <x v="0"/>
    <x v="3"/>
  </r>
  <r>
    <s v="IRM-36660"/>
    <x v="6"/>
    <x v="24"/>
    <s v="Attachments in Forms - Document Uploads enhancements before and after saving the form / RM &amp; SS"/>
    <x v="0"/>
    <n v="264"/>
    <x v="0"/>
    <x v="3"/>
  </r>
  <r>
    <s v="IRM-36660"/>
    <x v="6"/>
    <x v="24"/>
    <s v="Attachments in Forms - Document Uploads enhancements before and after saving the form / RM &amp; SS"/>
    <x v="1"/>
    <m/>
    <x v="0"/>
    <x v="3"/>
  </r>
  <r>
    <s v="IRM-36660"/>
    <x v="6"/>
    <x v="24"/>
    <s v="Attachments in Forms - Document Uploads enhancements before and after saving the form / RM &amp; SS"/>
    <x v="2"/>
    <m/>
    <x v="0"/>
    <x v="3"/>
  </r>
  <r>
    <s v="IRM-36660"/>
    <x v="6"/>
    <x v="24"/>
    <s v="Attachments in Forms - Document Uploads enhancements before and after saving the form / RM &amp; SS"/>
    <x v="3"/>
    <m/>
    <x v="0"/>
    <x v="3"/>
  </r>
  <r>
    <s v="IRM-36660"/>
    <x v="6"/>
    <x v="24"/>
    <s v="Attachments in Forms - Document Uploads enhancements before and after saving the form / RM &amp; SS"/>
    <x v="4"/>
    <m/>
    <x v="0"/>
    <x v="3"/>
  </r>
  <r>
    <s v="IRM-36660"/>
    <x v="6"/>
    <x v="24"/>
    <s v="Attachments in Forms - Document Uploads enhancements before and after saving the form / RM &amp; SS"/>
    <x v="5"/>
    <n v="52.8"/>
    <x v="0"/>
    <x v="0"/>
  </r>
  <r>
    <s v="IRM-36660"/>
    <x v="6"/>
    <x v="24"/>
    <s v="Attachments in Forms - Document Uploads enhancements before and after saving the form / RM &amp; SS"/>
    <x v="6"/>
    <n v="132"/>
    <x v="0"/>
    <x v="3"/>
  </r>
  <r>
    <s v="IRM-36660"/>
    <x v="6"/>
    <x v="24"/>
    <s v="Attachments in Forms - Document Uploads enhancements before and after saving the form / RM &amp; SS"/>
    <x v="7"/>
    <n v="105.6"/>
    <x v="0"/>
    <x v="3"/>
  </r>
  <r>
    <s v="IRM-36660"/>
    <x v="6"/>
    <x v="24"/>
    <s v="Attachments in Forms - Document Uploads enhancements before and after saving the form / RM &amp; SS"/>
    <x v="8"/>
    <n v="105.6"/>
    <x v="0"/>
    <x v="3"/>
  </r>
  <r>
    <s v="IRM-36660"/>
    <x v="6"/>
    <x v="24"/>
    <s v="Attachments in Forms - Document Uploads enhancements before and after saving the form / RM &amp; SS"/>
    <x v="9"/>
    <n v="132"/>
    <x v="0"/>
    <x v="3"/>
  </r>
  <r>
    <s v="IRM-36664"/>
    <x v="6"/>
    <x v="29"/>
    <s v="Representations : Define Date time and timezone for Representations and user rights /RM &amp;SS"/>
    <x v="0"/>
    <n v="160"/>
    <x v="0"/>
    <x v="3"/>
  </r>
  <r>
    <s v="IRM-36664"/>
    <x v="6"/>
    <x v="29"/>
    <s v="Representations : Define Date time and timezone for Representations and user rights /RM &amp;SS"/>
    <x v="1"/>
    <m/>
    <x v="0"/>
    <x v="3"/>
  </r>
  <r>
    <s v="IRM-36664"/>
    <x v="6"/>
    <x v="29"/>
    <s v="Representations : Define Date time and timezone for Representations and user rights /RM &amp;SS"/>
    <x v="2"/>
    <m/>
    <x v="0"/>
    <x v="3"/>
  </r>
  <r>
    <s v="IRM-36664"/>
    <x v="6"/>
    <x v="29"/>
    <s v="Representations : Define Date time and timezone for Representations and user rights /RM &amp;SS"/>
    <x v="3"/>
    <m/>
    <x v="0"/>
    <x v="3"/>
  </r>
  <r>
    <s v="IRM-36664"/>
    <x v="6"/>
    <x v="29"/>
    <s v="Representations : Define Date time and timezone for Representations and user rights /RM &amp;SS"/>
    <x v="4"/>
    <m/>
    <x v="0"/>
    <x v="3"/>
  </r>
  <r>
    <s v="IRM-36664"/>
    <x v="6"/>
    <x v="29"/>
    <s v="Representations : Define Date time and timezone for Representations and user rights /RM &amp;SS"/>
    <x v="5"/>
    <n v="32"/>
    <x v="0"/>
    <x v="0"/>
  </r>
  <r>
    <s v="IRM-36664"/>
    <x v="6"/>
    <x v="29"/>
    <s v="Representations : Define Date time and timezone for Representations and user rights /RM &amp;SS"/>
    <x v="6"/>
    <n v="80"/>
    <x v="0"/>
    <x v="3"/>
  </r>
  <r>
    <s v="IRM-36664"/>
    <x v="6"/>
    <x v="29"/>
    <s v="Representations : Define Date time and timezone for Representations and user rights /RM &amp;SS"/>
    <x v="7"/>
    <n v="64"/>
    <x v="0"/>
    <x v="3"/>
  </r>
  <r>
    <s v="IRM-36664"/>
    <x v="6"/>
    <x v="29"/>
    <s v="Representations : Define Date time and timezone for Representations and user rights /RM &amp;SS"/>
    <x v="8"/>
    <n v="64"/>
    <x v="0"/>
    <x v="3"/>
  </r>
  <r>
    <s v="IRM-36664"/>
    <x v="6"/>
    <x v="29"/>
    <s v="Representations : Define Date time and timezone for Representations and user rights /RM &amp;SS"/>
    <x v="9"/>
    <n v="80"/>
    <x v="0"/>
    <x v="3"/>
  </r>
  <r>
    <s v="IRM-36665"/>
    <x v="6"/>
    <x v="29"/>
    <s v="Representations : (A) Enhancements, configurability and permissions in Agreements (2ways,multilevels)  /RM &amp; SS  "/>
    <x v="0"/>
    <n v="160"/>
    <x v="0"/>
    <x v="3"/>
  </r>
  <r>
    <s v="IRM-36665"/>
    <x v="6"/>
    <x v="29"/>
    <s v="Representations : (A) Enhancements, configurability and permissions in Agreements (2ways,multilevels)  /RM &amp; SS  "/>
    <x v="1"/>
    <m/>
    <x v="0"/>
    <x v="3"/>
  </r>
  <r>
    <s v="IRM-36665"/>
    <x v="6"/>
    <x v="29"/>
    <s v="Representations : (A) Enhancements, configurability and permissions in Agreements (2ways,multilevels)  /RM &amp; SS  "/>
    <x v="2"/>
    <m/>
    <x v="0"/>
    <x v="3"/>
  </r>
  <r>
    <s v="IRM-36665"/>
    <x v="6"/>
    <x v="29"/>
    <s v="Representations : (A) Enhancements, configurability and permissions in Agreements (2ways,multilevels)  /RM &amp; SS  "/>
    <x v="3"/>
    <m/>
    <x v="0"/>
    <x v="3"/>
  </r>
  <r>
    <s v="IRM-36665"/>
    <x v="6"/>
    <x v="29"/>
    <s v="Representations : (A) Enhancements, configurability and permissions in Agreements (2ways,multilevels)  /RM &amp; SS  "/>
    <x v="4"/>
    <m/>
    <x v="0"/>
    <x v="3"/>
  </r>
  <r>
    <s v="IRM-36665"/>
    <x v="6"/>
    <x v="29"/>
    <s v="Representations : (A) Enhancements, configurability and permissions in Agreements (2ways,multilevels)  /RM &amp; SS  "/>
    <x v="5"/>
    <n v="32"/>
    <x v="0"/>
    <x v="0"/>
  </r>
  <r>
    <s v="IRM-36665"/>
    <x v="6"/>
    <x v="29"/>
    <s v="Representations : (A) Enhancements, configurability and permissions in Agreements (2ways,multilevels)  /RM &amp; SS  "/>
    <x v="6"/>
    <n v="80"/>
    <x v="0"/>
    <x v="3"/>
  </r>
  <r>
    <s v="IRM-36665"/>
    <x v="6"/>
    <x v="29"/>
    <s v="Representations : (A) Enhancements, configurability and permissions in Agreements (2ways,multilevels)  /RM &amp; SS  "/>
    <x v="7"/>
    <n v="64"/>
    <x v="0"/>
    <x v="3"/>
  </r>
  <r>
    <s v="IRM-36665"/>
    <x v="6"/>
    <x v="29"/>
    <s v="Representations : (A) Enhancements, configurability and permissions in Agreements (2ways,multilevels)  /RM &amp; SS  "/>
    <x v="8"/>
    <n v="64"/>
    <x v="0"/>
    <x v="3"/>
  </r>
  <r>
    <s v="IRM-36665"/>
    <x v="6"/>
    <x v="29"/>
    <s v="Representations : (A) Enhancements, configurability and permissions in Agreements (2ways,multilevels)  /RM &amp; SS  "/>
    <x v="9"/>
    <n v="80"/>
    <x v="0"/>
    <x v="3"/>
  </r>
  <r>
    <s v="IRM-36666"/>
    <x v="6"/>
    <x v="29"/>
    <s v="Representations : Ability to define and manage Representations in RM (affecting SS users)"/>
    <x v="0"/>
    <n v="533.29999999999995"/>
    <x v="0"/>
    <x v="3"/>
  </r>
  <r>
    <s v="IRM-36666"/>
    <x v="6"/>
    <x v="29"/>
    <s v="Representations : Ability to define and manage Representations in RM (affecting SS users)"/>
    <x v="1"/>
    <m/>
    <x v="0"/>
    <x v="3"/>
  </r>
  <r>
    <s v="IRM-36666"/>
    <x v="6"/>
    <x v="29"/>
    <s v="Representations : Ability to define and manage Representations in RM (affecting SS users)"/>
    <x v="2"/>
    <m/>
    <x v="0"/>
    <x v="3"/>
  </r>
  <r>
    <s v="IRM-36666"/>
    <x v="6"/>
    <x v="29"/>
    <s v="Representations : Ability to define and manage Representations in RM (affecting SS users)"/>
    <x v="3"/>
    <m/>
    <x v="0"/>
    <x v="3"/>
  </r>
  <r>
    <s v="IRM-36666"/>
    <x v="6"/>
    <x v="29"/>
    <s v="Representations : Ability to define and manage Representations in RM (affecting SS users)"/>
    <x v="4"/>
    <m/>
    <x v="0"/>
    <x v="3"/>
  </r>
  <r>
    <s v="IRM-36666"/>
    <x v="6"/>
    <x v="29"/>
    <s v="Representations : Ability to define and manage Representations in RM (affecting SS users)"/>
    <x v="5"/>
    <n v="106.7"/>
    <x v="0"/>
    <x v="0"/>
  </r>
  <r>
    <s v="IRM-36666"/>
    <x v="6"/>
    <x v="29"/>
    <s v="Representations : Ability to define and manage Representations in RM (affecting SS users)"/>
    <x v="6"/>
    <n v="266.60000000000002"/>
    <x v="0"/>
    <x v="3"/>
  </r>
  <r>
    <s v="IRM-36666"/>
    <x v="6"/>
    <x v="29"/>
    <s v="Representations : Ability to define and manage Representations in RM (affecting SS users)"/>
    <x v="7"/>
    <n v="213.3"/>
    <x v="0"/>
    <x v="3"/>
  </r>
  <r>
    <s v="IRM-36666"/>
    <x v="6"/>
    <x v="29"/>
    <s v="Representations : Ability to define and manage Representations in RM (affecting SS users)"/>
    <x v="8"/>
    <n v="213.3"/>
    <x v="0"/>
    <x v="3"/>
  </r>
  <r>
    <s v="IRM-36666"/>
    <x v="6"/>
    <x v="29"/>
    <s v="Representations : Ability to define and manage Representations in RM (affecting SS users)"/>
    <x v="9"/>
    <n v="266.60000000000002"/>
    <x v="0"/>
    <x v="3"/>
  </r>
  <r>
    <s v="IRM-36667"/>
    <x v="6"/>
    <x v="29"/>
    <s v="Representations : Ability to relate attachments to Representations in RM (RM &amp; SS)"/>
    <x v="0"/>
    <n v="1066.7"/>
    <x v="1"/>
    <x v="2"/>
  </r>
  <r>
    <s v="IRM-36667"/>
    <x v="6"/>
    <x v="29"/>
    <s v="Representations : Ability to relate attachments to Representations in RM (RM &amp; SS)"/>
    <x v="1"/>
    <m/>
    <x v="1"/>
    <x v="2"/>
  </r>
  <r>
    <s v="IRM-36667"/>
    <x v="6"/>
    <x v="29"/>
    <s v="Representations : Ability to relate attachments to Representations in RM (RM &amp; SS)"/>
    <x v="2"/>
    <m/>
    <x v="1"/>
    <x v="2"/>
  </r>
  <r>
    <s v="IRM-36667"/>
    <x v="6"/>
    <x v="29"/>
    <s v="Representations : Ability to relate attachments to Representations in RM (RM &amp; SS)"/>
    <x v="3"/>
    <m/>
    <x v="1"/>
    <x v="2"/>
  </r>
  <r>
    <s v="IRM-36667"/>
    <x v="6"/>
    <x v="29"/>
    <s v="Representations : Ability to relate attachments to Representations in RM (RM &amp; SS)"/>
    <x v="4"/>
    <m/>
    <x v="1"/>
    <x v="2"/>
  </r>
  <r>
    <s v="IRM-36667"/>
    <x v="6"/>
    <x v="29"/>
    <s v="Representations : Ability to relate attachments to Representations in RM (RM &amp; SS)"/>
    <x v="5"/>
    <n v="213.3"/>
    <x v="1"/>
    <x v="3"/>
  </r>
  <r>
    <s v="IRM-36667"/>
    <x v="6"/>
    <x v="29"/>
    <s v="Representations : Ability to relate attachments to Representations in RM (RM &amp; SS)"/>
    <x v="6"/>
    <n v="533.4"/>
    <x v="1"/>
    <x v="2"/>
  </r>
  <r>
    <s v="IRM-36667"/>
    <x v="6"/>
    <x v="29"/>
    <s v="Representations : Ability to relate attachments to Representations in RM (RM &amp; SS)"/>
    <x v="7"/>
    <n v="426.7"/>
    <x v="1"/>
    <x v="2"/>
  </r>
  <r>
    <s v="IRM-36667"/>
    <x v="6"/>
    <x v="29"/>
    <s v="Representations : Ability to relate attachments to Representations in RM (RM &amp; SS)"/>
    <x v="8"/>
    <n v="426.7"/>
    <x v="1"/>
    <x v="2"/>
  </r>
  <r>
    <s v="IRM-36667"/>
    <x v="6"/>
    <x v="29"/>
    <s v="Representations : Ability to relate attachments to Representations in RM (RM &amp; SS)"/>
    <x v="9"/>
    <n v="533.4"/>
    <x v="1"/>
    <x v="2"/>
  </r>
  <r>
    <s v="IRM-36668"/>
    <x v="1"/>
    <x v="12"/>
    <s v="Digital Signatures - System digital signing of PDF documents generated by bpmn process"/>
    <x v="0"/>
    <n v="480"/>
    <x v="0"/>
    <x v="3"/>
  </r>
  <r>
    <s v="IRM-36668"/>
    <x v="1"/>
    <x v="12"/>
    <s v="Digital Signatures - System digital signing of PDF documents generated by bpmn process"/>
    <x v="1"/>
    <m/>
    <x v="0"/>
    <x v="3"/>
  </r>
  <r>
    <s v="IRM-36668"/>
    <x v="1"/>
    <x v="12"/>
    <s v="Digital Signatures - System digital signing of PDF documents generated by bpmn process"/>
    <x v="2"/>
    <m/>
    <x v="0"/>
    <x v="3"/>
  </r>
  <r>
    <s v="IRM-36668"/>
    <x v="1"/>
    <x v="12"/>
    <s v="Digital Signatures - System digital signing of PDF documents generated by bpmn process"/>
    <x v="3"/>
    <m/>
    <x v="0"/>
    <x v="3"/>
  </r>
  <r>
    <s v="IRM-36668"/>
    <x v="1"/>
    <x v="12"/>
    <s v="Digital Signatures - System digital signing of PDF documents generated by bpmn process"/>
    <x v="4"/>
    <m/>
    <x v="0"/>
    <x v="3"/>
  </r>
  <r>
    <s v="IRM-36668"/>
    <x v="1"/>
    <x v="12"/>
    <s v="Digital Signatures - System digital signing of PDF documents generated by bpmn process"/>
    <x v="5"/>
    <n v="96"/>
    <x v="0"/>
    <x v="0"/>
  </r>
  <r>
    <s v="IRM-36668"/>
    <x v="1"/>
    <x v="12"/>
    <s v="Digital Signatures - System digital signing of PDF documents generated by bpmn process"/>
    <x v="6"/>
    <n v="240"/>
    <x v="0"/>
    <x v="3"/>
  </r>
  <r>
    <s v="IRM-36668"/>
    <x v="1"/>
    <x v="12"/>
    <s v="Digital Signatures - System digital signing of PDF documents generated by bpmn process"/>
    <x v="7"/>
    <n v="192"/>
    <x v="0"/>
    <x v="3"/>
  </r>
  <r>
    <s v="IRM-36668"/>
    <x v="1"/>
    <x v="12"/>
    <s v="Digital Signatures - System digital signing of PDF documents generated by bpmn process"/>
    <x v="8"/>
    <n v="192"/>
    <x v="0"/>
    <x v="3"/>
  </r>
  <r>
    <s v="IRM-36668"/>
    <x v="1"/>
    <x v="12"/>
    <s v="Digital Signatures - System digital signing of PDF documents generated by bpmn process"/>
    <x v="9"/>
    <n v="240"/>
    <x v="0"/>
    <x v="3"/>
  </r>
  <r>
    <s v="IRM-36809"/>
    <x v="4"/>
    <x v="8"/>
    <s v="SS enhancements -Configure the items that can be publicly available in db level (Part 1/2)"/>
    <x v="0"/>
    <n v="147.69999999999999"/>
    <x v="0"/>
    <x v="0"/>
  </r>
  <r>
    <s v="IRM-36809"/>
    <x v="4"/>
    <x v="8"/>
    <s v="SS enhancements -Configure the items that can be publicly available in db level (Part 1/2)"/>
    <x v="1"/>
    <m/>
    <x v="0"/>
    <x v="0"/>
  </r>
  <r>
    <s v="IRM-36809"/>
    <x v="4"/>
    <x v="8"/>
    <s v="SS enhancements -Configure the items that can be publicly available in db level (Part 1/2)"/>
    <x v="2"/>
    <m/>
    <x v="0"/>
    <x v="0"/>
  </r>
  <r>
    <s v="IRM-36809"/>
    <x v="4"/>
    <x v="8"/>
    <s v="SS enhancements -Configure the items that can be publicly available in db level (Part 1/2)"/>
    <x v="3"/>
    <m/>
    <x v="0"/>
    <x v="0"/>
  </r>
  <r>
    <s v="IRM-36809"/>
    <x v="4"/>
    <x v="8"/>
    <s v="SS enhancements -Configure the items that can be publicly available in db level (Part 1/2)"/>
    <x v="4"/>
    <m/>
    <x v="0"/>
    <x v="0"/>
  </r>
  <r>
    <s v="IRM-36809"/>
    <x v="4"/>
    <x v="8"/>
    <s v="SS enhancements -Configure the items that can be publicly available in db level (Part 1/2)"/>
    <x v="5"/>
    <n v="29.5"/>
    <x v="0"/>
    <x v="1"/>
  </r>
  <r>
    <s v="IRM-36809"/>
    <x v="4"/>
    <x v="8"/>
    <s v="SS enhancements -Configure the items that can be publicly available in db level (Part 1/2)"/>
    <x v="6"/>
    <n v="73.8"/>
    <x v="0"/>
    <x v="0"/>
  </r>
  <r>
    <s v="IRM-36809"/>
    <x v="4"/>
    <x v="8"/>
    <s v="SS enhancements -Configure the items that can be publicly available in db level (Part 1/2)"/>
    <x v="7"/>
    <n v="59.1"/>
    <x v="0"/>
    <x v="0"/>
  </r>
  <r>
    <s v="IRM-36809"/>
    <x v="4"/>
    <x v="8"/>
    <s v="SS enhancements -Configure the items that can be publicly available in db level (Part 1/2)"/>
    <x v="8"/>
    <n v="59.1"/>
    <x v="0"/>
    <x v="0"/>
  </r>
  <r>
    <s v="IRM-36809"/>
    <x v="4"/>
    <x v="8"/>
    <s v="SS enhancements -Configure the items that can be publicly available in db level (Part 1/2)"/>
    <x v="9"/>
    <n v="73.8"/>
    <x v="0"/>
    <x v="0"/>
  </r>
  <r>
    <s v="IRM-36862"/>
    <x v="4"/>
    <x v="5"/>
    <s v="Record Locking - Apply logic to  Party record"/>
    <x v="0"/>
    <n v="533.29999999999995"/>
    <x v="0"/>
    <x v="3"/>
  </r>
  <r>
    <s v="IRM-36862"/>
    <x v="4"/>
    <x v="5"/>
    <s v="Record Locking - Apply logic to  Party record"/>
    <x v="1"/>
    <m/>
    <x v="0"/>
    <x v="3"/>
  </r>
  <r>
    <s v="IRM-36862"/>
    <x v="4"/>
    <x v="5"/>
    <s v="Record Locking - Apply logic to  Party record"/>
    <x v="2"/>
    <m/>
    <x v="0"/>
    <x v="3"/>
  </r>
  <r>
    <s v="IRM-36862"/>
    <x v="4"/>
    <x v="5"/>
    <s v="Record Locking - Apply logic to  Party record"/>
    <x v="3"/>
    <m/>
    <x v="0"/>
    <x v="3"/>
  </r>
  <r>
    <s v="IRM-36862"/>
    <x v="4"/>
    <x v="5"/>
    <s v="Record Locking - Apply logic to  Party record"/>
    <x v="4"/>
    <m/>
    <x v="0"/>
    <x v="3"/>
  </r>
  <r>
    <s v="IRM-36862"/>
    <x v="4"/>
    <x v="5"/>
    <s v="Record Locking - Apply logic to  Party record"/>
    <x v="5"/>
    <n v="106.7"/>
    <x v="0"/>
    <x v="0"/>
  </r>
  <r>
    <s v="IRM-36862"/>
    <x v="4"/>
    <x v="5"/>
    <s v="Record Locking - Apply logic to  Party record"/>
    <x v="6"/>
    <n v="266.60000000000002"/>
    <x v="0"/>
    <x v="3"/>
  </r>
  <r>
    <s v="IRM-36862"/>
    <x v="4"/>
    <x v="5"/>
    <s v="Record Locking - Apply logic to  Party record"/>
    <x v="7"/>
    <n v="213.3"/>
    <x v="0"/>
    <x v="3"/>
  </r>
  <r>
    <s v="IRM-36862"/>
    <x v="4"/>
    <x v="5"/>
    <s v="Record Locking - Apply logic to  Party record"/>
    <x v="8"/>
    <n v="213.3"/>
    <x v="0"/>
    <x v="3"/>
  </r>
  <r>
    <s v="IRM-36862"/>
    <x v="4"/>
    <x v="5"/>
    <s v="Record Locking - Apply logic to  Party record"/>
    <x v="9"/>
    <n v="266.60000000000002"/>
    <x v="0"/>
    <x v="3"/>
  </r>
  <r>
    <s v="IRM-36980"/>
    <x v="1"/>
    <x v="6"/>
    <s v="Update validation for codelist items related to date validity"/>
    <x v="0"/>
    <n v="42.7"/>
    <x v="0"/>
    <x v="0"/>
  </r>
  <r>
    <s v="IRM-36980"/>
    <x v="1"/>
    <x v="6"/>
    <s v="Update validation for codelist items related to date validity"/>
    <x v="1"/>
    <m/>
    <x v="0"/>
    <x v="0"/>
  </r>
  <r>
    <s v="IRM-36980"/>
    <x v="1"/>
    <x v="6"/>
    <s v="Update validation for codelist items related to date validity"/>
    <x v="2"/>
    <m/>
    <x v="0"/>
    <x v="0"/>
  </r>
  <r>
    <s v="IRM-36980"/>
    <x v="1"/>
    <x v="6"/>
    <s v="Update validation for codelist items related to date validity"/>
    <x v="3"/>
    <m/>
    <x v="0"/>
    <x v="0"/>
  </r>
  <r>
    <s v="IRM-36980"/>
    <x v="1"/>
    <x v="6"/>
    <s v="Update validation for codelist items related to date validity"/>
    <x v="4"/>
    <m/>
    <x v="0"/>
    <x v="0"/>
  </r>
  <r>
    <s v="IRM-36980"/>
    <x v="1"/>
    <x v="6"/>
    <s v="Update validation for codelist items related to date validity"/>
    <x v="5"/>
    <n v="8.5"/>
    <x v="0"/>
    <x v="1"/>
  </r>
  <r>
    <s v="IRM-36980"/>
    <x v="1"/>
    <x v="6"/>
    <s v="Update validation for codelist items related to date validity"/>
    <x v="6"/>
    <n v="21.4"/>
    <x v="0"/>
    <x v="0"/>
  </r>
  <r>
    <s v="IRM-36980"/>
    <x v="1"/>
    <x v="6"/>
    <s v="Update validation for codelist items related to date validity"/>
    <x v="7"/>
    <n v="17.100000000000001"/>
    <x v="0"/>
    <x v="0"/>
  </r>
  <r>
    <s v="IRM-36980"/>
    <x v="1"/>
    <x v="6"/>
    <s v="Update validation for codelist items related to date validity"/>
    <x v="8"/>
    <n v="17.100000000000001"/>
    <x v="0"/>
    <x v="0"/>
  </r>
  <r>
    <s v="IRM-36980"/>
    <x v="1"/>
    <x v="6"/>
    <s v="Update validation for codelist items related to date validity"/>
    <x v="9"/>
    <n v="21.4"/>
    <x v="0"/>
    <x v="0"/>
  </r>
  <r>
    <s v="IRM-37212"/>
    <x v="0"/>
    <x v="0"/>
    <s v="View Organizational structure and taxpayers hierarchy structure – User / Part 2 of 2"/>
    <x v="0"/>
    <n v="320"/>
    <x v="0"/>
    <x v="3"/>
  </r>
  <r>
    <s v="IRM-37212"/>
    <x v="0"/>
    <x v="0"/>
    <s v="View Organizational structure and taxpayers hierarchy structure – User / Part 2 of 2"/>
    <x v="1"/>
    <m/>
    <x v="0"/>
    <x v="3"/>
  </r>
  <r>
    <s v="IRM-37212"/>
    <x v="0"/>
    <x v="0"/>
    <s v="View Organizational structure and taxpayers hierarchy structure – User / Part 2 of 2"/>
    <x v="2"/>
    <m/>
    <x v="0"/>
    <x v="3"/>
  </r>
  <r>
    <s v="IRM-37212"/>
    <x v="0"/>
    <x v="0"/>
    <s v="View Organizational structure and taxpayers hierarchy structure – User / Part 2 of 2"/>
    <x v="3"/>
    <m/>
    <x v="0"/>
    <x v="3"/>
  </r>
  <r>
    <s v="IRM-37212"/>
    <x v="0"/>
    <x v="0"/>
    <s v="View Organizational structure and taxpayers hierarchy structure – User / Part 2 of 2"/>
    <x v="4"/>
    <m/>
    <x v="0"/>
    <x v="3"/>
  </r>
  <r>
    <s v="IRM-37212"/>
    <x v="0"/>
    <x v="0"/>
    <s v="View Organizational structure and taxpayers hierarchy structure – User / Part 2 of 2"/>
    <x v="5"/>
    <n v="64"/>
    <x v="0"/>
    <x v="0"/>
  </r>
  <r>
    <s v="IRM-37212"/>
    <x v="0"/>
    <x v="0"/>
    <s v="View Organizational structure and taxpayers hierarchy structure – User / Part 2 of 2"/>
    <x v="6"/>
    <n v="160"/>
    <x v="0"/>
    <x v="3"/>
  </r>
  <r>
    <s v="IRM-37212"/>
    <x v="0"/>
    <x v="0"/>
    <s v="View Organizational structure and taxpayers hierarchy structure – User / Part 2 of 2"/>
    <x v="7"/>
    <n v="128"/>
    <x v="0"/>
    <x v="3"/>
  </r>
  <r>
    <s v="IRM-37212"/>
    <x v="0"/>
    <x v="0"/>
    <s v="View Organizational structure and taxpayers hierarchy structure – User / Part 2 of 2"/>
    <x v="8"/>
    <n v="128"/>
    <x v="0"/>
    <x v="3"/>
  </r>
  <r>
    <s v="IRM-37212"/>
    <x v="0"/>
    <x v="0"/>
    <s v="View Organizational structure and taxpayers hierarchy structure – User / Part 2 of 2"/>
    <x v="9"/>
    <n v="160"/>
    <x v="0"/>
    <x v="3"/>
  </r>
  <r>
    <s v="IRM-374"/>
    <x v="3"/>
    <x v="9"/>
    <s v="SS Payments - Initiate Payment from Self Service Portal - User"/>
    <x v="0"/>
    <n v="181.3"/>
    <x v="0"/>
    <x v="2"/>
  </r>
  <r>
    <s v="IRM-374"/>
    <x v="3"/>
    <x v="9"/>
    <s v="SS Payments - Initiate Payment from Self Service Portal - User"/>
    <x v="1"/>
    <m/>
    <x v="0"/>
    <x v="2"/>
  </r>
  <r>
    <s v="IRM-374"/>
    <x v="3"/>
    <x v="9"/>
    <s v="SS Payments - Initiate Payment from Self Service Portal - User"/>
    <x v="2"/>
    <m/>
    <x v="0"/>
    <x v="2"/>
  </r>
  <r>
    <s v="IRM-374"/>
    <x v="3"/>
    <x v="9"/>
    <s v="SS Payments - Initiate Payment from Self Service Portal - User"/>
    <x v="3"/>
    <m/>
    <x v="0"/>
    <x v="2"/>
  </r>
  <r>
    <s v="IRM-374"/>
    <x v="3"/>
    <x v="9"/>
    <s v="SS Payments - Initiate Payment from Self Service Portal - User"/>
    <x v="4"/>
    <m/>
    <x v="0"/>
    <x v="2"/>
  </r>
  <r>
    <s v="IRM-374"/>
    <x v="3"/>
    <x v="9"/>
    <s v="SS Payments - Initiate Payment from Self Service Portal - User"/>
    <x v="5"/>
    <n v="36.299999999999997"/>
    <x v="0"/>
    <x v="3"/>
  </r>
  <r>
    <s v="IRM-374"/>
    <x v="3"/>
    <x v="9"/>
    <s v="SS Payments - Initiate Payment from Self Service Portal - User"/>
    <x v="6"/>
    <n v="90.6"/>
    <x v="0"/>
    <x v="2"/>
  </r>
  <r>
    <s v="IRM-374"/>
    <x v="3"/>
    <x v="9"/>
    <s v="SS Payments - Initiate Payment from Self Service Portal - User"/>
    <x v="7"/>
    <n v="72.5"/>
    <x v="0"/>
    <x v="2"/>
  </r>
  <r>
    <s v="IRM-374"/>
    <x v="3"/>
    <x v="9"/>
    <s v="SS Payments - Initiate Payment from Self Service Portal - User"/>
    <x v="8"/>
    <n v="72.5"/>
    <x v="0"/>
    <x v="2"/>
  </r>
  <r>
    <s v="IRM-374"/>
    <x v="3"/>
    <x v="9"/>
    <s v="SS Payments - Initiate Payment from Self Service Portal - User"/>
    <x v="9"/>
    <n v="90.6"/>
    <x v="0"/>
    <x v="2"/>
  </r>
  <r>
    <s v="IRM-37610"/>
    <x v="4"/>
    <x v="10"/>
    <s v="Restructure revenue-management-be-custom to align with Hexagonal Architecture"/>
    <x v="0"/>
    <n v="69.3"/>
    <x v="1"/>
    <x v="2"/>
  </r>
  <r>
    <s v="IRM-37610"/>
    <x v="4"/>
    <x v="10"/>
    <s v="Restructure revenue-management-be-custom to align with Hexagonal Architecture"/>
    <x v="1"/>
    <m/>
    <x v="1"/>
    <x v="2"/>
  </r>
  <r>
    <s v="IRM-37610"/>
    <x v="4"/>
    <x v="10"/>
    <s v="Restructure revenue-management-be-custom to align with Hexagonal Architecture"/>
    <x v="2"/>
    <m/>
    <x v="1"/>
    <x v="2"/>
  </r>
  <r>
    <s v="IRM-37610"/>
    <x v="4"/>
    <x v="10"/>
    <s v="Restructure revenue-management-be-custom to align with Hexagonal Architecture"/>
    <x v="3"/>
    <m/>
    <x v="1"/>
    <x v="2"/>
  </r>
  <r>
    <s v="IRM-37610"/>
    <x v="4"/>
    <x v="10"/>
    <s v="Restructure revenue-management-be-custom to align with Hexagonal Architecture"/>
    <x v="4"/>
    <m/>
    <x v="1"/>
    <x v="2"/>
  </r>
  <r>
    <s v="IRM-37610"/>
    <x v="4"/>
    <x v="10"/>
    <s v="Restructure revenue-management-be-custom to align with Hexagonal Architecture"/>
    <x v="5"/>
    <n v="13.9"/>
    <x v="1"/>
    <x v="3"/>
  </r>
  <r>
    <s v="IRM-37610"/>
    <x v="4"/>
    <x v="10"/>
    <s v="Restructure revenue-management-be-custom to align with Hexagonal Architecture"/>
    <x v="6"/>
    <n v="34.6"/>
    <x v="1"/>
    <x v="2"/>
  </r>
  <r>
    <s v="IRM-37610"/>
    <x v="4"/>
    <x v="10"/>
    <s v="Restructure revenue-management-be-custom to align with Hexagonal Architecture"/>
    <x v="7"/>
    <n v="27.7"/>
    <x v="1"/>
    <x v="2"/>
  </r>
  <r>
    <s v="IRM-37610"/>
    <x v="4"/>
    <x v="10"/>
    <s v="Restructure revenue-management-be-custom to align with Hexagonal Architecture"/>
    <x v="8"/>
    <n v="27.7"/>
    <x v="1"/>
    <x v="2"/>
  </r>
  <r>
    <s v="IRM-37610"/>
    <x v="4"/>
    <x v="10"/>
    <s v="Restructure revenue-management-be-custom to align with Hexagonal Architecture"/>
    <x v="9"/>
    <n v="34.6"/>
    <x v="1"/>
    <x v="2"/>
  </r>
  <r>
    <s v="IRM-37656"/>
    <x v="1"/>
    <x v="20"/>
    <s v="Enhanced prefill rules - Separate call from validation logic   (RM &amp;SS)"/>
    <x v="0"/>
    <n v="42.7"/>
    <x v="0"/>
    <x v="0"/>
  </r>
  <r>
    <s v="IRM-37656"/>
    <x v="1"/>
    <x v="20"/>
    <s v="Enhanced prefill rules - Separate call from validation logic   (RM &amp;SS)"/>
    <x v="1"/>
    <m/>
    <x v="0"/>
    <x v="0"/>
  </r>
  <r>
    <s v="IRM-37656"/>
    <x v="1"/>
    <x v="20"/>
    <s v="Enhanced prefill rules - Separate call from validation logic   (RM &amp;SS)"/>
    <x v="2"/>
    <m/>
    <x v="0"/>
    <x v="0"/>
  </r>
  <r>
    <s v="IRM-37656"/>
    <x v="1"/>
    <x v="20"/>
    <s v="Enhanced prefill rules - Separate call from validation logic   (RM &amp;SS)"/>
    <x v="3"/>
    <m/>
    <x v="0"/>
    <x v="0"/>
  </r>
  <r>
    <s v="IRM-37656"/>
    <x v="1"/>
    <x v="20"/>
    <s v="Enhanced prefill rules - Separate call from validation logic   (RM &amp;SS)"/>
    <x v="4"/>
    <m/>
    <x v="0"/>
    <x v="0"/>
  </r>
  <r>
    <s v="IRM-37656"/>
    <x v="1"/>
    <x v="20"/>
    <s v="Enhanced prefill rules - Separate call from validation logic   (RM &amp;SS)"/>
    <x v="5"/>
    <n v="8.5"/>
    <x v="0"/>
    <x v="1"/>
  </r>
  <r>
    <s v="IRM-37656"/>
    <x v="1"/>
    <x v="20"/>
    <s v="Enhanced prefill rules - Separate call from validation logic   (RM &amp;SS)"/>
    <x v="6"/>
    <n v="21.4"/>
    <x v="0"/>
    <x v="0"/>
  </r>
  <r>
    <s v="IRM-37656"/>
    <x v="1"/>
    <x v="20"/>
    <s v="Enhanced prefill rules - Separate call from validation logic   (RM &amp;SS)"/>
    <x v="7"/>
    <n v="17.100000000000001"/>
    <x v="0"/>
    <x v="0"/>
  </r>
  <r>
    <s v="IRM-37656"/>
    <x v="1"/>
    <x v="20"/>
    <s v="Enhanced prefill rules - Separate call from validation logic   (RM &amp;SS)"/>
    <x v="8"/>
    <n v="17.100000000000001"/>
    <x v="0"/>
    <x v="0"/>
  </r>
  <r>
    <s v="IRM-37656"/>
    <x v="1"/>
    <x v="20"/>
    <s v="Enhanced prefill rules - Separate call from validation logic   (RM &amp;SS)"/>
    <x v="9"/>
    <n v="21.4"/>
    <x v="0"/>
    <x v="0"/>
  </r>
  <r>
    <s v="IRM-37721"/>
    <x v="0"/>
    <x v="0"/>
    <s v="More details availability in Revenue types, searching enhancements in  Fts and RTs"/>
    <x v="0"/>
    <n v="320"/>
    <x v="0"/>
    <x v="3"/>
  </r>
  <r>
    <s v="IRM-37721"/>
    <x v="0"/>
    <x v="0"/>
    <s v="More details availability in Revenue types, searching enhancements in  Fts and RTs"/>
    <x v="1"/>
    <m/>
    <x v="0"/>
    <x v="3"/>
  </r>
  <r>
    <s v="IRM-37721"/>
    <x v="0"/>
    <x v="0"/>
    <s v="More details availability in Revenue types, searching enhancements in  Fts and RTs"/>
    <x v="2"/>
    <m/>
    <x v="0"/>
    <x v="3"/>
  </r>
  <r>
    <s v="IRM-37721"/>
    <x v="0"/>
    <x v="0"/>
    <s v="More details availability in Revenue types, searching enhancements in  Fts and RTs"/>
    <x v="3"/>
    <m/>
    <x v="0"/>
    <x v="3"/>
  </r>
  <r>
    <s v="IRM-37721"/>
    <x v="0"/>
    <x v="0"/>
    <s v="More details availability in Revenue types, searching enhancements in  Fts and RTs"/>
    <x v="4"/>
    <m/>
    <x v="0"/>
    <x v="3"/>
  </r>
  <r>
    <s v="IRM-37721"/>
    <x v="0"/>
    <x v="0"/>
    <s v="More details availability in Revenue types, searching enhancements in  Fts and RTs"/>
    <x v="5"/>
    <n v="64"/>
    <x v="0"/>
    <x v="0"/>
  </r>
  <r>
    <s v="IRM-37721"/>
    <x v="0"/>
    <x v="0"/>
    <s v="More details availability in Revenue types, searching enhancements in  Fts and RTs"/>
    <x v="6"/>
    <n v="160"/>
    <x v="0"/>
    <x v="3"/>
  </r>
  <r>
    <s v="IRM-37721"/>
    <x v="0"/>
    <x v="0"/>
    <s v="More details availability in Revenue types, searching enhancements in  Fts and RTs"/>
    <x v="7"/>
    <n v="128"/>
    <x v="0"/>
    <x v="3"/>
  </r>
  <r>
    <s v="IRM-37721"/>
    <x v="0"/>
    <x v="0"/>
    <s v="More details availability in Revenue types, searching enhancements in  Fts and RTs"/>
    <x v="8"/>
    <n v="128"/>
    <x v="0"/>
    <x v="3"/>
  </r>
  <r>
    <s v="IRM-37721"/>
    <x v="0"/>
    <x v="0"/>
    <s v="More details availability in Revenue types, searching enhancements in  Fts and RTs"/>
    <x v="9"/>
    <n v="160"/>
    <x v="0"/>
    <x v="3"/>
  </r>
  <r>
    <s v="IRM-37825"/>
    <x v="0"/>
    <x v="7"/>
    <s v="Transfer Amount - Enhancement on configuration of Bill segment types"/>
    <x v="0"/>
    <n v="106.7"/>
    <x v="0"/>
    <x v="3"/>
  </r>
  <r>
    <s v="IRM-37825"/>
    <x v="0"/>
    <x v="7"/>
    <s v="Transfer Amount - Enhancement on configuration of Bill segment types"/>
    <x v="1"/>
    <m/>
    <x v="0"/>
    <x v="3"/>
  </r>
  <r>
    <s v="IRM-37825"/>
    <x v="0"/>
    <x v="7"/>
    <s v="Transfer Amount - Enhancement on configuration of Bill segment types"/>
    <x v="2"/>
    <m/>
    <x v="0"/>
    <x v="3"/>
  </r>
  <r>
    <s v="IRM-37825"/>
    <x v="0"/>
    <x v="7"/>
    <s v="Transfer Amount - Enhancement on configuration of Bill segment types"/>
    <x v="3"/>
    <m/>
    <x v="0"/>
    <x v="3"/>
  </r>
  <r>
    <s v="IRM-37825"/>
    <x v="0"/>
    <x v="7"/>
    <s v="Transfer Amount - Enhancement on configuration of Bill segment types"/>
    <x v="4"/>
    <m/>
    <x v="0"/>
    <x v="3"/>
  </r>
  <r>
    <s v="IRM-37825"/>
    <x v="0"/>
    <x v="7"/>
    <s v="Transfer Amount - Enhancement on configuration of Bill segment types"/>
    <x v="5"/>
    <n v="21.3"/>
    <x v="0"/>
    <x v="0"/>
  </r>
  <r>
    <s v="IRM-37825"/>
    <x v="0"/>
    <x v="7"/>
    <s v="Transfer Amount - Enhancement on configuration of Bill segment types"/>
    <x v="6"/>
    <n v="53.4"/>
    <x v="0"/>
    <x v="3"/>
  </r>
  <r>
    <s v="IRM-37825"/>
    <x v="0"/>
    <x v="7"/>
    <s v="Transfer Amount - Enhancement on configuration of Bill segment types"/>
    <x v="7"/>
    <n v="42.7"/>
    <x v="0"/>
    <x v="3"/>
  </r>
  <r>
    <s v="IRM-37825"/>
    <x v="0"/>
    <x v="7"/>
    <s v="Transfer Amount - Enhancement on configuration of Bill segment types"/>
    <x v="8"/>
    <n v="42.7"/>
    <x v="0"/>
    <x v="3"/>
  </r>
  <r>
    <s v="IRM-37825"/>
    <x v="0"/>
    <x v="7"/>
    <s v="Transfer Amount - Enhancement on configuration of Bill segment types"/>
    <x v="9"/>
    <n v="53.4"/>
    <x v="0"/>
    <x v="3"/>
  </r>
  <r>
    <s v="IRM-37844"/>
    <x v="0"/>
    <x v="18"/>
    <s v="GL decisions table - Multiline rules and additional parameters /Functionality &amp; Reference Implementation"/>
    <x v="0"/>
    <n v="533.29999999999995"/>
    <x v="0"/>
    <x v="2"/>
  </r>
  <r>
    <s v="IRM-37844"/>
    <x v="0"/>
    <x v="18"/>
    <s v="GL decisions table - Multiline rules and additional parameters /Functionality &amp; Reference Implementation"/>
    <x v="1"/>
    <m/>
    <x v="0"/>
    <x v="2"/>
  </r>
  <r>
    <s v="IRM-37844"/>
    <x v="0"/>
    <x v="18"/>
    <s v="GL decisions table - Multiline rules and additional parameters /Functionality &amp; Reference Implementation"/>
    <x v="2"/>
    <m/>
    <x v="0"/>
    <x v="2"/>
  </r>
  <r>
    <s v="IRM-37844"/>
    <x v="0"/>
    <x v="18"/>
    <s v="GL decisions table - Multiline rules and additional parameters /Functionality &amp; Reference Implementation"/>
    <x v="3"/>
    <m/>
    <x v="0"/>
    <x v="2"/>
  </r>
  <r>
    <s v="IRM-37844"/>
    <x v="0"/>
    <x v="18"/>
    <s v="GL decisions table - Multiline rules and additional parameters /Functionality &amp; Reference Implementation"/>
    <x v="4"/>
    <m/>
    <x v="0"/>
    <x v="2"/>
  </r>
  <r>
    <s v="IRM-37844"/>
    <x v="0"/>
    <x v="18"/>
    <s v="GL decisions table - Multiline rules and additional parameters /Functionality &amp; Reference Implementation"/>
    <x v="5"/>
    <n v="106.7"/>
    <x v="0"/>
    <x v="3"/>
  </r>
  <r>
    <s v="IRM-37844"/>
    <x v="0"/>
    <x v="18"/>
    <s v="GL decisions table - Multiline rules and additional parameters /Functionality &amp; Reference Implementation"/>
    <x v="6"/>
    <n v="266.60000000000002"/>
    <x v="0"/>
    <x v="2"/>
  </r>
  <r>
    <s v="IRM-37844"/>
    <x v="0"/>
    <x v="18"/>
    <s v="GL decisions table - Multiline rules and additional parameters /Functionality &amp; Reference Implementation"/>
    <x v="7"/>
    <n v="213.3"/>
    <x v="0"/>
    <x v="2"/>
  </r>
  <r>
    <s v="IRM-37844"/>
    <x v="0"/>
    <x v="18"/>
    <s v="GL decisions table - Multiline rules and additional parameters /Functionality &amp; Reference Implementation"/>
    <x v="8"/>
    <n v="213.3"/>
    <x v="0"/>
    <x v="2"/>
  </r>
  <r>
    <s v="IRM-37844"/>
    <x v="0"/>
    <x v="18"/>
    <s v="GL decisions table - Multiline rules and additional parameters /Functionality &amp; Reference Implementation"/>
    <x v="9"/>
    <n v="266.60000000000002"/>
    <x v="0"/>
    <x v="2"/>
  </r>
  <r>
    <s v="IRM-37845"/>
    <x v="0"/>
    <x v="0"/>
    <s v="Enhance Validity period conditions in Registry detail entities to support multiple modifications in the same date"/>
    <x v="0"/>
    <n v="266.7"/>
    <x v="0"/>
    <x v="3"/>
  </r>
  <r>
    <s v="IRM-37845"/>
    <x v="0"/>
    <x v="0"/>
    <s v="Enhance Validity period conditions in Registry detail entities to support multiple modifications in the same date"/>
    <x v="1"/>
    <m/>
    <x v="0"/>
    <x v="3"/>
  </r>
  <r>
    <s v="IRM-37845"/>
    <x v="0"/>
    <x v="0"/>
    <s v="Enhance Validity period conditions in Registry detail entities to support multiple modifications in the same date"/>
    <x v="2"/>
    <m/>
    <x v="0"/>
    <x v="3"/>
  </r>
  <r>
    <s v="IRM-37845"/>
    <x v="0"/>
    <x v="0"/>
    <s v="Enhance Validity period conditions in Registry detail entities to support multiple modifications in the same date"/>
    <x v="3"/>
    <m/>
    <x v="0"/>
    <x v="3"/>
  </r>
  <r>
    <s v="IRM-37845"/>
    <x v="0"/>
    <x v="0"/>
    <s v="Enhance Validity period conditions in Registry detail entities to support multiple modifications in the same date"/>
    <x v="4"/>
    <m/>
    <x v="0"/>
    <x v="3"/>
  </r>
  <r>
    <s v="IRM-37845"/>
    <x v="0"/>
    <x v="0"/>
    <s v="Enhance Validity period conditions in Registry detail entities to support multiple modifications in the same date"/>
    <x v="5"/>
    <n v="53.3"/>
    <x v="0"/>
    <x v="0"/>
  </r>
  <r>
    <s v="IRM-37845"/>
    <x v="0"/>
    <x v="0"/>
    <s v="Enhance Validity period conditions in Registry detail entities to support multiple modifications in the same date"/>
    <x v="6"/>
    <n v="133.4"/>
    <x v="0"/>
    <x v="3"/>
  </r>
  <r>
    <s v="IRM-37845"/>
    <x v="0"/>
    <x v="0"/>
    <s v="Enhance Validity period conditions in Registry detail entities to support multiple modifications in the same date"/>
    <x v="7"/>
    <n v="106.7"/>
    <x v="0"/>
    <x v="3"/>
  </r>
  <r>
    <s v="IRM-37845"/>
    <x v="0"/>
    <x v="0"/>
    <s v="Enhance Validity period conditions in Registry detail entities to support multiple modifications in the same date"/>
    <x v="8"/>
    <n v="106.7"/>
    <x v="0"/>
    <x v="3"/>
  </r>
  <r>
    <s v="IRM-37845"/>
    <x v="0"/>
    <x v="0"/>
    <s v="Enhance Validity period conditions in Registry detail entities to support multiple modifications in the same date"/>
    <x v="9"/>
    <n v="133.4"/>
    <x v="0"/>
    <x v="3"/>
  </r>
  <r>
    <s v="IRM-37864"/>
    <x v="4"/>
    <x v="30"/>
    <s v="Automation testing for SS /WIP"/>
    <x v="0"/>
    <m/>
    <x v="1"/>
    <x v="2"/>
  </r>
  <r>
    <s v="IRM-37864"/>
    <x v="4"/>
    <x v="30"/>
    <s v="Automation testing for SS /WIP"/>
    <x v="1"/>
    <m/>
    <x v="1"/>
    <x v="2"/>
  </r>
  <r>
    <s v="IRM-37864"/>
    <x v="4"/>
    <x v="30"/>
    <s v="Automation testing for SS /WIP"/>
    <x v="2"/>
    <m/>
    <x v="1"/>
    <x v="2"/>
  </r>
  <r>
    <s v="IRM-37864"/>
    <x v="4"/>
    <x v="30"/>
    <s v="Automation testing for SS /WIP"/>
    <x v="3"/>
    <m/>
    <x v="1"/>
    <x v="2"/>
  </r>
  <r>
    <s v="IRM-37864"/>
    <x v="4"/>
    <x v="30"/>
    <s v="Automation testing for SS /WIP"/>
    <x v="4"/>
    <m/>
    <x v="1"/>
    <x v="2"/>
  </r>
  <r>
    <s v="IRM-37864"/>
    <x v="4"/>
    <x v="30"/>
    <s v="Automation testing for SS /WIP"/>
    <x v="5"/>
    <m/>
    <x v="1"/>
    <x v="3"/>
  </r>
  <r>
    <s v="IRM-37864"/>
    <x v="4"/>
    <x v="30"/>
    <s v="Automation testing for SS /WIP"/>
    <x v="6"/>
    <m/>
    <x v="1"/>
    <x v="2"/>
  </r>
  <r>
    <s v="IRM-37864"/>
    <x v="4"/>
    <x v="30"/>
    <s v="Automation testing for SS /WIP"/>
    <x v="7"/>
    <m/>
    <x v="1"/>
    <x v="2"/>
  </r>
  <r>
    <s v="IRM-37864"/>
    <x v="4"/>
    <x v="30"/>
    <s v="Automation testing for SS /WIP"/>
    <x v="8"/>
    <m/>
    <x v="1"/>
    <x v="2"/>
  </r>
  <r>
    <s v="IRM-37864"/>
    <x v="4"/>
    <x v="30"/>
    <s v="Automation testing for SS /WIP"/>
    <x v="9"/>
    <m/>
    <x v="1"/>
    <x v="2"/>
  </r>
  <r>
    <s v="IRM-37865"/>
    <x v="4"/>
    <x v="8"/>
    <s v="SS enhancements -Configure the items that can be publicly available in db level Part 2/2"/>
    <x v="0"/>
    <n v="190.7"/>
    <x v="0"/>
    <x v="3"/>
  </r>
  <r>
    <s v="IRM-37865"/>
    <x v="4"/>
    <x v="8"/>
    <s v="SS enhancements -Configure the items that can be publicly available in db level Part 2/2"/>
    <x v="1"/>
    <m/>
    <x v="0"/>
    <x v="3"/>
  </r>
  <r>
    <s v="IRM-37865"/>
    <x v="4"/>
    <x v="8"/>
    <s v="SS enhancements -Configure the items that can be publicly available in db level Part 2/2"/>
    <x v="2"/>
    <m/>
    <x v="0"/>
    <x v="3"/>
  </r>
  <r>
    <s v="IRM-37865"/>
    <x v="4"/>
    <x v="8"/>
    <s v="SS enhancements -Configure the items that can be publicly available in db level Part 2/2"/>
    <x v="3"/>
    <m/>
    <x v="0"/>
    <x v="3"/>
  </r>
  <r>
    <s v="IRM-37865"/>
    <x v="4"/>
    <x v="8"/>
    <s v="SS enhancements -Configure the items that can be publicly available in db level Part 2/2"/>
    <x v="4"/>
    <m/>
    <x v="0"/>
    <x v="3"/>
  </r>
  <r>
    <s v="IRM-37865"/>
    <x v="4"/>
    <x v="8"/>
    <s v="SS enhancements -Configure the items that can be publicly available in db level Part 2/2"/>
    <x v="5"/>
    <n v="38.1"/>
    <x v="0"/>
    <x v="0"/>
  </r>
  <r>
    <s v="IRM-37865"/>
    <x v="4"/>
    <x v="8"/>
    <s v="SS enhancements -Configure the items that can be publicly available in db level Part 2/2"/>
    <x v="6"/>
    <n v="95.4"/>
    <x v="0"/>
    <x v="3"/>
  </r>
  <r>
    <s v="IRM-37865"/>
    <x v="4"/>
    <x v="8"/>
    <s v="SS enhancements -Configure the items that can be publicly available in db level Part 2/2"/>
    <x v="7"/>
    <n v="76.3"/>
    <x v="0"/>
    <x v="3"/>
  </r>
  <r>
    <s v="IRM-37865"/>
    <x v="4"/>
    <x v="8"/>
    <s v="SS enhancements -Configure the items that can be publicly available in db level Part 2/2"/>
    <x v="8"/>
    <n v="76.3"/>
    <x v="0"/>
    <x v="3"/>
  </r>
  <r>
    <s v="IRM-37865"/>
    <x v="4"/>
    <x v="8"/>
    <s v="SS enhancements -Configure the items that can be publicly available in db level Part 2/2"/>
    <x v="9"/>
    <n v="95.4"/>
    <x v="0"/>
    <x v="3"/>
  </r>
  <r>
    <s v="IRM-37867"/>
    <x v="4"/>
    <x v="10"/>
    <s v="Allowed Unicode characters to be used in 'Code' fields of configuration records (Excl.: Registration/Taxpayer Accounting)"/>
    <x v="0"/>
    <n v="160"/>
    <x v="0"/>
    <x v="3"/>
  </r>
  <r>
    <s v="IRM-37867"/>
    <x v="4"/>
    <x v="10"/>
    <s v="Allowed Unicode characters to be used in 'Code' fields of configuration records (Excl.: Registration/Taxpayer Accounting)"/>
    <x v="1"/>
    <m/>
    <x v="0"/>
    <x v="3"/>
  </r>
  <r>
    <s v="IRM-37867"/>
    <x v="4"/>
    <x v="10"/>
    <s v="Allowed Unicode characters to be used in 'Code' fields of configuration records (Excl.: Registration/Taxpayer Accounting)"/>
    <x v="2"/>
    <m/>
    <x v="0"/>
    <x v="3"/>
  </r>
  <r>
    <s v="IRM-37867"/>
    <x v="4"/>
    <x v="10"/>
    <s v="Allowed Unicode characters to be used in 'Code' fields of configuration records (Excl.: Registration/Taxpayer Accounting)"/>
    <x v="3"/>
    <m/>
    <x v="0"/>
    <x v="3"/>
  </r>
  <r>
    <s v="IRM-37867"/>
    <x v="4"/>
    <x v="10"/>
    <s v="Allowed Unicode characters to be used in 'Code' fields of configuration records (Excl.: Registration/Taxpayer Accounting)"/>
    <x v="4"/>
    <m/>
    <x v="0"/>
    <x v="3"/>
  </r>
  <r>
    <s v="IRM-37867"/>
    <x v="4"/>
    <x v="10"/>
    <s v="Allowed Unicode characters to be used in 'Code' fields of configuration records (Excl.: Registration/Taxpayer Accounting)"/>
    <x v="5"/>
    <n v="32"/>
    <x v="0"/>
    <x v="0"/>
  </r>
  <r>
    <s v="IRM-37867"/>
    <x v="4"/>
    <x v="10"/>
    <s v="Allowed Unicode characters to be used in 'Code' fields of configuration records (Excl.: Registration/Taxpayer Accounting)"/>
    <x v="6"/>
    <n v="80"/>
    <x v="0"/>
    <x v="3"/>
  </r>
  <r>
    <s v="IRM-37867"/>
    <x v="4"/>
    <x v="10"/>
    <s v="Allowed Unicode characters to be used in 'Code' fields of configuration records (Excl.: Registration/Taxpayer Accounting)"/>
    <x v="7"/>
    <n v="64"/>
    <x v="0"/>
    <x v="3"/>
  </r>
  <r>
    <s v="IRM-37867"/>
    <x v="4"/>
    <x v="10"/>
    <s v="Allowed Unicode characters to be used in 'Code' fields of configuration records (Excl.: Registration/Taxpayer Accounting)"/>
    <x v="8"/>
    <n v="64"/>
    <x v="0"/>
    <x v="3"/>
  </r>
  <r>
    <s v="IRM-37867"/>
    <x v="4"/>
    <x v="10"/>
    <s v="Allowed Unicode characters to be used in 'Code' fields of configuration records (Excl.: Registration/Taxpayer Accounting)"/>
    <x v="9"/>
    <n v="80"/>
    <x v="0"/>
    <x v="3"/>
  </r>
  <r>
    <s v="IRM-37871"/>
    <x v="4"/>
    <x v="13"/>
    <s v="UI/UX Improvements : Search and navigation : Bars at the top of the pages"/>
    <x v="0"/>
    <n v="45.3"/>
    <x v="1"/>
    <x v="3"/>
  </r>
  <r>
    <s v="IRM-37871"/>
    <x v="4"/>
    <x v="13"/>
    <s v="UI/UX Improvements : Search and navigation : Bars at the top of the pages"/>
    <x v="1"/>
    <m/>
    <x v="1"/>
    <x v="3"/>
  </r>
  <r>
    <s v="IRM-37871"/>
    <x v="4"/>
    <x v="13"/>
    <s v="UI/UX Improvements : Search and navigation : Bars at the top of the pages"/>
    <x v="2"/>
    <m/>
    <x v="1"/>
    <x v="3"/>
  </r>
  <r>
    <s v="IRM-37871"/>
    <x v="4"/>
    <x v="13"/>
    <s v="UI/UX Improvements : Search and navigation : Bars at the top of the pages"/>
    <x v="3"/>
    <m/>
    <x v="1"/>
    <x v="3"/>
  </r>
  <r>
    <s v="IRM-37871"/>
    <x v="4"/>
    <x v="13"/>
    <s v="UI/UX Improvements : Search and navigation : Bars at the top of the pages"/>
    <x v="4"/>
    <m/>
    <x v="1"/>
    <x v="3"/>
  </r>
  <r>
    <s v="IRM-37871"/>
    <x v="4"/>
    <x v="13"/>
    <s v="UI/UX Improvements : Search and navigation : Bars at the top of the pages"/>
    <x v="5"/>
    <n v="9.1"/>
    <x v="1"/>
    <x v="0"/>
  </r>
  <r>
    <s v="IRM-37871"/>
    <x v="4"/>
    <x v="13"/>
    <s v="UI/UX Improvements : Search and navigation : Bars at the top of the pages"/>
    <x v="6"/>
    <n v="22.6"/>
    <x v="1"/>
    <x v="3"/>
  </r>
  <r>
    <s v="IRM-37871"/>
    <x v="4"/>
    <x v="13"/>
    <s v="UI/UX Improvements : Search and navigation : Bars at the top of the pages"/>
    <x v="7"/>
    <n v="18.100000000000001"/>
    <x v="1"/>
    <x v="3"/>
  </r>
  <r>
    <s v="IRM-37871"/>
    <x v="4"/>
    <x v="13"/>
    <s v="UI/UX Improvements : Search and navigation : Bars at the top of the pages"/>
    <x v="8"/>
    <n v="18.100000000000001"/>
    <x v="1"/>
    <x v="3"/>
  </r>
  <r>
    <s v="IRM-37871"/>
    <x v="4"/>
    <x v="13"/>
    <s v="UI/UX Improvements : Search and navigation : Bars at the top of the pages"/>
    <x v="9"/>
    <n v="22.6"/>
    <x v="1"/>
    <x v="3"/>
  </r>
  <r>
    <s v="IRM-38190"/>
    <x v="6"/>
    <x v="29"/>
    <s v="Representations : Form Types and Access to Apis  as Services / Reference implementation "/>
    <x v="0"/>
    <n v="106.7"/>
    <x v="0"/>
    <x v="3"/>
  </r>
  <r>
    <s v="IRM-38190"/>
    <x v="6"/>
    <x v="29"/>
    <s v="Representations : Form Types and Access to Apis  as Services / Reference implementation "/>
    <x v="1"/>
    <m/>
    <x v="0"/>
    <x v="3"/>
  </r>
  <r>
    <s v="IRM-38190"/>
    <x v="6"/>
    <x v="29"/>
    <s v="Representations : Form Types and Access to Apis  as Services / Reference implementation "/>
    <x v="2"/>
    <m/>
    <x v="0"/>
    <x v="3"/>
  </r>
  <r>
    <s v="IRM-38190"/>
    <x v="6"/>
    <x v="29"/>
    <s v="Representations : Form Types and Access to Apis  as Services / Reference implementation "/>
    <x v="3"/>
    <m/>
    <x v="0"/>
    <x v="3"/>
  </r>
  <r>
    <s v="IRM-38190"/>
    <x v="6"/>
    <x v="29"/>
    <s v="Representations : Form Types and Access to Apis  as Services / Reference implementation "/>
    <x v="4"/>
    <m/>
    <x v="0"/>
    <x v="3"/>
  </r>
  <r>
    <s v="IRM-38190"/>
    <x v="6"/>
    <x v="29"/>
    <s v="Representations : Form Types and Access to Apis  as Services / Reference implementation "/>
    <x v="5"/>
    <n v="21.3"/>
    <x v="0"/>
    <x v="0"/>
  </r>
  <r>
    <s v="IRM-38190"/>
    <x v="6"/>
    <x v="29"/>
    <s v="Representations : Form Types and Access to Apis  as Services / Reference implementation "/>
    <x v="6"/>
    <n v="53.4"/>
    <x v="0"/>
    <x v="3"/>
  </r>
  <r>
    <s v="IRM-38190"/>
    <x v="6"/>
    <x v="29"/>
    <s v="Representations : Form Types and Access to Apis  as Services / Reference implementation "/>
    <x v="7"/>
    <n v="42.7"/>
    <x v="0"/>
    <x v="3"/>
  </r>
  <r>
    <s v="IRM-38190"/>
    <x v="6"/>
    <x v="29"/>
    <s v="Representations : Form Types and Access to Apis  as Services / Reference implementation "/>
    <x v="8"/>
    <n v="42.7"/>
    <x v="0"/>
    <x v="3"/>
  </r>
  <r>
    <s v="IRM-38190"/>
    <x v="6"/>
    <x v="29"/>
    <s v="Representations : Form Types and Access to Apis  as Services / Reference implementation "/>
    <x v="9"/>
    <n v="53.4"/>
    <x v="0"/>
    <x v="3"/>
  </r>
  <r>
    <s v="IRM-38230"/>
    <x v="4"/>
    <x v="19"/>
    <s v="Green coding Programming Guidelines"/>
    <x v="0"/>
    <n v="80"/>
    <x v="1"/>
    <x v="3"/>
  </r>
  <r>
    <s v="IRM-38230"/>
    <x v="4"/>
    <x v="19"/>
    <s v="Green coding Programming Guidelines"/>
    <x v="1"/>
    <m/>
    <x v="1"/>
    <x v="3"/>
  </r>
  <r>
    <s v="IRM-38230"/>
    <x v="4"/>
    <x v="19"/>
    <s v="Green coding Programming Guidelines"/>
    <x v="2"/>
    <m/>
    <x v="1"/>
    <x v="3"/>
  </r>
  <r>
    <s v="IRM-38230"/>
    <x v="4"/>
    <x v="19"/>
    <s v="Green coding Programming Guidelines"/>
    <x v="3"/>
    <m/>
    <x v="1"/>
    <x v="3"/>
  </r>
  <r>
    <s v="IRM-38230"/>
    <x v="4"/>
    <x v="19"/>
    <s v="Green coding Programming Guidelines"/>
    <x v="4"/>
    <m/>
    <x v="1"/>
    <x v="3"/>
  </r>
  <r>
    <s v="IRM-38230"/>
    <x v="4"/>
    <x v="19"/>
    <s v="Green coding Programming Guidelines"/>
    <x v="5"/>
    <n v="16"/>
    <x v="1"/>
    <x v="0"/>
  </r>
  <r>
    <s v="IRM-38230"/>
    <x v="4"/>
    <x v="19"/>
    <s v="Green coding Programming Guidelines"/>
    <x v="6"/>
    <n v="40"/>
    <x v="1"/>
    <x v="3"/>
  </r>
  <r>
    <s v="IRM-38230"/>
    <x v="4"/>
    <x v="19"/>
    <s v="Green coding Programming Guidelines"/>
    <x v="7"/>
    <n v="32"/>
    <x v="1"/>
    <x v="3"/>
  </r>
  <r>
    <s v="IRM-38230"/>
    <x v="4"/>
    <x v="19"/>
    <s v="Green coding Programming Guidelines"/>
    <x v="8"/>
    <n v="32"/>
    <x v="1"/>
    <x v="3"/>
  </r>
  <r>
    <s v="IRM-38230"/>
    <x v="4"/>
    <x v="19"/>
    <s v="Green coding Programming Guidelines"/>
    <x v="9"/>
    <n v="40"/>
    <x v="1"/>
    <x v="3"/>
  </r>
  <r>
    <s v="IRM-38238"/>
    <x v="4"/>
    <x v="19"/>
    <s v="Green coding CI/CD flow optimization"/>
    <x v="0"/>
    <n v="69.3"/>
    <x v="1"/>
    <x v="2"/>
  </r>
  <r>
    <s v="IRM-38238"/>
    <x v="4"/>
    <x v="19"/>
    <s v="Green coding CI/CD flow optimization"/>
    <x v="1"/>
    <m/>
    <x v="1"/>
    <x v="2"/>
  </r>
  <r>
    <s v="IRM-38238"/>
    <x v="4"/>
    <x v="19"/>
    <s v="Green coding CI/CD flow optimization"/>
    <x v="2"/>
    <m/>
    <x v="1"/>
    <x v="2"/>
  </r>
  <r>
    <s v="IRM-38238"/>
    <x v="4"/>
    <x v="19"/>
    <s v="Green coding CI/CD flow optimization"/>
    <x v="3"/>
    <m/>
    <x v="1"/>
    <x v="2"/>
  </r>
  <r>
    <s v="IRM-38238"/>
    <x v="4"/>
    <x v="19"/>
    <s v="Green coding CI/CD flow optimization"/>
    <x v="4"/>
    <m/>
    <x v="1"/>
    <x v="2"/>
  </r>
  <r>
    <s v="IRM-38238"/>
    <x v="4"/>
    <x v="19"/>
    <s v="Green coding CI/CD flow optimization"/>
    <x v="5"/>
    <n v="13.9"/>
    <x v="1"/>
    <x v="3"/>
  </r>
  <r>
    <s v="IRM-38238"/>
    <x v="4"/>
    <x v="19"/>
    <s v="Green coding CI/CD flow optimization"/>
    <x v="6"/>
    <n v="34.6"/>
    <x v="1"/>
    <x v="2"/>
  </r>
  <r>
    <s v="IRM-38238"/>
    <x v="4"/>
    <x v="19"/>
    <s v="Green coding CI/CD flow optimization"/>
    <x v="7"/>
    <n v="27.7"/>
    <x v="1"/>
    <x v="2"/>
  </r>
  <r>
    <s v="IRM-38238"/>
    <x v="4"/>
    <x v="19"/>
    <s v="Green coding CI/CD flow optimization"/>
    <x v="8"/>
    <n v="27.7"/>
    <x v="1"/>
    <x v="2"/>
  </r>
  <r>
    <s v="IRM-38238"/>
    <x v="4"/>
    <x v="19"/>
    <s v="Green coding CI/CD flow optimization"/>
    <x v="9"/>
    <n v="34.6"/>
    <x v="1"/>
    <x v="2"/>
  </r>
  <r>
    <s v="IRM-38242"/>
    <x v="4"/>
    <x v="10"/>
    <s v="Improve Dev Experience for local setup"/>
    <x v="0"/>
    <n v="53.3"/>
    <x v="1"/>
    <x v="3"/>
  </r>
  <r>
    <s v="IRM-38242"/>
    <x v="4"/>
    <x v="10"/>
    <s v="Improve Dev Experience for local setup"/>
    <x v="1"/>
    <m/>
    <x v="1"/>
    <x v="3"/>
  </r>
  <r>
    <s v="IRM-38242"/>
    <x v="4"/>
    <x v="10"/>
    <s v="Improve Dev Experience for local setup"/>
    <x v="2"/>
    <m/>
    <x v="1"/>
    <x v="3"/>
  </r>
  <r>
    <s v="IRM-38242"/>
    <x v="4"/>
    <x v="10"/>
    <s v="Improve Dev Experience for local setup"/>
    <x v="3"/>
    <m/>
    <x v="1"/>
    <x v="3"/>
  </r>
  <r>
    <s v="IRM-38242"/>
    <x v="4"/>
    <x v="10"/>
    <s v="Improve Dev Experience for local setup"/>
    <x v="4"/>
    <m/>
    <x v="1"/>
    <x v="3"/>
  </r>
  <r>
    <s v="IRM-38242"/>
    <x v="4"/>
    <x v="10"/>
    <s v="Improve Dev Experience for local setup"/>
    <x v="5"/>
    <n v="10.7"/>
    <x v="1"/>
    <x v="0"/>
  </r>
  <r>
    <s v="IRM-38242"/>
    <x v="4"/>
    <x v="10"/>
    <s v="Improve Dev Experience for local setup"/>
    <x v="6"/>
    <n v="26.6"/>
    <x v="1"/>
    <x v="3"/>
  </r>
  <r>
    <s v="IRM-38242"/>
    <x v="4"/>
    <x v="10"/>
    <s v="Improve Dev Experience for local setup"/>
    <x v="7"/>
    <n v="21.3"/>
    <x v="1"/>
    <x v="3"/>
  </r>
  <r>
    <s v="IRM-38242"/>
    <x v="4"/>
    <x v="10"/>
    <s v="Improve Dev Experience for local setup"/>
    <x v="8"/>
    <n v="21.3"/>
    <x v="1"/>
    <x v="3"/>
  </r>
  <r>
    <s v="IRM-38242"/>
    <x v="4"/>
    <x v="10"/>
    <s v="Improve Dev Experience for local setup"/>
    <x v="9"/>
    <n v="26.6"/>
    <x v="1"/>
    <x v="3"/>
  </r>
  <r>
    <s v="IRM-38250"/>
    <x v="1"/>
    <x v="6"/>
    <s v="Enhance codelist items codes flexibility and historical track in Solon Tax"/>
    <x v="0"/>
    <n v="186.7"/>
    <x v="0"/>
    <x v="3"/>
  </r>
  <r>
    <s v="IRM-38250"/>
    <x v="1"/>
    <x v="6"/>
    <s v="Enhance codelist items codes flexibility and historical track in Solon Tax"/>
    <x v="1"/>
    <m/>
    <x v="0"/>
    <x v="3"/>
  </r>
  <r>
    <s v="IRM-38250"/>
    <x v="1"/>
    <x v="6"/>
    <s v="Enhance codelist items codes flexibility and historical track in Solon Tax"/>
    <x v="2"/>
    <m/>
    <x v="0"/>
    <x v="3"/>
  </r>
  <r>
    <s v="IRM-38250"/>
    <x v="1"/>
    <x v="6"/>
    <s v="Enhance codelist items codes flexibility and historical track in Solon Tax"/>
    <x v="3"/>
    <m/>
    <x v="0"/>
    <x v="3"/>
  </r>
  <r>
    <s v="IRM-38250"/>
    <x v="1"/>
    <x v="6"/>
    <s v="Enhance codelist items codes flexibility and historical track in Solon Tax"/>
    <x v="4"/>
    <m/>
    <x v="0"/>
    <x v="3"/>
  </r>
  <r>
    <s v="IRM-38250"/>
    <x v="1"/>
    <x v="6"/>
    <s v="Enhance codelist items codes flexibility and historical track in Solon Tax"/>
    <x v="5"/>
    <n v="37.299999999999997"/>
    <x v="0"/>
    <x v="0"/>
  </r>
  <r>
    <s v="IRM-38250"/>
    <x v="1"/>
    <x v="6"/>
    <s v="Enhance codelist items codes flexibility and historical track in Solon Tax"/>
    <x v="6"/>
    <n v="93.4"/>
    <x v="0"/>
    <x v="3"/>
  </r>
  <r>
    <s v="IRM-38250"/>
    <x v="1"/>
    <x v="6"/>
    <s v="Enhance codelist items codes flexibility and historical track in Solon Tax"/>
    <x v="7"/>
    <n v="74.7"/>
    <x v="0"/>
    <x v="3"/>
  </r>
  <r>
    <s v="IRM-38250"/>
    <x v="1"/>
    <x v="6"/>
    <s v="Enhance codelist items codes flexibility and historical track in Solon Tax"/>
    <x v="8"/>
    <n v="74.7"/>
    <x v="0"/>
    <x v="3"/>
  </r>
  <r>
    <s v="IRM-38250"/>
    <x v="1"/>
    <x v="6"/>
    <s v="Enhance codelist items codes flexibility and historical track in Solon Tax"/>
    <x v="9"/>
    <n v="93.4"/>
    <x v="0"/>
    <x v="3"/>
  </r>
  <r>
    <s v="IRM-38308"/>
    <x v="0"/>
    <x v="31"/>
    <s v="Introduce a Threshold Amount Field in Revenue Type Registration to support Tax Account"/>
    <x v="0"/>
    <n v="181.3"/>
    <x v="2"/>
    <x v="2"/>
  </r>
  <r>
    <s v="IRM-38308"/>
    <x v="0"/>
    <x v="31"/>
    <s v="Introduce a Threshold Amount Field in Revenue Type Registration to support Tax Account"/>
    <x v="1"/>
    <m/>
    <x v="2"/>
    <x v="2"/>
  </r>
  <r>
    <s v="IRM-38308"/>
    <x v="0"/>
    <x v="31"/>
    <s v="Introduce a Threshold Amount Field in Revenue Type Registration to support Tax Account"/>
    <x v="2"/>
    <m/>
    <x v="2"/>
    <x v="2"/>
  </r>
  <r>
    <s v="IRM-38308"/>
    <x v="0"/>
    <x v="31"/>
    <s v="Introduce a Threshold Amount Field in Revenue Type Registration to support Tax Account"/>
    <x v="3"/>
    <m/>
    <x v="2"/>
    <x v="2"/>
  </r>
  <r>
    <s v="IRM-38308"/>
    <x v="0"/>
    <x v="31"/>
    <s v="Introduce a Threshold Amount Field in Revenue Type Registration to support Tax Account"/>
    <x v="4"/>
    <m/>
    <x v="2"/>
    <x v="2"/>
  </r>
  <r>
    <s v="IRM-38308"/>
    <x v="0"/>
    <x v="31"/>
    <s v="Introduce a Threshold Amount Field in Revenue Type Registration to support Tax Account"/>
    <x v="5"/>
    <n v="36.299999999999997"/>
    <x v="2"/>
    <x v="3"/>
  </r>
  <r>
    <s v="IRM-38308"/>
    <x v="0"/>
    <x v="31"/>
    <s v="Introduce a Threshold Amount Field in Revenue Type Registration to support Tax Account"/>
    <x v="6"/>
    <n v="90.6"/>
    <x v="2"/>
    <x v="2"/>
  </r>
  <r>
    <s v="IRM-38308"/>
    <x v="0"/>
    <x v="31"/>
    <s v="Introduce a Threshold Amount Field in Revenue Type Registration to support Tax Account"/>
    <x v="7"/>
    <n v="72.5"/>
    <x v="2"/>
    <x v="2"/>
  </r>
  <r>
    <s v="IRM-38308"/>
    <x v="0"/>
    <x v="31"/>
    <s v="Introduce a Threshold Amount Field in Revenue Type Registration to support Tax Account"/>
    <x v="8"/>
    <n v="72.5"/>
    <x v="2"/>
    <x v="2"/>
  </r>
  <r>
    <s v="IRM-38308"/>
    <x v="0"/>
    <x v="31"/>
    <s v="Introduce a Threshold Amount Field in Revenue Type Registration to support Tax Account"/>
    <x v="9"/>
    <n v="90.6"/>
    <x v="2"/>
    <x v="2"/>
  </r>
  <r>
    <s v="IRM-38335"/>
    <x v="4"/>
    <x v="4"/>
    <s v="Audit Log - Ability to keep Audit trail for registration /LEFTOVER"/>
    <x v="0"/>
    <n v="128"/>
    <x v="0"/>
    <x v="3"/>
  </r>
  <r>
    <s v="IRM-38335"/>
    <x v="4"/>
    <x v="4"/>
    <s v="Audit Log - Ability to keep Audit trail for registration /LEFTOVER"/>
    <x v="1"/>
    <m/>
    <x v="0"/>
    <x v="3"/>
  </r>
  <r>
    <s v="IRM-38335"/>
    <x v="4"/>
    <x v="4"/>
    <s v="Audit Log - Ability to keep Audit trail for registration /LEFTOVER"/>
    <x v="2"/>
    <m/>
    <x v="0"/>
    <x v="3"/>
  </r>
  <r>
    <s v="IRM-38335"/>
    <x v="4"/>
    <x v="4"/>
    <s v="Audit Log - Ability to keep Audit trail for registration /LEFTOVER"/>
    <x v="3"/>
    <m/>
    <x v="0"/>
    <x v="3"/>
  </r>
  <r>
    <s v="IRM-38335"/>
    <x v="4"/>
    <x v="4"/>
    <s v="Audit Log - Ability to keep Audit trail for registration /LEFTOVER"/>
    <x v="4"/>
    <m/>
    <x v="0"/>
    <x v="3"/>
  </r>
  <r>
    <s v="IRM-38335"/>
    <x v="4"/>
    <x v="4"/>
    <s v="Audit Log - Ability to keep Audit trail for registration /LEFTOVER"/>
    <x v="5"/>
    <n v="25.6"/>
    <x v="0"/>
    <x v="0"/>
  </r>
  <r>
    <s v="IRM-38335"/>
    <x v="4"/>
    <x v="4"/>
    <s v="Audit Log - Ability to keep Audit trail for registration /LEFTOVER"/>
    <x v="6"/>
    <n v="64"/>
    <x v="0"/>
    <x v="3"/>
  </r>
  <r>
    <s v="IRM-38335"/>
    <x v="4"/>
    <x v="4"/>
    <s v="Audit Log - Ability to keep Audit trail for registration /LEFTOVER"/>
    <x v="7"/>
    <n v="51.2"/>
    <x v="0"/>
    <x v="3"/>
  </r>
  <r>
    <s v="IRM-38335"/>
    <x v="4"/>
    <x v="4"/>
    <s v="Audit Log - Ability to keep Audit trail for registration /LEFTOVER"/>
    <x v="8"/>
    <n v="51.2"/>
    <x v="0"/>
    <x v="3"/>
  </r>
  <r>
    <s v="IRM-38335"/>
    <x v="4"/>
    <x v="4"/>
    <s v="Audit Log - Ability to keep Audit trail for registration /LEFTOVER"/>
    <x v="9"/>
    <n v="64"/>
    <x v="0"/>
    <x v="3"/>
  </r>
  <r>
    <s v="IRM-38336"/>
    <x v="4"/>
    <x v="4"/>
    <s v="Audit Log - Ability to keep Audit trail for code lists /LEFTOVER"/>
    <x v="0"/>
    <n v="128"/>
    <x v="0"/>
    <x v="3"/>
  </r>
  <r>
    <s v="IRM-38336"/>
    <x v="4"/>
    <x v="4"/>
    <s v="Audit Log - Ability to keep Audit trail for code lists /LEFTOVER"/>
    <x v="1"/>
    <m/>
    <x v="0"/>
    <x v="3"/>
  </r>
  <r>
    <s v="IRM-38336"/>
    <x v="4"/>
    <x v="4"/>
    <s v="Audit Log - Ability to keep Audit trail for code lists /LEFTOVER"/>
    <x v="2"/>
    <m/>
    <x v="0"/>
    <x v="3"/>
  </r>
  <r>
    <s v="IRM-38336"/>
    <x v="4"/>
    <x v="4"/>
    <s v="Audit Log - Ability to keep Audit trail for code lists /LEFTOVER"/>
    <x v="3"/>
    <m/>
    <x v="0"/>
    <x v="3"/>
  </r>
  <r>
    <s v="IRM-38336"/>
    <x v="4"/>
    <x v="4"/>
    <s v="Audit Log - Ability to keep Audit trail for code lists /LEFTOVER"/>
    <x v="4"/>
    <m/>
    <x v="0"/>
    <x v="3"/>
  </r>
  <r>
    <s v="IRM-38336"/>
    <x v="4"/>
    <x v="4"/>
    <s v="Audit Log - Ability to keep Audit trail for code lists /LEFTOVER"/>
    <x v="5"/>
    <n v="25.6"/>
    <x v="0"/>
    <x v="0"/>
  </r>
  <r>
    <s v="IRM-38336"/>
    <x v="4"/>
    <x v="4"/>
    <s v="Audit Log - Ability to keep Audit trail for code lists /LEFTOVER"/>
    <x v="6"/>
    <n v="64"/>
    <x v="0"/>
    <x v="3"/>
  </r>
  <r>
    <s v="IRM-38336"/>
    <x v="4"/>
    <x v="4"/>
    <s v="Audit Log - Ability to keep Audit trail for code lists /LEFTOVER"/>
    <x v="7"/>
    <n v="51.2"/>
    <x v="0"/>
    <x v="3"/>
  </r>
  <r>
    <s v="IRM-38336"/>
    <x v="4"/>
    <x v="4"/>
    <s v="Audit Log - Ability to keep Audit trail for code lists /LEFTOVER"/>
    <x v="8"/>
    <n v="51.2"/>
    <x v="0"/>
    <x v="3"/>
  </r>
  <r>
    <s v="IRM-38336"/>
    <x v="4"/>
    <x v="4"/>
    <s v="Audit Log - Ability to keep Audit trail for code lists /LEFTOVER"/>
    <x v="9"/>
    <n v="64"/>
    <x v="0"/>
    <x v="3"/>
  </r>
  <r>
    <s v="IRM-38379"/>
    <x v="1"/>
    <x v="20"/>
    <s v="Forms : Be able to log details for the submitter of the form /RM &amp;SS"/>
    <x v="0"/>
    <n v="133.30000000000001"/>
    <x v="0"/>
    <x v="3"/>
  </r>
  <r>
    <s v="IRM-38379"/>
    <x v="1"/>
    <x v="20"/>
    <s v="Forms : Be able to log details for the submitter of the form /RM &amp;SS"/>
    <x v="1"/>
    <m/>
    <x v="0"/>
    <x v="3"/>
  </r>
  <r>
    <s v="IRM-38379"/>
    <x v="1"/>
    <x v="20"/>
    <s v="Forms : Be able to log details for the submitter of the form /RM &amp;SS"/>
    <x v="2"/>
    <m/>
    <x v="0"/>
    <x v="3"/>
  </r>
  <r>
    <s v="IRM-38379"/>
    <x v="1"/>
    <x v="20"/>
    <s v="Forms : Be able to log details for the submitter of the form /RM &amp;SS"/>
    <x v="3"/>
    <m/>
    <x v="0"/>
    <x v="3"/>
  </r>
  <r>
    <s v="IRM-38379"/>
    <x v="1"/>
    <x v="20"/>
    <s v="Forms : Be able to log details for the submitter of the form /RM &amp;SS"/>
    <x v="4"/>
    <m/>
    <x v="0"/>
    <x v="3"/>
  </r>
  <r>
    <s v="IRM-38379"/>
    <x v="1"/>
    <x v="20"/>
    <s v="Forms : Be able to log details for the submitter of the form /RM &amp;SS"/>
    <x v="5"/>
    <n v="26.7"/>
    <x v="0"/>
    <x v="0"/>
  </r>
  <r>
    <s v="IRM-38379"/>
    <x v="1"/>
    <x v="20"/>
    <s v="Forms : Be able to log details for the submitter of the form /RM &amp;SS"/>
    <x v="6"/>
    <n v="66.599999999999994"/>
    <x v="0"/>
    <x v="3"/>
  </r>
  <r>
    <s v="IRM-38379"/>
    <x v="1"/>
    <x v="20"/>
    <s v="Forms : Be able to log details for the submitter of the form /RM &amp;SS"/>
    <x v="7"/>
    <n v="53.3"/>
    <x v="0"/>
    <x v="3"/>
  </r>
  <r>
    <s v="IRM-38379"/>
    <x v="1"/>
    <x v="20"/>
    <s v="Forms : Be able to log details for the submitter of the form /RM &amp;SS"/>
    <x v="8"/>
    <n v="53.3"/>
    <x v="0"/>
    <x v="3"/>
  </r>
  <r>
    <s v="IRM-38379"/>
    <x v="1"/>
    <x v="20"/>
    <s v="Forms : Be able to log details for the submitter of the form /RM &amp;SS"/>
    <x v="9"/>
    <n v="66.599999999999994"/>
    <x v="0"/>
    <x v="3"/>
  </r>
  <r>
    <s v="IRM-38409"/>
    <x v="4"/>
    <x v="13"/>
    <s v="UI/UX Improvements : Interaction friction - View and Edit buttons distiction"/>
    <x v="0"/>
    <n v="138.69999999999999"/>
    <x v="1"/>
    <x v="3"/>
  </r>
  <r>
    <s v="IRM-38409"/>
    <x v="4"/>
    <x v="13"/>
    <s v="UI/UX Improvements : Interaction friction - View and Edit buttons distiction"/>
    <x v="1"/>
    <m/>
    <x v="1"/>
    <x v="3"/>
  </r>
  <r>
    <s v="IRM-38409"/>
    <x v="4"/>
    <x v="13"/>
    <s v="UI/UX Improvements : Interaction friction - View and Edit buttons distiction"/>
    <x v="2"/>
    <m/>
    <x v="1"/>
    <x v="3"/>
  </r>
  <r>
    <s v="IRM-38409"/>
    <x v="4"/>
    <x v="13"/>
    <s v="UI/UX Improvements : Interaction friction - View and Edit buttons distiction"/>
    <x v="3"/>
    <m/>
    <x v="1"/>
    <x v="3"/>
  </r>
  <r>
    <s v="IRM-38409"/>
    <x v="4"/>
    <x v="13"/>
    <s v="UI/UX Improvements : Interaction friction - View and Edit buttons distiction"/>
    <x v="4"/>
    <m/>
    <x v="1"/>
    <x v="3"/>
  </r>
  <r>
    <s v="IRM-38409"/>
    <x v="4"/>
    <x v="13"/>
    <s v="UI/UX Improvements : Interaction friction - View and Edit buttons distiction"/>
    <x v="5"/>
    <n v="27.7"/>
    <x v="1"/>
    <x v="0"/>
  </r>
  <r>
    <s v="IRM-38409"/>
    <x v="4"/>
    <x v="13"/>
    <s v="UI/UX Improvements : Interaction friction - View and Edit buttons distiction"/>
    <x v="6"/>
    <n v="69.400000000000006"/>
    <x v="1"/>
    <x v="3"/>
  </r>
  <r>
    <s v="IRM-38409"/>
    <x v="4"/>
    <x v="13"/>
    <s v="UI/UX Improvements : Interaction friction - View and Edit buttons distiction"/>
    <x v="7"/>
    <n v="55.5"/>
    <x v="1"/>
    <x v="3"/>
  </r>
  <r>
    <s v="IRM-38409"/>
    <x v="4"/>
    <x v="13"/>
    <s v="UI/UX Improvements : Interaction friction - View and Edit buttons distiction"/>
    <x v="8"/>
    <n v="55.5"/>
    <x v="1"/>
    <x v="3"/>
  </r>
  <r>
    <s v="IRM-38409"/>
    <x v="4"/>
    <x v="13"/>
    <s v="UI/UX Improvements : Interaction friction - View and Edit buttons distiction"/>
    <x v="9"/>
    <n v="69.400000000000006"/>
    <x v="1"/>
    <x v="3"/>
  </r>
  <r>
    <s v="IRM-38410"/>
    <x v="4"/>
    <x v="13"/>
    <s v=" UI/UX Improvements : Search and navigation :  Header Bar Improvements"/>
    <x v="0"/>
    <n v="45.3"/>
    <x v="1"/>
    <x v="3"/>
  </r>
  <r>
    <s v="IRM-38410"/>
    <x v="4"/>
    <x v="13"/>
    <s v=" UI/UX Improvements : Search and navigation :  Header Bar Improvements"/>
    <x v="1"/>
    <m/>
    <x v="1"/>
    <x v="3"/>
  </r>
  <r>
    <s v="IRM-38410"/>
    <x v="4"/>
    <x v="13"/>
    <s v=" UI/UX Improvements : Search and navigation :  Header Bar Improvements"/>
    <x v="2"/>
    <m/>
    <x v="1"/>
    <x v="3"/>
  </r>
  <r>
    <s v="IRM-38410"/>
    <x v="4"/>
    <x v="13"/>
    <s v=" UI/UX Improvements : Search and navigation :  Header Bar Improvements"/>
    <x v="3"/>
    <m/>
    <x v="1"/>
    <x v="3"/>
  </r>
  <r>
    <s v="IRM-38410"/>
    <x v="4"/>
    <x v="13"/>
    <s v=" UI/UX Improvements : Search and navigation :  Header Bar Improvements"/>
    <x v="4"/>
    <m/>
    <x v="1"/>
    <x v="3"/>
  </r>
  <r>
    <s v="IRM-38410"/>
    <x v="4"/>
    <x v="13"/>
    <s v=" UI/UX Improvements : Search and navigation :  Header Bar Improvements"/>
    <x v="5"/>
    <n v="9.1"/>
    <x v="1"/>
    <x v="0"/>
  </r>
  <r>
    <s v="IRM-38410"/>
    <x v="4"/>
    <x v="13"/>
    <s v=" UI/UX Improvements : Search and navigation :  Header Bar Improvements"/>
    <x v="6"/>
    <n v="22.6"/>
    <x v="1"/>
    <x v="3"/>
  </r>
  <r>
    <s v="IRM-38410"/>
    <x v="4"/>
    <x v="13"/>
    <s v=" UI/UX Improvements : Search and navigation :  Header Bar Improvements"/>
    <x v="7"/>
    <n v="18.100000000000001"/>
    <x v="1"/>
    <x v="3"/>
  </r>
  <r>
    <s v="IRM-38410"/>
    <x v="4"/>
    <x v="13"/>
    <s v=" UI/UX Improvements : Search and navigation :  Header Bar Improvements"/>
    <x v="8"/>
    <n v="18.100000000000001"/>
    <x v="1"/>
    <x v="3"/>
  </r>
  <r>
    <s v="IRM-38410"/>
    <x v="4"/>
    <x v="13"/>
    <s v=" UI/UX Improvements : Search and navigation :  Header Bar Improvements"/>
    <x v="9"/>
    <n v="22.6"/>
    <x v="1"/>
    <x v="3"/>
  </r>
  <r>
    <s v="IRM-38648"/>
    <x v="4"/>
    <x v="13"/>
    <s v="UX and other enhancements: Interaction friction - Personal Calendar View or Edit buttons distinction. "/>
    <x v="0"/>
    <n v="45.3"/>
    <x v="1"/>
    <x v="2"/>
  </r>
  <r>
    <s v="IRM-38648"/>
    <x v="4"/>
    <x v="13"/>
    <s v="UX and other enhancements: Interaction friction - Personal Calendar View or Edit buttons distinction. "/>
    <x v="1"/>
    <m/>
    <x v="1"/>
    <x v="2"/>
  </r>
  <r>
    <s v="IRM-38648"/>
    <x v="4"/>
    <x v="13"/>
    <s v="UX and other enhancements: Interaction friction - Personal Calendar View or Edit buttons distinction. "/>
    <x v="2"/>
    <m/>
    <x v="1"/>
    <x v="2"/>
  </r>
  <r>
    <s v="IRM-38648"/>
    <x v="4"/>
    <x v="13"/>
    <s v="UX and other enhancements: Interaction friction - Personal Calendar View or Edit buttons distinction. "/>
    <x v="3"/>
    <m/>
    <x v="1"/>
    <x v="2"/>
  </r>
  <r>
    <s v="IRM-38648"/>
    <x v="4"/>
    <x v="13"/>
    <s v="UX and other enhancements: Interaction friction - Personal Calendar View or Edit buttons distinction. "/>
    <x v="4"/>
    <m/>
    <x v="1"/>
    <x v="2"/>
  </r>
  <r>
    <s v="IRM-38648"/>
    <x v="4"/>
    <x v="13"/>
    <s v="UX and other enhancements: Interaction friction - Personal Calendar View or Edit buttons distinction. "/>
    <x v="5"/>
    <n v="9.1"/>
    <x v="1"/>
    <x v="3"/>
  </r>
  <r>
    <s v="IRM-38648"/>
    <x v="4"/>
    <x v="13"/>
    <s v="UX and other enhancements: Interaction friction - Personal Calendar View or Edit buttons distinction. "/>
    <x v="6"/>
    <n v="22.6"/>
    <x v="1"/>
    <x v="2"/>
  </r>
  <r>
    <s v="IRM-38648"/>
    <x v="4"/>
    <x v="13"/>
    <s v="UX and other enhancements: Interaction friction - Personal Calendar View or Edit buttons distinction. "/>
    <x v="7"/>
    <n v="18.100000000000001"/>
    <x v="1"/>
    <x v="2"/>
  </r>
  <r>
    <s v="IRM-38648"/>
    <x v="4"/>
    <x v="13"/>
    <s v="UX and other enhancements: Interaction friction - Personal Calendar View or Edit buttons distinction. "/>
    <x v="8"/>
    <n v="18.100000000000001"/>
    <x v="1"/>
    <x v="2"/>
  </r>
  <r>
    <s v="IRM-38648"/>
    <x v="4"/>
    <x v="13"/>
    <s v="UX and other enhancements: Interaction friction - Personal Calendar View or Edit buttons distinction. "/>
    <x v="9"/>
    <n v="22.6"/>
    <x v="1"/>
    <x v="2"/>
  </r>
  <r>
    <s v="IRM-38670"/>
    <x v="4"/>
    <x v="13"/>
    <s v=" UI/UX Improvements : Behaviour Consistency of Drop Down menus"/>
    <x v="0"/>
    <n v="266.7"/>
    <x v="1"/>
    <x v="2"/>
  </r>
  <r>
    <s v="IRM-38670"/>
    <x v="4"/>
    <x v="13"/>
    <s v=" UI/UX Improvements : Behaviour Consistency of Drop Down menus"/>
    <x v="1"/>
    <m/>
    <x v="1"/>
    <x v="2"/>
  </r>
  <r>
    <s v="IRM-38670"/>
    <x v="4"/>
    <x v="13"/>
    <s v=" UI/UX Improvements : Behaviour Consistency of Drop Down menus"/>
    <x v="2"/>
    <m/>
    <x v="1"/>
    <x v="2"/>
  </r>
  <r>
    <s v="IRM-38670"/>
    <x v="4"/>
    <x v="13"/>
    <s v=" UI/UX Improvements : Behaviour Consistency of Drop Down menus"/>
    <x v="3"/>
    <m/>
    <x v="1"/>
    <x v="2"/>
  </r>
  <r>
    <s v="IRM-38670"/>
    <x v="4"/>
    <x v="13"/>
    <s v=" UI/UX Improvements : Behaviour Consistency of Drop Down menus"/>
    <x v="4"/>
    <m/>
    <x v="1"/>
    <x v="2"/>
  </r>
  <r>
    <s v="IRM-38670"/>
    <x v="4"/>
    <x v="13"/>
    <s v=" UI/UX Improvements : Behaviour Consistency of Drop Down menus"/>
    <x v="5"/>
    <n v="53.3"/>
    <x v="1"/>
    <x v="3"/>
  </r>
  <r>
    <s v="IRM-38670"/>
    <x v="4"/>
    <x v="13"/>
    <s v=" UI/UX Improvements : Behaviour Consistency of Drop Down menus"/>
    <x v="6"/>
    <n v="133.4"/>
    <x v="1"/>
    <x v="2"/>
  </r>
  <r>
    <s v="IRM-38670"/>
    <x v="4"/>
    <x v="13"/>
    <s v=" UI/UX Improvements : Behaviour Consistency of Drop Down menus"/>
    <x v="7"/>
    <n v="106.7"/>
    <x v="1"/>
    <x v="2"/>
  </r>
  <r>
    <s v="IRM-38670"/>
    <x v="4"/>
    <x v="13"/>
    <s v=" UI/UX Improvements : Behaviour Consistency of Drop Down menus"/>
    <x v="8"/>
    <n v="106.7"/>
    <x v="1"/>
    <x v="2"/>
  </r>
  <r>
    <s v="IRM-38670"/>
    <x v="4"/>
    <x v="13"/>
    <s v=" UI/UX Improvements : Behaviour Consistency of Drop Down menus"/>
    <x v="9"/>
    <n v="133.4"/>
    <x v="1"/>
    <x v="2"/>
  </r>
  <r>
    <s v="IRM-38680"/>
    <x v="1"/>
    <x v="22"/>
    <s v="UI/UX Improvements : Form Field , Change state of typed text in capitals"/>
    <x v="0"/>
    <n v="26.7"/>
    <x v="0"/>
    <x v="3"/>
  </r>
  <r>
    <s v="IRM-38680"/>
    <x v="1"/>
    <x v="22"/>
    <s v="UI/UX Improvements : Form Field , Change state of typed text in capitals"/>
    <x v="1"/>
    <m/>
    <x v="0"/>
    <x v="3"/>
  </r>
  <r>
    <s v="IRM-38680"/>
    <x v="1"/>
    <x v="22"/>
    <s v="UI/UX Improvements : Form Field , Change state of typed text in capitals"/>
    <x v="2"/>
    <m/>
    <x v="0"/>
    <x v="3"/>
  </r>
  <r>
    <s v="IRM-38680"/>
    <x v="1"/>
    <x v="22"/>
    <s v="UI/UX Improvements : Form Field , Change state of typed text in capitals"/>
    <x v="3"/>
    <m/>
    <x v="0"/>
    <x v="3"/>
  </r>
  <r>
    <s v="IRM-38680"/>
    <x v="1"/>
    <x v="22"/>
    <s v="UI/UX Improvements : Form Field , Change state of typed text in capitals"/>
    <x v="4"/>
    <m/>
    <x v="0"/>
    <x v="3"/>
  </r>
  <r>
    <s v="IRM-38680"/>
    <x v="1"/>
    <x v="22"/>
    <s v="UI/UX Improvements : Form Field , Change state of typed text in capitals"/>
    <x v="5"/>
    <n v="5.3"/>
    <x v="0"/>
    <x v="0"/>
  </r>
  <r>
    <s v="IRM-38680"/>
    <x v="1"/>
    <x v="22"/>
    <s v="UI/UX Improvements : Form Field , Change state of typed text in capitals"/>
    <x v="6"/>
    <n v="13.4"/>
    <x v="0"/>
    <x v="3"/>
  </r>
  <r>
    <s v="IRM-38680"/>
    <x v="1"/>
    <x v="22"/>
    <s v="UI/UX Improvements : Form Field , Change state of typed text in capitals"/>
    <x v="7"/>
    <n v="10.7"/>
    <x v="0"/>
    <x v="3"/>
  </r>
  <r>
    <s v="IRM-38680"/>
    <x v="1"/>
    <x v="22"/>
    <s v="UI/UX Improvements : Form Field , Change state of typed text in capitals"/>
    <x v="8"/>
    <n v="10.7"/>
    <x v="0"/>
    <x v="3"/>
  </r>
  <r>
    <s v="IRM-38680"/>
    <x v="1"/>
    <x v="22"/>
    <s v="UI/UX Improvements : Form Field , Change state of typed text in capitals"/>
    <x v="9"/>
    <n v="13.4"/>
    <x v="0"/>
    <x v="3"/>
  </r>
  <r>
    <s v="IRM-38681"/>
    <x v="4"/>
    <x v="13"/>
    <s v="Placeholder"/>
    <x v="0"/>
    <n v="1066.7"/>
    <x v="1"/>
    <x v="2"/>
  </r>
  <r>
    <s v="IRM-38681"/>
    <x v="4"/>
    <x v="13"/>
    <s v="Placeholder"/>
    <x v="1"/>
    <m/>
    <x v="1"/>
    <x v="2"/>
  </r>
  <r>
    <s v="IRM-38681"/>
    <x v="4"/>
    <x v="13"/>
    <s v="Placeholder"/>
    <x v="2"/>
    <m/>
    <x v="1"/>
    <x v="2"/>
  </r>
  <r>
    <s v="IRM-38681"/>
    <x v="4"/>
    <x v="13"/>
    <s v="Placeholder"/>
    <x v="3"/>
    <m/>
    <x v="1"/>
    <x v="2"/>
  </r>
  <r>
    <s v="IRM-38681"/>
    <x v="4"/>
    <x v="13"/>
    <s v="Placeholder"/>
    <x v="4"/>
    <m/>
    <x v="1"/>
    <x v="2"/>
  </r>
  <r>
    <s v="IRM-38681"/>
    <x v="4"/>
    <x v="13"/>
    <s v="Placeholder"/>
    <x v="5"/>
    <n v="213.3"/>
    <x v="1"/>
    <x v="3"/>
  </r>
  <r>
    <s v="IRM-38681"/>
    <x v="4"/>
    <x v="13"/>
    <s v="Placeholder"/>
    <x v="6"/>
    <n v="533.4"/>
    <x v="1"/>
    <x v="2"/>
  </r>
  <r>
    <s v="IRM-38681"/>
    <x v="4"/>
    <x v="13"/>
    <s v="Placeholder"/>
    <x v="7"/>
    <n v="426.7"/>
    <x v="1"/>
    <x v="2"/>
  </r>
  <r>
    <s v="IRM-38681"/>
    <x v="4"/>
    <x v="13"/>
    <s v="Placeholder"/>
    <x v="8"/>
    <n v="426.7"/>
    <x v="1"/>
    <x v="2"/>
  </r>
  <r>
    <s v="IRM-38681"/>
    <x v="4"/>
    <x v="13"/>
    <s v="Placeholder"/>
    <x v="9"/>
    <n v="533.4"/>
    <x v="1"/>
    <x v="2"/>
  </r>
  <r>
    <s v="IRM-38682"/>
    <x v="1"/>
    <x v="22"/>
    <s v="UI/UX Improvements : Prefilling a field in a form based on the value of another field"/>
    <x v="0"/>
    <n v="53.3"/>
    <x v="0"/>
    <x v="3"/>
  </r>
  <r>
    <s v="IRM-38682"/>
    <x v="1"/>
    <x v="22"/>
    <s v="UI/UX Improvements : Prefilling a field in a form based on the value of another field"/>
    <x v="1"/>
    <m/>
    <x v="0"/>
    <x v="3"/>
  </r>
  <r>
    <s v="IRM-38682"/>
    <x v="1"/>
    <x v="22"/>
    <s v="UI/UX Improvements : Prefilling a field in a form based on the value of another field"/>
    <x v="2"/>
    <m/>
    <x v="0"/>
    <x v="3"/>
  </r>
  <r>
    <s v="IRM-38682"/>
    <x v="1"/>
    <x v="22"/>
    <s v="UI/UX Improvements : Prefilling a field in a form based on the value of another field"/>
    <x v="3"/>
    <m/>
    <x v="0"/>
    <x v="3"/>
  </r>
  <r>
    <s v="IRM-38682"/>
    <x v="1"/>
    <x v="22"/>
    <s v="UI/UX Improvements : Prefilling a field in a form based on the value of another field"/>
    <x v="4"/>
    <m/>
    <x v="0"/>
    <x v="3"/>
  </r>
  <r>
    <s v="IRM-38682"/>
    <x v="1"/>
    <x v="22"/>
    <s v="UI/UX Improvements : Prefilling a field in a form based on the value of another field"/>
    <x v="5"/>
    <n v="10.7"/>
    <x v="0"/>
    <x v="0"/>
  </r>
  <r>
    <s v="IRM-38682"/>
    <x v="1"/>
    <x v="22"/>
    <s v="UI/UX Improvements : Prefilling a field in a form based on the value of another field"/>
    <x v="6"/>
    <n v="26.6"/>
    <x v="0"/>
    <x v="3"/>
  </r>
  <r>
    <s v="IRM-38682"/>
    <x v="1"/>
    <x v="22"/>
    <s v="UI/UX Improvements : Prefilling a field in a form based on the value of another field"/>
    <x v="7"/>
    <n v="21.3"/>
    <x v="0"/>
    <x v="3"/>
  </r>
  <r>
    <s v="IRM-38682"/>
    <x v="1"/>
    <x v="22"/>
    <s v="UI/UX Improvements : Prefilling a field in a form based on the value of another field"/>
    <x v="8"/>
    <n v="21.3"/>
    <x v="0"/>
    <x v="3"/>
  </r>
  <r>
    <s v="IRM-38682"/>
    <x v="1"/>
    <x v="22"/>
    <s v="UI/UX Improvements : Prefilling a field in a form based on the value of another field"/>
    <x v="9"/>
    <n v="26.6"/>
    <x v="0"/>
    <x v="3"/>
  </r>
  <r>
    <s v="IRM-38710"/>
    <x v="3"/>
    <x v="32"/>
    <s v="VAT Return Form - Warning for Intracommunity Transaction Enhancement"/>
    <x v="0"/>
    <n v="26.7"/>
    <x v="2"/>
    <x v="3"/>
  </r>
  <r>
    <s v="IRM-38710"/>
    <x v="3"/>
    <x v="32"/>
    <s v="VAT Return Form - Warning for Intracommunity Transaction Enhancement"/>
    <x v="1"/>
    <m/>
    <x v="2"/>
    <x v="3"/>
  </r>
  <r>
    <s v="IRM-38710"/>
    <x v="3"/>
    <x v="32"/>
    <s v="VAT Return Form - Warning for Intracommunity Transaction Enhancement"/>
    <x v="2"/>
    <m/>
    <x v="2"/>
    <x v="3"/>
  </r>
  <r>
    <s v="IRM-38710"/>
    <x v="3"/>
    <x v="32"/>
    <s v="VAT Return Form - Warning for Intracommunity Transaction Enhancement"/>
    <x v="3"/>
    <m/>
    <x v="2"/>
    <x v="3"/>
  </r>
  <r>
    <s v="IRM-38710"/>
    <x v="3"/>
    <x v="32"/>
    <s v="VAT Return Form - Warning for Intracommunity Transaction Enhancement"/>
    <x v="4"/>
    <m/>
    <x v="2"/>
    <x v="3"/>
  </r>
  <r>
    <s v="IRM-38710"/>
    <x v="3"/>
    <x v="32"/>
    <s v="VAT Return Form - Warning for Intracommunity Transaction Enhancement"/>
    <x v="5"/>
    <n v="5.3"/>
    <x v="2"/>
    <x v="0"/>
  </r>
  <r>
    <s v="IRM-38710"/>
    <x v="3"/>
    <x v="32"/>
    <s v="VAT Return Form - Warning for Intracommunity Transaction Enhancement"/>
    <x v="6"/>
    <n v="13.4"/>
    <x v="2"/>
    <x v="3"/>
  </r>
  <r>
    <s v="IRM-38710"/>
    <x v="3"/>
    <x v="32"/>
    <s v="VAT Return Form - Warning for Intracommunity Transaction Enhancement"/>
    <x v="7"/>
    <n v="10.7"/>
    <x v="2"/>
    <x v="3"/>
  </r>
  <r>
    <s v="IRM-38710"/>
    <x v="3"/>
    <x v="32"/>
    <s v="VAT Return Form - Warning for Intracommunity Transaction Enhancement"/>
    <x v="8"/>
    <n v="10.7"/>
    <x v="2"/>
    <x v="3"/>
  </r>
  <r>
    <s v="IRM-38710"/>
    <x v="3"/>
    <x v="32"/>
    <s v="VAT Return Form - Warning for Intracommunity Transaction Enhancement"/>
    <x v="9"/>
    <n v="13.4"/>
    <x v="2"/>
    <x v="3"/>
  </r>
  <r>
    <s v="IRM-38759"/>
    <x v="3"/>
    <x v="32"/>
    <s v="VAT Tax Account Reference Implementation"/>
    <x v="0"/>
    <n v="127"/>
    <x v="2"/>
    <x v="3"/>
  </r>
  <r>
    <s v="IRM-38759"/>
    <x v="3"/>
    <x v="32"/>
    <s v="VAT Tax Account Reference Implementation"/>
    <x v="1"/>
    <m/>
    <x v="2"/>
    <x v="3"/>
  </r>
  <r>
    <s v="IRM-38759"/>
    <x v="3"/>
    <x v="32"/>
    <s v="VAT Tax Account Reference Implementation"/>
    <x v="2"/>
    <m/>
    <x v="2"/>
    <x v="3"/>
  </r>
  <r>
    <s v="IRM-38759"/>
    <x v="3"/>
    <x v="32"/>
    <s v="VAT Tax Account Reference Implementation"/>
    <x v="3"/>
    <m/>
    <x v="2"/>
    <x v="3"/>
  </r>
  <r>
    <s v="IRM-38759"/>
    <x v="3"/>
    <x v="32"/>
    <s v="VAT Tax Account Reference Implementation"/>
    <x v="4"/>
    <m/>
    <x v="2"/>
    <x v="3"/>
  </r>
  <r>
    <s v="IRM-38759"/>
    <x v="3"/>
    <x v="32"/>
    <s v="VAT Tax Account Reference Implementation"/>
    <x v="5"/>
    <n v="25.4"/>
    <x v="2"/>
    <x v="0"/>
  </r>
  <r>
    <s v="IRM-38759"/>
    <x v="3"/>
    <x v="32"/>
    <s v="VAT Tax Account Reference Implementation"/>
    <x v="6"/>
    <n v="63.5"/>
    <x v="2"/>
    <x v="3"/>
  </r>
  <r>
    <s v="IRM-38759"/>
    <x v="3"/>
    <x v="32"/>
    <s v="VAT Tax Account Reference Implementation"/>
    <x v="7"/>
    <n v="50.8"/>
    <x v="2"/>
    <x v="3"/>
  </r>
  <r>
    <s v="IRM-38759"/>
    <x v="3"/>
    <x v="32"/>
    <s v="VAT Tax Account Reference Implementation"/>
    <x v="8"/>
    <n v="50.8"/>
    <x v="2"/>
    <x v="3"/>
  </r>
  <r>
    <s v="IRM-38759"/>
    <x v="3"/>
    <x v="32"/>
    <s v="VAT Tax Account Reference Implementation"/>
    <x v="9"/>
    <n v="63.5"/>
    <x v="2"/>
    <x v="3"/>
  </r>
  <r>
    <s v="IRM-38784"/>
    <x v="4"/>
    <x v="13"/>
    <s v="UI- New Solon Look and Feel (waiting new designs)"/>
    <x v="0"/>
    <n v="1066.7"/>
    <x v="1"/>
    <x v="2"/>
  </r>
  <r>
    <s v="IRM-38784"/>
    <x v="4"/>
    <x v="13"/>
    <s v="UI- New Solon Look and Feel (waiting new designs)"/>
    <x v="1"/>
    <m/>
    <x v="1"/>
    <x v="2"/>
  </r>
  <r>
    <s v="IRM-38784"/>
    <x v="4"/>
    <x v="13"/>
    <s v="UI- New Solon Look and Feel (waiting new designs)"/>
    <x v="2"/>
    <m/>
    <x v="1"/>
    <x v="2"/>
  </r>
  <r>
    <s v="IRM-38784"/>
    <x v="4"/>
    <x v="13"/>
    <s v="UI- New Solon Look and Feel (waiting new designs)"/>
    <x v="3"/>
    <m/>
    <x v="1"/>
    <x v="2"/>
  </r>
  <r>
    <s v="IRM-38784"/>
    <x v="4"/>
    <x v="13"/>
    <s v="UI- New Solon Look and Feel (waiting new designs)"/>
    <x v="4"/>
    <m/>
    <x v="1"/>
    <x v="2"/>
  </r>
  <r>
    <s v="IRM-38784"/>
    <x v="4"/>
    <x v="13"/>
    <s v="UI- New Solon Look and Feel (waiting new designs)"/>
    <x v="5"/>
    <n v="213.3"/>
    <x v="1"/>
    <x v="3"/>
  </r>
  <r>
    <s v="IRM-38784"/>
    <x v="4"/>
    <x v="13"/>
    <s v="UI- New Solon Look and Feel (waiting new designs)"/>
    <x v="6"/>
    <n v="533.4"/>
    <x v="1"/>
    <x v="2"/>
  </r>
  <r>
    <s v="IRM-38784"/>
    <x v="4"/>
    <x v="13"/>
    <s v="UI- New Solon Look and Feel (waiting new designs)"/>
    <x v="7"/>
    <n v="426.7"/>
    <x v="1"/>
    <x v="2"/>
  </r>
  <r>
    <s v="IRM-38784"/>
    <x v="4"/>
    <x v="13"/>
    <s v="UI- New Solon Look and Feel (waiting new designs)"/>
    <x v="8"/>
    <n v="426.7"/>
    <x v="1"/>
    <x v="2"/>
  </r>
  <r>
    <s v="IRM-38784"/>
    <x v="4"/>
    <x v="13"/>
    <s v="UI- New Solon Look and Feel (waiting new designs)"/>
    <x v="9"/>
    <n v="533.4"/>
    <x v="1"/>
    <x v="2"/>
  </r>
  <r>
    <s v="IRM-38847"/>
    <x v="4"/>
    <x v="8"/>
    <s v="Data Security - Restrict Access to Personal Data GDPR- Admin (based on data classifications) - Encrypt/decrypt -  Part 4/4"/>
    <x v="0"/>
    <n v="141.30000000000001"/>
    <x v="1"/>
    <x v="2"/>
  </r>
  <r>
    <s v="IRM-38847"/>
    <x v="4"/>
    <x v="8"/>
    <s v="Data Security - Restrict Access to Personal Data GDPR- Admin (based on data classifications) - Encrypt/decrypt -  Part 4/4"/>
    <x v="1"/>
    <m/>
    <x v="1"/>
    <x v="2"/>
  </r>
  <r>
    <s v="IRM-38847"/>
    <x v="4"/>
    <x v="8"/>
    <s v="Data Security - Restrict Access to Personal Data GDPR- Admin (based on data classifications) - Encrypt/decrypt -  Part 4/4"/>
    <x v="2"/>
    <m/>
    <x v="1"/>
    <x v="2"/>
  </r>
  <r>
    <s v="IRM-38847"/>
    <x v="4"/>
    <x v="8"/>
    <s v="Data Security - Restrict Access to Personal Data GDPR- Admin (based on data classifications) - Encrypt/decrypt -  Part 4/4"/>
    <x v="3"/>
    <m/>
    <x v="1"/>
    <x v="2"/>
  </r>
  <r>
    <s v="IRM-38847"/>
    <x v="4"/>
    <x v="8"/>
    <s v="Data Security - Restrict Access to Personal Data GDPR- Admin (based on data classifications) - Encrypt/decrypt -  Part 4/4"/>
    <x v="4"/>
    <m/>
    <x v="1"/>
    <x v="2"/>
  </r>
  <r>
    <s v="IRM-38847"/>
    <x v="4"/>
    <x v="8"/>
    <s v="Data Security - Restrict Access to Personal Data GDPR- Admin (based on data classifications) - Encrypt/decrypt -  Part 4/4"/>
    <x v="5"/>
    <n v="28.3"/>
    <x v="1"/>
    <x v="3"/>
  </r>
  <r>
    <s v="IRM-38847"/>
    <x v="4"/>
    <x v="8"/>
    <s v="Data Security - Restrict Access to Personal Data GDPR- Admin (based on data classifications) - Encrypt/decrypt -  Part 4/4"/>
    <x v="6"/>
    <n v="70.599999999999994"/>
    <x v="1"/>
    <x v="2"/>
  </r>
  <r>
    <s v="IRM-38847"/>
    <x v="4"/>
    <x v="8"/>
    <s v="Data Security - Restrict Access to Personal Data GDPR- Admin (based on data classifications) - Encrypt/decrypt -  Part 4/4"/>
    <x v="7"/>
    <n v="56.5"/>
    <x v="1"/>
    <x v="2"/>
  </r>
  <r>
    <s v="IRM-38847"/>
    <x v="4"/>
    <x v="8"/>
    <s v="Data Security - Restrict Access to Personal Data GDPR- Admin (based on data classifications) - Encrypt/decrypt -  Part 4/4"/>
    <x v="8"/>
    <n v="56.5"/>
    <x v="1"/>
    <x v="2"/>
  </r>
  <r>
    <s v="IRM-38847"/>
    <x v="4"/>
    <x v="8"/>
    <s v="Data Security - Restrict Access to Personal Data GDPR- Admin (based on data classifications) - Encrypt/decrypt -  Part 4/4"/>
    <x v="9"/>
    <n v="70.599999999999994"/>
    <x v="1"/>
    <x v="2"/>
  </r>
  <r>
    <s v="IRM-38899"/>
    <x v="0"/>
    <x v="31"/>
    <s v="Support Tax Account Overview Page in the Single Taxpayer Overview"/>
    <x v="0"/>
    <n v="141.30000000000001"/>
    <x v="2"/>
    <x v="3"/>
  </r>
  <r>
    <s v="IRM-38899"/>
    <x v="0"/>
    <x v="31"/>
    <s v="Support Tax Account Overview Page in the Single Taxpayer Overview"/>
    <x v="1"/>
    <m/>
    <x v="2"/>
    <x v="3"/>
  </r>
  <r>
    <s v="IRM-38899"/>
    <x v="0"/>
    <x v="31"/>
    <s v="Support Tax Account Overview Page in the Single Taxpayer Overview"/>
    <x v="2"/>
    <m/>
    <x v="2"/>
    <x v="3"/>
  </r>
  <r>
    <s v="IRM-38899"/>
    <x v="0"/>
    <x v="31"/>
    <s v="Support Tax Account Overview Page in the Single Taxpayer Overview"/>
    <x v="3"/>
    <m/>
    <x v="2"/>
    <x v="3"/>
  </r>
  <r>
    <s v="IRM-38899"/>
    <x v="0"/>
    <x v="31"/>
    <s v="Support Tax Account Overview Page in the Single Taxpayer Overview"/>
    <x v="4"/>
    <m/>
    <x v="2"/>
    <x v="3"/>
  </r>
  <r>
    <s v="IRM-38899"/>
    <x v="0"/>
    <x v="31"/>
    <s v="Support Tax Account Overview Page in the Single Taxpayer Overview"/>
    <x v="5"/>
    <n v="28.3"/>
    <x v="2"/>
    <x v="0"/>
  </r>
  <r>
    <s v="IRM-38899"/>
    <x v="0"/>
    <x v="31"/>
    <s v="Support Tax Account Overview Page in the Single Taxpayer Overview"/>
    <x v="6"/>
    <n v="70.599999999999994"/>
    <x v="2"/>
    <x v="3"/>
  </r>
  <r>
    <s v="IRM-38899"/>
    <x v="0"/>
    <x v="31"/>
    <s v="Support Tax Account Overview Page in the Single Taxpayer Overview"/>
    <x v="7"/>
    <n v="56.5"/>
    <x v="2"/>
    <x v="3"/>
  </r>
  <r>
    <s v="IRM-38899"/>
    <x v="0"/>
    <x v="31"/>
    <s v="Support Tax Account Overview Page in the Single Taxpayer Overview"/>
    <x v="8"/>
    <n v="56.5"/>
    <x v="2"/>
    <x v="3"/>
  </r>
  <r>
    <s v="IRM-38899"/>
    <x v="0"/>
    <x v="31"/>
    <s v="Support Tax Account Overview Page in the Single Taxpayer Overview"/>
    <x v="9"/>
    <n v="70.599999999999994"/>
    <x v="2"/>
    <x v="3"/>
  </r>
  <r>
    <s v="IRM-39021"/>
    <x v="0"/>
    <x v="31"/>
    <s v="Export Filtered List Table to Excel /GL Accounts  List pages"/>
    <x v="0"/>
    <n v="266.7"/>
    <x v="1"/>
    <x v="2"/>
  </r>
  <r>
    <s v="IRM-39021"/>
    <x v="0"/>
    <x v="31"/>
    <s v="Export Filtered List Table to Excel /GL Accounts  List pages"/>
    <x v="1"/>
    <m/>
    <x v="1"/>
    <x v="2"/>
  </r>
  <r>
    <s v="IRM-39021"/>
    <x v="0"/>
    <x v="31"/>
    <s v="Export Filtered List Table to Excel /GL Accounts  List pages"/>
    <x v="2"/>
    <m/>
    <x v="1"/>
    <x v="2"/>
  </r>
  <r>
    <s v="IRM-39021"/>
    <x v="0"/>
    <x v="31"/>
    <s v="Export Filtered List Table to Excel /GL Accounts  List pages"/>
    <x v="3"/>
    <m/>
    <x v="1"/>
    <x v="2"/>
  </r>
  <r>
    <s v="IRM-39021"/>
    <x v="0"/>
    <x v="31"/>
    <s v="Export Filtered List Table to Excel /GL Accounts  List pages"/>
    <x v="4"/>
    <m/>
    <x v="1"/>
    <x v="2"/>
  </r>
  <r>
    <s v="IRM-39021"/>
    <x v="0"/>
    <x v="31"/>
    <s v="Export Filtered List Table to Excel /GL Accounts  List pages"/>
    <x v="5"/>
    <n v="53.3"/>
    <x v="1"/>
    <x v="3"/>
  </r>
  <r>
    <s v="IRM-39021"/>
    <x v="0"/>
    <x v="31"/>
    <s v="Export Filtered List Table to Excel /GL Accounts  List pages"/>
    <x v="6"/>
    <n v="133.4"/>
    <x v="1"/>
    <x v="2"/>
  </r>
  <r>
    <s v="IRM-39021"/>
    <x v="0"/>
    <x v="31"/>
    <s v="Export Filtered List Table to Excel /GL Accounts  List pages"/>
    <x v="7"/>
    <n v="106.7"/>
    <x v="1"/>
    <x v="2"/>
  </r>
  <r>
    <s v="IRM-39021"/>
    <x v="0"/>
    <x v="31"/>
    <s v="Export Filtered List Table to Excel /GL Accounts  List pages"/>
    <x v="8"/>
    <n v="106.7"/>
    <x v="1"/>
    <x v="2"/>
  </r>
  <r>
    <s v="IRM-39021"/>
    <x v="0"/>
    <x v="31"/>
    <s v="Export Filtered List Table to Excel /GL Accounts  List pages"/>
    <x v="9"/>
    <n v="133.4"/>
    <x v="1"/>
    <x v="2"/>
  </r>
  <r>
    <s v="IRM-39113"/>
    <x v="4"/>
    <x v="8"/>
    <s v="Data Security - Define Access per user access group per classification level - Part 2/4"/>
    <x v="0"/>
    <n v="141.30000000000001"/>
    <x v="1"/>
    <x v="3"/>
  </r>
  <r>
    <s v="IRM-39113"/>
    <x v="4"/>
    <x v="8"/>
    <s v="Data Security - Define Access per user access group per classification level - Part 2/4"/>
    <x v="1"/>
    <m/>
    <x v="1"/>
    <x v="3"/>
  </r>
  <r>
    <s v="IRM-39113"/>
    <x v="4"/>
    <x v="8"/>
    <s v="Data Security - Define Access per user access group per classification level - Part 2/4"/>
    <x v="2"/>
    <m/>
    <x v="1"/>
    <x v="3"/>
  </r>
  <r>
    <s v="IRM-39113"/>
    <x v="4"/>
    <x v="8"/>
    <s v="Data Security - Define Access per user access group per classification level - Part 2/4"/>
    <x v="3"/>
    <m/>
    <x v="1"/>
    <x v="3"/>
  </r>
  <r>
    <s v="IRM-39113"/>
    <x v="4"/>
    <x v="8"/>
    <s v="Data Security - Define Access per user access group per classification level - Part 2/4"/>
    <x v="4"/>
    <m/>
    <x v="1"/>
    <x v="3"/>
  </r>
  <r>
    <s v="IRM-39113"/>
    <x v="4"/>
    <x v="8"/>
    <s v="Data Security - Define Access per user access group per classification level - Part 2/4"/>
    <x v="5"/>
    <n v="28.3"/>
    <x v="1"/>
    <x v="0"/>
  </r>
  <r>
    <s v="IRM-39113"/>
    <x v="4"/>
    <x v="8"/>
    <s v="Data Security - Define Access per user access group per classification level - Part 2/4"/>
    <x v="6"/>
    <n v="70.599999999999994"/>
    <x v="1"/>
    <x v="3"/>
  </r>
  <r>
    <s v="IRM-39113"/>
    <x v="4"/>
    <x v="8"/>
    <s v="Data Security - Define Access per user access group per classification level - Part 2/4"/>
    <x v="7"/>
    <n v="56.5"/>
    <x v="1"/>
    <x v="3"/>
  </r>
  <r>
    <s v="IRM-39113"/>
    <x v="4"/>
    <x v="8"/>
    <s v="Data Security - Define Access per user access group per classification level - Part 2/4"/>
    <x v="8"/>
    <n v="56.5"/>
    <x v="1"/>
    <x v="3"/>
  </r>
  <r>
    <s v="IRM-39113"/>
    <x v="4"/>
    <x v="8"/>
    <s v="Data Security - Define Access per user access group per classification level - Part 2/4"/>
    <x v="9"/>
    <n v="70.599999999999994"/>
    <x v="1"/>
    <x v="3"/>
  </r>
  <r>
    <s v="IRM-39131"/>
    <x v="4"/>
    <x v="8"/>
    <s v="Data Security - Restrict Access to Personal Data GDPR- Admin (based on data classifications) - Part 3/4"/>
    <x v="0"/>
    <n v="141.30000000000001"/>
    <x v="1"/>
    <x v="3"/>
  </r>
  <r>
    <s v="IRM-39131"/>
    <x v="4"/>
    <x v="8"/>
    <s v="Data Security - Restrict Access to Personal Data GDPR- Admin (based on data classifications) - Part 3/4"/>
    <x v="1"/>
    <m/>
    <x v="1"/>
    <x v="3"/>
  </r>
  <r>
    <s v="IRM-39131"/>
    <x v="4"/>
    <x v="8"/>
    <s v="Data Security - Restrict Access to Personal Data GDPR- Admin (based on data classifications) - Part 3/4"/>
    <x v="2"/>
    <m/>
    <x v="1"/>
    <x v="3"/>
  </r>
  <r>
    <s v="IRM-39131"/>
    <x v="4"/>
    <x v="8"/>
    <s v="Data Security - Restrict Access to Personal Data GDPR- Admin (based on data classifications) - Part 3/4"/>
    <x v="3"/>
    <m/>
    <x v="1"/>
    <x v="3"/>
  </r>
  <r>
    <s v="IRM-39131"/>
    <x v="4"/>
    <x v="8"/>
    <s v="Data Security - Restrict Access to Personal Data GDPR- Admin (based on data classifications) - Part 3/4"/>
    <x v="4"/>
    <m/>
    <x v="1"/>
    <x v="3"/>
  </r>
  <r>
    <s v="IRM-39131"/>
    <x v="4"/>
    <x v="8"/>
    <s v="Data Security - Restrict Access to Personal Data GDPR- Admin (based on data classifications) - Part 3/4"/>
    <x v="5"/>
    <n v="28.3"/>
    <x v="1"/>
    <x v="0"/>
  </r>
  <r>
    <s v="IRM-39131"/>
    <x v="4"/>
    <x v="8"/>
    <s v="Data Security - Restrict Access to Personal Data GDPR- Admin (based on data classifications) - Part 3/4"/>
    <x v="6"/>
    <n v="70.599999999999994"/>
    <x v="1"/>
    <x v="3"/>
  </r>
  <r>
    <s v="IRM-39131"/>
    <x v="4"/>
    <x v="8"/>
    <s v="Data Security - Restrict Access to Personal Data GDPR- Admin (based on data classifications) - Part 3/4"/>
    <x v="7"/>
    <n v="56.5"/>
    <x v="1"/>
    <x v="3"/>
  </r>
  <r>
    <s v="IRM-39131"/>
    <x v="4"/>
    <x v="8"/>
    <s v="Data Security - Restrict Access to Personal Data GDPR- Admin (based on data classifications) - Part 3/4"/>
    <x v="8"/>
    <n v="56.5"/>
    <x v="1"/>
    <x v="3"/>
  </r>
  <r>
    <s v="IRM-39131"/>
    <x v="4"/>
    <x v="8"/>
    <s v="Data Security - Restrict Access to Personal Data GDPR- Admin (based on data classifications) - Part 3/4"/>
    <x v="9"/>
    <n v="70.599999999999994"/>
    <x v="1"/>
    <x v="3"/>
  </r>
  <r>
    <s v="IRM-39135"/>
    <x v="6"/>
    <x v="29"/>
    <s v="Representations :  Additional info  in Agreements  /RM &amp; SS"/>
    <x v="0"/>
    <n v="186.7"/>
    <x v="0"/>
    <x v="3"/>
  </r>
  <r>
    <s v="IRM-39135"/>
    <x v="6"/>
    <x v="29"/>
    <s v="Representations :  Additional info  in Agreements  /RM &amp; SS"/>
    <x v="1"/>
    <m/>
    <x v="0"/>
    <x v="3"/>
  </r>
  <r>
    <s v="IRM-39135"/>
    <x v="6"/>
    <x v="29"/>
    <s v="Representations :  Additional info  in Agreements  /RM &amp; SS"/>
    <x v="2"/>
    <m/>
    <x v="0"/>
    <x v="3"/>
  </r>
  <r>
    <s v="IRM-39135"/>
    <x v="6"/>
    <x v="29"/>
    <s v="Representations :  Additional info  in Agreements  /RM &amp; SS"/>
    <x v="3"/>
    <m/>
    <x v="0"/>
    <x v="3"/>
  </r>
  <r>
    <s v="IRM-39135"/>
    <x v="6"/>
    <x v="29"/>
    <s v="Representations :  Additional info  in Agreements  /RM &amp; SS"/>
    <x v="4"/>
    <m/>
    <x v="0"/>
    <x v="3"/>
  </r>
  <r>
    <s v="IRM-39135"/>
    <x v="6"/>
    <x v="29"/>
    <s v="Representations :  Additional info  in Agreements  /RM &amp; SS"/>
    <x v="5"/>
    <n v="37.299999999999997"/>
    <x v="0"/>
    <x v="0"/>
  </r>
  <r>
    <s v="IRM-39135"/>
    <x v="6"/>
    <x v="29"/>
    <s v="Representations :  Additional info  in Agreements  /RM &amp; SS"/>
    <x v="6"/>
    <n v="93.4"/>
    <x v="0"/>
    <x v="3"/>
  </r>
  <r>
    <s v="IRM-39135"/>
    <x v="6"/>
    <x v="29"/>
    <s v="Representations :  Additional info  in Agreements  /RM &amp; SS"/>
    <x v="7"/>
    <n v="74.7"/>
    <x v="0"/>
    <x v="3"/>
  </r>
  <r>
    <s v="IRM-39135"/>
    <x v="6"/>
    <x v="29"/>
    <s v="Representations :  Additional info  in Agreements  /RM &amp; SS"/>
    <x v="8"/>
    <n v="74.7"/>
    <x v="0"/>
    <x v="3"/>
  </r>
  <r>
    <s v="IRM-39135"/>
    <x v="6"/>
    <x v="29"/>
    <s v="Representations :  Additional info  in Agreements  /RM &amp; SS"/>
    <x v="9"/>
    <n v="93.4"/>
    <x v="0"/>
    <x v="3"/>
  </r>
  <r>
    <s v="IRM-39187"/>
    <x v="4"/>
    <x v="23"/>
    <s v="Accessibility Improvements (Current PI28)"/>
    <x v="0"/>
    <m/>
    <x v="1"/>
    <x v="3"/>
  </r>
  <r>
    <s v="IRM-39187"/>
    <x v="4"/>
    <x v="23"/>
    <s v="Accessibility Improvements (Current PI28)"/>
    <x v="1"/>
    <m/>
    <x v="1"/>
    <x v="3"/>
  </r>
  <r>
    <s v="IRM-39187"/>
    <x v="4"/>
    <x v="23"/>
    <s v="Accessibility Improvements (Current PI28)"/>
    <x v="2"/>
    <m/>
    <x v="1"/>
    <x v="3"/>
  </r>
  <r>
    <s v="IRM-39187"/>
    <x v="4"/>
    <x v="23"/>
    <s v="Accessibility Improvements (Current PI28)"/>
    <x v="3"/>
    <m/>
    <x v="1"/>
    <x v="3"/>
  </r>
  <r>
    <s v="IRM-39187"/>
    <x v="4"/>
    <x v="23"/>
    <s v="Accessibility Improvements (Current PI28)"/>
    <x v="4"/>
    <m/>
    <x v="1"/>
    <x v="3"/>
  </r>
  <r>
    <s v="IRM-39187"/>
    <x v="4"/>
    <x v="23"/>
    <s v="Accessibility Improvements (Current PI28)"/>
    <x v="5"/>
    <m/>
    <x v="1"/>
    <x v="0"/>
  </r>
  <r>
    <s v="IRM-39187"/>
    <x v="4"/>
    <x v="23"/>
    <s v="Accessibility Improvements (Current PI28)"/>
    <x v="6"/>
    <m/>
    <x v="1"/>
    <x v="3"/>
  </r>
  <r>
    <s v="IRM-39187"/>
    <x v="4"/>
    <x v="23"/>
    <s v="Accessibility Improvements (Current PI28)"/>
    <x v="7"/>
    <m/>
    <x v="1"/>
    <x v="3"/>
  </r>
  <r>
    <s v="IRM-39187"/>
    <x v="4"/>
    <x v="23"/>
    <s v="Accessibility Improvements (Current PI28)"/>
    <x v="8"/>
    <m/>
    <x v="1"/>
    <x v="3"/>
  </r>
  <r>
    <s v="IRM-39187"/>
    <x v="4"/>
    <x v="23"/>
    <s v="Accessibility Improvements (Current PI28)"/>
    <x v="9"/>
    <m/>
    <x v="1"/>
    <x v="3"/>
  </r>
  <r>
    <s v="IRM-39200"/>
    <x v="4"/>
    <x v="19"/>
    <s v="Performance improvements (Current PI28)"/>
    <x v="0"/>
    <n v="160"/>
    <x v="1"/>
    <x v="3"/>
  </r>
  <r>
    <s v="IRM-39200"/>
    <x v="4"/>
    <x v="19"/>
    <s v="Performance improvements (Current PI28)"/>
    <x v="1"/>
    <m/>
    <x v="1"/>
    <x v="3"/>
  </r>
  <r>
    <s v="IRM-39200"/>
    <x v="4"/>
    <x v="19"/>
    <s v="Performance improvements (Current PI28)"/>
    <x v="2"/>
    <m/>
    <x v="1"/>
    <x v="3"/>
  </r>
  <r>
    <s v="IRM-39200"/>
    <x v="4"/>
    <x v="19"/>
    <s v="Performance improvements (Current PI28)"/>
    <x v="3"/>
    <m/>
    <x v="1"/>
    <x v="3"/>
  </r>
  <r>
    <s v="IRM-39200"/>
    <x v="4"/>
    <x v="19"/>
    <s v="Performance improvements (Current PI28)"/>
    <x v="4"/>
    <m/>
    <x v="1"/>
    <x v="3"/>
  </r>
  <r>
    <s v="IRM-39200"/>
    <x v="4"/>
    <x v="19"/>
    <s v="Performance improvements (Current PI28)"/>
    <x v="5"/>
    <n v="32"/>
    <x v="1"/>
    <x v="0"/>
  </r>
  <r>
    <s v="IRM-39200"/>
    <x v="4"/>
    <x v="19"/>
    <s v="Performance improvements (Current PI28)"/>
    <x v="6"/>
    <n v="80"/>
    <x v="1"/>
    <x v="3"/>
  </r>
  <r>
    <s v="IRM-39200"/>
    <x v="4"/>
    <x v="19"/>
    <s v="Performance improvements (Current PI28)"/>
    <x v="7"/>
    <n v="64"/>
    <x v="1"/>
    <x v="3"/>
  </r>
  <r>
    <s v="IRM-39200"/>
    <x v="4"/>
    <x v="19"/>
    <s v="Performance improvements (Current PI28)"/>
    <x v="8"/>
    <n v="64"/>
    <x v="1"/>
    <x v="3"/>
  </r>
  <r>
    <s v="IRM-39200"/>
    <x v="4"/>
    <x v="19"/>
    <s v="Performance improvements (Current PI28)"/>
    <x v="9"/>
    <n v="80"/>
    <x v="1"/>
    <x v="3"/>
  </r>
  <r>
    <s v="IRM-39202"/>
    <x v="4"/>
    <x v="10"/>
    <s v="Improvements / Challenges - DAID (Current PI28)"/>
    <x v="0"/>
    <m/>
    <x v="1"/>
    <x v="3"/>
  </r>
  <r>
    <s v="IRM-39202"/>
    <x v="4"/>
    <x v="10"/>
    <s v="Improvements / Challenges - DAID (Current PI28)"/>
    <x v="1"/>
    <m/>
    <x v="1"/>
    <x v="3"/>
  </r>
  <r>
    <s v="IRM-39202"/>
    <x v="4"/>
    <x v="10"/>
    <s v="Improvements / Challenges - DAID (Current PI28)"/>
    <x v="2"/>
    <m/>
    <x v="1"/>
    <x v="3"/>
  </r>
  <r>
    <s v="IRM-39202"/>
    <x v="4"/>
    <x v="10"/>
    <s v="Improvements / Challenges - DAID (Current PI28)"/>
    <x v="3"/>
    <m/>
    <x v="1"/>
    <x v="3"/>
  </r>
  <r>
    <s v="IRM-39202"/>
    <x v="4"/>
    <x v="10"/>
    <s v="Improvements / Challenges - DAID (Current PI28)"/>
    <x v="4"/>
    <m/>
    <x v="1"/>
    <x v="3"/>
  </r>
  <r>
    <s v="IRM-39202"/>
    <x v="4"/>
    <x v="10"/>
    <s v="Improvements / Challenges - DAID (Current PI28)"/>
    <x v="5"/>
    <m/>
    <x v="1"/>
    <x v="0"/>
  </r>
  <r>
    <s v="IRM-39202"/>
    <x v="4"/>
    <x v="10"/>
    <s v="Improvements / Challenges - DAID (Current PI28)"/>
    <x v="6"/>
    <m/>
    <x v="1"/>
    <x v="3"/>
  </r>
  <r>
    <s v="IRM-39202"/>
    <x v="4"/>
    <x v="10"/>
    <s v="Improvements / Challenges - DAID (Current PI28)"/>
    <x v="7"/>
    <m/>
    <x v="1"/>
    <x v="3"/>
  </r>
  <r>
    <s v="IRM-39202"/>
    <x v="4"/>
    <x v="10"/>
    <s v="Improvements / Challenges - DAID (Current PI28)"/>
    <x v="8"/>
    <m/>
    <x v="1"/>
    <x v="3"/>
  </r>
  <r>
    <s v="IRM-39202"/>
    <x v="4"/>
    <x v="10"/>
    <s v="Improvements / Challenges - DAID (Current PI28)"/>
    <x v="9"/>
    <m/>
    <x v="1"/>
    <x v="3"/>
  </r>
  <r>
    <s v="IRM-39208"/>
    <x v="4"/>
    <x v="13"/>
    <s v="UI Improvements / Initiatives - DAID (Current PI28)"/>
    <x v="0"/>
    <m/>
    <x v="1"/>
    <x v="3"/>
  </r>
  <r>
    <s v="IRM-39208"/>
    <x v="4"/>
    <x v="13"/>
    <s v="UI Improvements / Initiatives - DAID (Current PI28)"/>
    <x v="1"/>
    <m/>
    <x v="1"/>
    <x v="3"/>
  </r>
  <r>
    <s v="IRM-39208"/>
    <x v="4"/>
    <x v="13"/>
    <s v="UI Improvements / Initiatives - DAID (Current PI28)"/>
    <x v="2"/>
    <m/>
    <x v="1"/>
    <x v="3"/>
  </r>
  <r>
    <s v="IRM-39208"/>
    <x v="4"/>
    <x v="13"/>
    <s v="UI Improvements / Initiatives - DAID (Current PI28)"/>
    <x v="3"/>
    <m/>
    <x v="1"/>
    <x v="3"/>
  </r>
  <r>
    <s v="IRM-39208"/>
    <x v="4"/>
    <x v="13"/>
    <s v="UI Improvements / Initiatives - DAID (Current PI28)"/>
    <x v="4"/>
    <m/>
    <x v="1"/>
    <x v="3"/>
  </r>
  <r>
    <s v="IRM-39208"/>
    <x v="4"/>
    <x v="13"/>
    <s v="UI Improvements / Initiatives - DAID (Current PI28)"/>
    <x v="5"/>
    <m/>
    <x v="1"/>
    <x v="0"/>
  </r>
  <r>
    <s v="IRM-39208"/>
    <x v="4"/>
    <x v="13"/>
    <s v="UI Improvements / Initiatives - DAID (Current PI28)"/>
    <x v="6"/>
    <m/>
    <x v="1"/>
    <x v="3"/>
  </r>
  <r>
    <s v="IRM-39208"/>
    <x v="4"/>
    <x v="13"/>
    <s v="UI Improvements / Initiatives - DAID (Current PI28)"/>
    <x v="7"/>
    <m/>
    <x v="1"/>
    <x v="3"/>
  </r>
  <r>
    <s v="IRM-39208"/>
    <x v="4"/>
    <x v="13"/>
    <s v="UI Improvements / Initiatives - DAID (Current PI28)"/>
    <x v="8"/>
    <m/>
    <x v="1"/>
    <x v="3"/>
  </r>
  <r>
    <s v="IRM-39208"/>
    <x v="4"/>
    <x v="13"/>
    <s v="UI Improvements / Initiatives - DAID (Current PI28)"/>
    <x v="9"/>
    <m/>
    <x v="1"/>
    <x v="3"/>
  </r>
  <r>
    <s v="IRM-39395"/>
    <x v="0"/>
    <x v="18"/>
    <s v="Enable financial events logging under Org units and Claimants"/>
    <x v="0"/>
    <n v="533.29999999999995"/>
    <x v="0"/>
    <x v="3"/>
  </r>
  <r>
    <s v="IRM-39395"/>
    <x v="0"/>
    <x v="18"/>
    <s v="Enable financial events logging under Org units and Claimants"/>
    <x v="1"/>
    <m/>
    <x v="0"/>
    <x v="3"/>
  </r>
  <r>
    <s v="IRM-39395"/>
    <x v="0"/>
    <x v="18"/>
    <s v="Enable financial events logging under Org units and Claimants"/>
    <x v="2"/>
    <m/>
    <x v="0"/>
    <x v="3"/>
  </r>
  <r>
    <s v="IRM-39395"/>
    <x v="0"/>
    <x v="18"/>
    <s v="Enable financial events logging under Org units and Claimants"/>
    <x v="3"/>
    <m/>
    <x v="0"/>
    <x v="3"/>
  </r>
  <r>
    <s v="IRM-39395"/>
    <x v="0"/>
    <x v="18"/>
    <s v="Enable financial events logging under Org units and Claimants"/>
    <x v="4"/>
    <m/>
    <x v="0"/>
    <x v="3"/>
  </r>
  <r>
    <s v="IRM-39395"/>
    <x v="0"/>
    <x v="18"/>
    <s v="Enable financial events logging under Org units and Claimants"/>
    <x v="5"/>
    <n v="106.7"/>
    <x v="0"/>
    <x v="0"/>
  </r>
  <r>
    <s v="IRM-39395"/>
    <x v="0"/>
    <x v="18"/>
    <s v="Enable financial events logging under Org units and Claimants"/>
    <x v="6"/>
    <n v="266.60000000000002"/>
    <x v="0"/>
    <x v="3"/>
  </r>
  <r>
    <s v="IRM-39395"/>
    <x v="0"/>
    <x v="18"/>
    <s v="Enable financial events logging under Org units and Claimants"/>
    <x v="7"/>
    <n v="213.3"/>
    <x v="0"/>
    <x v="3"/>
  </r>
  <r>
    <s v="IRM-39395"/>
    <x v="0"/>
    <x v="18"/>
    <s v="Enable financial events logging under Org units and Claimants"/>
    <x v="8"/>
    <n v="213.3"/>
    <x v="0"/>
    <x v="3"/>
  </r>
  <r>
    <s v="IRM-39395"/>
    <x v="0"/>
    <x v="18"/>
    <s v="Enable financial events logging under Org units and Claimants"/>
    <x v="9"/>
    <n v="266.60000000000002"/>
    <x v="0"/>
    <x v="3"/>
  </r>
  <r>
    <s v="IRM-39515"/>
    <x v="2"/>
    <x v="2"/>
    <s v="Tooling | Internal Documents Review Process - DRAFT MR"/>
    <x v="0"/>
    <m/>
    <x v="1"/>
    <x v="4"/>
  </r>
  <r>
    <s v="IRM-39515"/>
    <x v="2"/>
    <x v="2"/>
    <s v="Tooling | Internal Documents Review Process - DRAFT MR"/>
    <x v="5"/>
    <m/>
    <x v="1"/>
    <x v="2"/>
  </r>
  <r>
    <s v="IRM-39515"/>
    <x v="2"/>
    <x v="2"/>
    <s v="Tooling | Internal Documents Review Process - DRAFT MR"/>
    <x v="6"/>
    <m/>
    <x v="1"/>
    <x v="4"/>
  </r>
  <r>
    <s v="IRM-39515"/>
    <x v="2"/>
    <x v="2"/>
    <s v="Tooling | Internal Documents Review Process - DRAFT MR"/>
    <x v="7"/>
    <m/>
    <x v="1"/>
    <x v="4"/>
  </r>
  <r>
    <s v="IRM-39515"/>
    <x v="2"/>
    <x v="2"/>
    <s v="Tooling | Internal Documents Review Process - DRAFT MR"/>
    <x v="8"/>
    <m/>
    <x v="1"/>
    <x v="4"/>
  </r>
  <r>
    <s v="IRM-39515"/>
    <x v="2"/>
    <x v="2"/>
    <s v="Tooling | Internal Documents Review Process - DRAFT MR"/>
    <x v="9"/>
    <m/>
    <x v="1"/>
    <x v="4"/>
  </r>
  <r>
    <s v="IRM-39738"/>
    <x v="4"/>
    <x v="19"/>
    <s v="Reference Data - Implement Enhanced Caching for Reference Data Microservice"/>
    <x v="0"/>
    <n v="80"/>
    <x v="0"/>
    <x v="3"/>
  </r>
  <r>
    <s v="IRM-39738"/>
    <x v="4"/>
    <x v="19"/>
    <s v="Reference Data - Implement Enhanced Caching for Reference Data Microservice"/>
    <x v="1"/>
    <m/>
    <x v="0"/>
    <x v="3"/>
  </r>
  <r>
    <s v="IRM-39738"/>
    <x v="4"/>
    <x v="19"/>
    <s v="Reference Data - Implement Enhanced Caching for Reference Data Microservice"/>
    <x v="2"/>
    <m/>
    <x v="0"/>
    <x v="3"/>
  </r>
  <r>
    <s v="IRM-39738"/>
    <x v="4"/>
    <x v="19"/>
    <s v="Reference Data - Implement Enhanced Caching for Reference Data Microservice"/>
    <x v="3"/>
    <m/>
    <x v="0"/>
    <x v="3"/>
  </r>
  <r>
    <s v="IRM-39738"/>
    <x v="4"/>
    <x v="19"/>
    <s v="Reference Data - Implement Enhanced Caching for Reference Data Microservice"/>
    <x v="4"/>
    <m/>
    <x v="0"/>
    <x v="3"/>
  </r>
  <r>
    <s v="IRM-39738"/>
    <x v="4"/>
    <x v="19"/>
    <s v="Reference Data - Implement Enhanced Caching for Reference Data Microservice"/>
    <x v="5"/>
    <n v="16"/>
    <x v="0"/>
    <x v="0"/>
  </r>
  <r>
    <s v="IRM-39738"/>
    <x v="4"/>
    <x v="19"/>
    <s v="Reference Data - Implement Enhanced Caching for Reference Data Microservice"/>
    <x v="6"/>
    <n v="40"/>
    <x v="0"/>
    <x v="3"/>
  </r>
  <r>
    <s v="IRM-39738"/>
    <x v="4"/>
    <x v="19"/>
    <s v="Reference Data - Implement Enhanced Caching for Reference Data Microservice"/>
    <x v="7"/>
    <n v="32"/>
    <x v="0"/>
    <x v="3"/>
  </r>
  <r>
    <s v="IRM-39738"/>
    <x v="4"/>
    <x v="19"/>
    <s v="Reference Data - Implement Enhanced Caching for Reference Data Microservice"/>
    <x v="8"/>
    <n v="32"/>
    <x v="0"/>
    <x v="3"/>
  </r>
  <r>
    <s v="IRM-39738"/>
    <x v="4"/>
    <x v="19"/>
    <s v="Reference Data - Implement Enhanced Caching for Reference Data Microservice"/>
    <x v="9"/>
    <n v="40"/>
    <x v="0"/>
    <x v="3"/>
  </r>
  <r>
    <s v="IRM-39975"/>
    <x v="4"/>
    <x v="13"/>
    <s v="UI/UX Improvements - Schema Changes"/>
    <x v="0"/>
    <n v="133.30000000000001"/>
    <x v="0"/>
    <x v="3"/>
  </r>
  <r>
    <s v="IRM-39975"/>
    <x v="4"/>
    <x v="13"/>
    <s v="UI/UX Improvements - Schema Changes"/>
    <x v="1"/>
    <m/>
    <x v="0"/>
    <x v="3"/>
  </r>
  <r>
    <s v="IRM-39975"/>
    <x v="4"/>
    <x v="13"/>
    <s v="UI/UX Improvements - Schema Changes"/>
    <x v="2"/>
    <m/>
    <x v="0"/>
    <x v="3"/>
  </r>
  <r>
    <s v="IRM-39975"/>
    <x v="4"/>
    <x v="13"/>
    <s v="UI/UX Improvements - Schema Changes"/>
    <x v="3"/>
    <m/>
    <x v="0"/>
    <x v="3"/>
  </r>
  <r>
    <s v="IRM-39975"/>
    <x v="4"/>
    <x v="13"/>
    <s v="UI/UX Improvements - Schema Changes"/>
    <x v="4"/>
    <m/>
    <x v="0"/>
    <x v="3"/>
  </r>
  <r>
    <s v="IRM-39975"/>
    <x v="4"/>
    <x v="13"/>
    <s v="UI/UX Improvements - Schema Changes"/>
    <x v="5"/>
    <n v="26.7"/>
    <x v="0"/>
    <x v="0"/>
  </r>
  <r>
    <s v="IRM-39975"/>
    <x v="4"/>
    <x v="13"/>
    <s v="UI/UX Improvements - Schema Changes"/>
    <x v="6"/>
    <n v="66.599999999999994"/>
    <x v="0"/>
    <x v="3"/>
  </r>
  <r>
    <s v="IRM-39975"/>
    <x v="4"/>
    <x v="13"/>
    <s v="UI/UX Improvements - Schema Changes"/>
    <x v="7"/>
    <n v="53.3"/>
    <x v="0"/>
    <x v="3"/>
  </r>
  <r>
    <s v="IRM-39975"/>
    <x v="4"/>
    <x v="13"/>
    <s v="UI/UX Improvements - Schema Changes"/>
    <x v="8"/>
    <n v="53.3"/>
    <x v="0"/>
    <x v="3"/>
  </r>
  <r>
    <s v="IRM-39975"/>
    <x v="4"/>
    <x v="13"/>
    <s v="UI/UX Improvements - Schema Changes"/>
    <x v="9"/>
    <n v="66.599999999999994"/>
    <x v="0"/>
    <x v="3"/>
  </r>
  <r>
    <s v="IRM-39976"/>
    <x v="4"/>
    <x v="13"/>
    <s v="UI/UX Improvements: FE extra functionalities - Generic"/>
    <x v="0"/>
    <n v="74.7"/>
    <x v="0"/>
    <x v="3"/>
  </r>
  <r>
    <s v="IRM-39976"/>
    <x v="4"/>
    <x v="13"/>
    <s v="UI/UX Improvements: FE extra functionalities - Generic"/>
    <x v="1"/>
    <m/>
    <x v="0"/>
    <x v="3"/>
  </r>
  <r>
    <s v="IRM-39976"/>
    <x v="4"/>
    <x v="13"/>
    <s v="UI/UX Improvements: FE extra functionalities - Generic"/>
    <x v="2"/>
    <m/>
    <x v="0"/>
    <x v="3"/>
  </r>
  <r>
    <s v="IRM-39976"/>
    <x v="4"/>
    <x v="13"/>
    <s v="UI/UX Improvements: FE extra functionalities - Generic"/>
    <x v="3"/>
    <m/>
    <x v="0"/>
    <x v="3"/>
  </r>
  <r>
    <s v="IRM-39976"/>
    <x v="4"/>
    <x v="13"/>
    <s v="UI/UX Improvements: FE extra functionalities - Generic"/>
    <x v="4"/>
    <m/>
    <x v="0"/>
    <x v="3"/>
  </r>
  <r>
    <s v="IRM-39976"/>
    <x v="4"/>
    <x v="13"/>
    <s v="UI/UX Improvements: FE extra functionalities - Generic"/>
    <x v="5"/>
    <n v="14.9"/>
    <x v="0"/>
    <x v="0"/>
  </r>
  <r>
    <s v="IRM-39976"/>
    <x v="4"/>
    <x v="13"/>
    <s v="UI/UX Improvements: FE extra functionalities - Generic"/>
    <x v="6"/>
    <n v="37.4"/>
    <x v="0"/>
    <x v="3"/>
  </r>
  <r>
    <s v="IRM-39976"/>
    <x v="4"/>
    <x v="13"/>
    <s v="UI/UX Improvements: FE extra functionalities - Generic"/>
    <x v="7"/>
    <n v="29.9"/>
    <x v="0"/>
    <x v="3"/>
  </r>
  <r>
    <s v="IRM-39976"/>
    <x v="4"/>
    <x v="13"/>
    <s v="UI/UX Improvements: FE extra functionalities - Generic"/>
    <x v="8"/>
    <n v="29.9"/>
    <x v="0"/>
    <x v="3"/>
  </r>
  <r>
    <s v="IRM-39976"/>
    <x v="4"/>
    <x v="13"/>
    <s v="UI/UX Improvements: FE extra functionalities - Generic"/>
    <x v="9"/>
    <n v="37.4"/>
    <x v="0"/>
    <x v="3"/>
  </r>
  <r>
    <s v="IRM-39979"/>
    <x v="4"/>
    <x v="13"/>
    <s v="UI/UX Improvements: Search Panels - Reusable in all screens"/>
    <x v="0"/>
    <n v="56"/>
    <x v="0"/>
    <x v="3"/>
  </r>
  <r>
    <s v="IRM-39979"/>
    <x v="4"/>
    <x v="13"/>
    <s v="UI/UX Improvements: Search Panels - Reusable in all screens"/>
    <x v="1"/>
    <m/>
    <x v="0"/>
    <x v="3"/>
  </r>
  <r>
    <s v="IRM-39979"/>
    <x v="4"/>
    <x v="13"/>
    <s v="UI/UX Improvements: Search Panels - Reusable in all screens"/>
    <x v="2"/>
    <m/>
    <x v="0"/>
    <x v="3"/>
  </r>
  <r>
    <s v="IRM-39979"/>
    <x v="4"/>
    <x v="13"/>
    <s v="UI/UX Improvements: Search Panels - Reusable in all screens"/>
    <x v="3"/>
    <m/>
    <x v="0"/>
    <x v="3"/>
  </r>
  <r>
    <s v="IRM-39979"/>
    <x v="4"/>
    <x v="13"/>
    <s v="UI/UX Improvements: Search Panels - Reusable in all screens"/>
    <x v="4"/>
    <m/>
    <x v="0"/>
    <x v="3"/>
  </r>
  <r>
    <s v="IRM-39979"/>
    <x v="4"/>
    <x v="13"/>
    <s v="UI/UX Improvements: Search Panels - Reusable in all screens"/>
    <x v="5"/>
    <n v="11.2"/>
    <x v="0"/>
    <x v="0"/>
  </r>
  <r>
    <s v="IRM-39979"/>
    <x v="4"/>
    <x v="13"/>
    <s v="UI/UX Improvements: Search Panels - Reusable in all screens"/>
    <x v="6"/>
    <n v="28"/>
    <x v="0"/>
    <x v="3"/>
  </r>
  <r>
    <s v="IRM-39979"/>
    <x v="4"/>
    <x v="13"/>
    <s v="UI/UX Improvements: Search Panels - Reusable in all screens"/>
    <x v="7"/>
    <n v="22.4"/>
    <x v="0"/>
    <x v="3"/>
  </r>
  <r>
    <s v="IRM-39979"/>
    <x v="4"/>
    <x v="13"/>
    <s v="UI/UX Improvements: Search Panels - Reusable in all screens"/>
    <x v="8"/>
    <n v="22.4"/>
    <x v="0"/>
    <x v="3"/>
  </r>
  <r>
    <s v="IRM-39979"/>
    <x v="4"/>
    <x v="13"/>
    <s v="UI/UX Improvements: Search Panels - Reusable in all screens"/>
    <x v="9"/>
    <n v="28"/>
    <x v="0"/>
    <x v="3"/>
  </r>
  <r>
    <s v="IRM-39984"/>
    <x v="4"/>
    <x v="13"/>
    <s v="UI/UX Improvements: Improve Table with extra messages"/>
    <x v="0"/>
    <m/>
    <x v="0"/>
    <x v="3"/>
  </r>
  <r>
    <s v="IRM-39984"/>
    <x v="4"/>
    <x v="13"/>
    <s v="UI/UX Improvements: Improve Table with extra messages"/>
    <x v="1"/>
    <m/>
    <x v="0"/>
    <x v="3"/>
  </r>
  <r>
    <s v="IRM-39984"/>
    <x v="4"/>
    <x v="13"/>
    <s v="UI/UX Improvements: Improve Table with extra messages"/>
    <x v="2"/>
    <m/>
    <x v="0"/>
    <x v="3"/>
  </r>
  <r>
    <s v="IRM-39984"/>
    <x v="4"/>
    <x v="13"/>
    <s v="UI/UX Improvements: Improve Table with extra messages"/>
    <x v="3"/>
    <m/>
    <x v="0"/>
    <x v="3"/>
  </r>
  <r>
    <s v="IRM-39984"/>
    <x v="4"/>
    <x v="13"/>
    <s v="UI/UX Improvements: Improve Table with extra messages"/>
    <x v="4"/>
    <m/>
    <x v="0"/>
    <x v="3"/>
  </r>
  <r>
    <s v="IRM-39984"/>
    <x v="4"/>
    <x v="13"/>
    <s v="UI/UX Improvements: Improve Table with extra messages"/>
    <x v="5"/>
    <m/>
    <x v="0"/>
    <x v="0"/>
  </r>
  <r>
    <s v="IRM-39984"/>
    <x v="4"/>
    <x v="13"/>
    <s v="UI/UX Improvements: Improve Table with extra messages"/>
    <x v="6"/>
    <m/>
    <x v="0"/>
    <x v="3"/>
  </r>
  <r>
    <s v="IRM-39984"/>
    <x v="4"/>
    <x v="13"/>
    <s v="UI/UX Improvements: Improve Table with extra messages"/>
    <x v="7"/>
    <m/>
    <x v="0"/>
    <x v="3"/>
  </r>
  <r>
    <s v="IRM-39984"/>
    <x v="4"/>
    <x v="13"/>
    <s v="UI/UX Improvements: Improve Table with extra messages"/>
    <x v="8"/>
    <m/>
    <x v="0"/>
    <x v="3"/>
  </r>
  <r>
    <s v="IRM-39984"/>
    <x v="4"/>
    <x v="13"/>
    <s v="UI/UX Improvements: Improve Table with extra messages"/>
    <x v="9"/>
    <m/>
    <x v="0"/>
    <x v="3"/>
  </r>
  <r>
    <s v="IRM-39992"/>
    <x v="4"/>
    <x v="13"/>
    <s v="UI/UX Improvements: Design specifics"/>
    <x v="0"/>
    <n v="133.30000000000001"/>
    <x v="0"/>
    <x v="3"/>
  </r>
  <r>
    <s v="IRM-39992"/>
    <x v="4"/>
    <x v="13"/>
    <s v="UI/UX Improvements: Design specifics"/>
    <x v="1"/>
    <m/>
    <x v="0"/>
    <x v="3"/>
  </r>
  <r>
    <s v="IRM-39992"/>
    <x v="4"/>
    <x v="13"/>
    <s v="UI/UX Improvements: Design specifics"/>
    <x v="2"/>
    <m/>
    <x v="0"/>
    <x v="3"/>
  </r>
  <r>
    <s v="IRM-39992"/>
    <x v="4"/>
    <x v="13"/>
    <s v="UI/UX Improvements: Design specifics"/>
    <x v="3"/>
    <m/>
    <x v="0"/>
    <x v="3"/>
  </r>
  <r>
    <s v="IRM-39992"/>
    <x v="4"/>
    <x v="13"/>
    <s v="UI/UX Improvements: Design specifics"/>
    <x v="4"/>
    <m/>
    <x v="0"/>
    <x v="3"/>
  </r>
  <r>
    <s v="IRM-39992"/>
    <x v="4"/>
    <x v="13"/>
    <s v="UI/UX Improvements: Design specifics"/>
    <x v="5"/>
    <n v="26.7"/>
    <x v="0"/>
    <x v="0"/>
  </r>
  <r>
    <s v="IRM-39992"/>
    <x v="4"/>
    <x v="13"/>
    <s v="UI/UX Improvements: Design specifics"/>
    <x v="6"/>
    <n v="66.599999999999994"/>
    <x v="0"/>
    <x v="3"/>
  </r>
  <r>
    <s v="IRM-39992"/>
    <x v="4"/>
    <x v="13"/>
    <s v="UI/UX Improvements: Design specifics"/>
    <x v="7"/>
    <n v="53.3"/>
    <x v="0"/>
    <x v="3"/>
  </r>
  <r>
    <s v="IRM-39992"/>
    <x v="4"/>
    <x v="13"/>
    <s v="UI/UX Improvements: Design specifics"/>
    <x v="8"/>
    <n v="53.3"/>
    <x v="0"/>
    <x v="3"/>
  </r>
  <r>
    <s v="IRM-39992"/>
    <x v="4"/>
    <x v="13"/>
    <s v="UI/UX Improvements: Design specifics"/>
    <x v="9"/>
    <n v="66.599999999999994"/>
    <x v="0"/>
    <x v="3"/>
  </r>
  <r>
    <s v="IRM-40159"/>
    <x v="0"/>
    <x v="18"/>
    <s v="Configurability of GL Decision Table - Be able to override by custom application"/>
    <x v="0"/>
    <m/>
    <x v="0"/>
    <x v="3"/>
  </r>
  <r>
    <s v="IRM-40159"/>
    <x v="0"/>
    <x v="18"/>
    <s v="Configurability of GL Decision Table - Be able to override by custom application"/>
    <x v="1"/>
    <m/>
    <x v="0"/>
    <x v="3"/>
  </r>
  <r>
    <s v="IRM-40159"/>
    <x v="0"/>
    <x v="18"/>
    <s v="Configurability of GL Decision Table - Be able to override by custom application"/>
    <x v="2"/>
    <m/>
    <x v="0"/>
    <x v="3"/>
  </r>
  <r>
    <s v="IRM-40159"/>
    <x v="0"/>
    <x v="18"/>
    <s v="Configurability of GL Decision Table - Be able to override by custom application"/>
    <x v="3"/>
    <m/>
    <x v="0"/>
    <x v="3"/>
  </r>
  <r>
    <s v="IRM-40159"/>
    <x v="0"/>
    <x v="18"/>
    <s v="Configurability of GL Decision Table - Be able to override by custom application"/>
    <x v="4"/>
    <m/>
    <x v="0"/>
    <x v="3"/>
  </r>
  <r>
    <s v="IRM-40159"/>
    <x v="0"/>
    <x v="18"/>
    <s v="Configurability of GL Decision Table - Be able to override by custom application"/>
    <x v="5"/>
    <m/>
    <x v="0"/>
    <x v="0"/>
  </r>
  <r>
    <s v="IRM-40159"/>
    <x v="0"/>
    <x v="18"/>
    <s v="Configurability of GL Decision Table - Be able to override by custom application"/>
    <x v="6"/>
    <m/>
    <x v="0"/>
    <x v="3"/>
  </r>
  <r>
    <s v="IRM-40159"/>
    <x v="0"/>
    <x v="18"/>
    <s v="Configurability of GL Decision Table - Be able to override by custom application"/>
    <x v="7"/>
    <m/>
    <x v="0"/>
    <x v="3"/>
  </r>
  <r>
    <s v="IRM-40159"/>
    <x v="0"/>
    <x v="18"/>
    <s v="Configurability of GL Decision Table - Be able to override by custom application"/>
    <x v="8"/>
    <m/>
    <x v="0"/>
    <x v="3"/>
  </r>
  <r>
    <s v="IRM-40159"/>
    <x v="0"/>
    <x v="18"/>
    <s v="Configurability of GL Decision Table - Be able to override by custom application"/>
    <x v="9"/>
    <m/>
    <x v="0"/>
    <x v="3"/>
  </r>
  <r>
    <s v="IRM-40165"/>
    <x v="4"/>
    <x v="23"/>
    <s v="Accessibility Improvements - DAID (Current PI28)"/>
    <x v="0"/>
    <n v="32"/>
    <x v="1"/>
    <x v="3"/>
  </r>
  <r>
    <s v="IRM-40165"/>
    <x v="4"/>
    <x v="23"/>
    <s v="Accessibility Improvements - DAID (Current PI28)"/>
    <x v="1"/>
    <m/>
    <x v="1"/>
    <x v="3"/>
  </r>
  <r>
    <s v="IRM-40165"/>
    <x v="4"/>
    <x v="23"/>
    <s v="Accessibility Improvements - DAID (Current PI28)"/>
    <x v="2"/>
    <m/>
    <x v="1"/>
    <x v="3"/>
  </r>
  <r>
    <s v="IRM-40165"/>
    <x v="4"/>
    <x v="23"/>
    <s v="Accessibility Improvements - DAID (Current PI28)"/>
    <x v="3"/>
    <m/>
    <x v="1"/>
    <x v="3"/>
  </r>
  <r>
    <s v="IRM-40165"/>
    <x v="4"/>
    <x v="23"/>
    <s v="Accessibility Improvements - DAID (Current PI28)"/>
    <x v="4"/>
    <m/>
    <x v="1"/>
    <x v="3"/>
  </r>
  <r>
    <s v="IRM-40165"/>
    <x v="4"/>
    <x v="23"/>
    <s v="Accessibility Improvements - DAID (Current PI28)"/>
    <x v="5"/>
    <n v="6.4"/>
    <x v="1"/>
    <x v="0"/>
  </r>
  <r>
    <s v="IRM-40165"/>
    <x v="4"/>
    <x v="23"/>
    <s v="Accessibility Improvements - DAID (Current PI28)"/>
    <x v="6"/>
    <n v="16"/>
    <x v="1"/>
    <x v="3"/>
  </r>
  <r>
    <s v="IRM-40165"/>
    <x v="4"/>
    <x v="23"/>
    <s v="Accessibility Improvements - DAID (Current PI28)"/>
    <x v="7"/>
    <n v="12.8"/>
    <x v="1"/>
    <x v="3"/>
  </r>
  <r>
    <s v="IRM-40165"/>
    <x v="4"/>
    <x v="23"/>
    <s v="Accessibility Improvements - DAID (Current PI28)"/>
    <x v="8"/>
    <n v="12.8"/>
    <x v="1"/>
    <x v="3"/>
  </r>
  <r>
    <s v="IRM-40165"/>
    <x v="4"/>
    <x v="23"/>
    <s v="Accessibility Improvements - DAID (Current PI28)"/>
    <x v="9"/>
    <n v="16"/>
    <x v="1"/>
    <x v="3"/>
  </r>
  <r>
    <s v="IRM-40167"/>
    <x v="4"/>
    <x v="23"/>
    <s v="Accessibility Improvements - HEL (Current PI28)"/>
    <x v="0"/>
    <m/>
    <x v="1"/>
    <x v="3"/>
  </r>
  <r>
    <s v="IRM-40167"/>
    <x v="4"/>
    <x v="23"/>
    <s v="Accessibility Improvements - HEL (Current PI28)"/>
    <x v="1"/>
    <m/>
    <x v="1"/>
    <x v="3"/>
  </r>
  <r>
    <s v="IRM-40167"/>
    <x v="4"/>
    <x v="23"/>
    <s v="Accessibility Improvements - HEL (Current PI28)"/>
    <x v="2"/>
    <m/>
    <x v="1"/>
    <x v="3"/>
  </r>
  <r>
    <s v="IRM-40167"/>
    <x v="4"/>
    <x v="23"/>
    <s v="Accessibility Improvements - HEL (Current PI28)"/>
    <x v="3"/>
    <m/>
    <x v="1"/>
    <x v="3"/>
  </r>
  <r>
    <s v="IRM-40167"/>
    <x v="4"/>
    <x v="23"/>
    <s v="Accessibility Improvements - HEL (Current PI28)"/>
    <x v="4"/>
    <m/>
    <x v="1"/>
    <x v="3"/>
  </r>
  <r>
    <s v="IRM-40167"/>
    <x v="4"/>
    <x v="23"/>
    <s v="Accessibility Improvements - HEL (Current PI28)"/>
    <x v="5"/>
    <m/>
    <x v="1"/>
    <x v="0"/>
  </r>
  <r>
    <s v="IRM-40167"/>
    <x v="4"/>
    <x v="23"/>
    <s v="Accessibility Improvements - HEL (Current PI28)"/>
    <x v="6"/>
    <m/>
    <x v="1"/>
    <x v="3"/>
  </r>
  <r>
    <s v="IRM-40167"/>
    <x v="4"/>
    <x v="23"/>
    <s v="Accessibility Improvements - HEL (Current PI28)"/>
    <x v="7"/>
    <m/>
    <x v="1"/>
    <x v="3"/>
  </r>
  <r>
    <s v="IRM-40167"/>
    <x v="4"/>
    <x v="23"/>
    <s v="Accessibility Improvements - HEL (Current PI28)"/>
    <x v="8"/>
    <m/>
    <x v="1"/>
    <x v="3"/>
  </r>
  <r>
    <s v="IRM-40167"/>
    <x v="4"/>
    <x v="23"/>
    <s v="Accessibility Improvements - HEL (Current PI28)"/>
    <x v="9"/>
    <m/>
    <x v="1"/>
    <x v="3"/>
  </r>
  <r>
    <s v="IRM-40169"/>
    <x v="4"/>
    <x v="23"/>
    <s v="Accessibility Improvements - SPA (Current PI28)"/>
    <x v="0"/>
    <n v="32"/>
    <x v="1"/>
    <x v="3"/>
  </r>
  <r>
    <s v="IRM-40169"/>
    <x v="4"/>
    <x v="23"/>
    <s v="Accessibility Improvements - SPA (Current PI28)"/>
    <x v="1"/>
    <m/>
    <x v="1"/>
    <x v="3"/>
  </r>
  <r>
    <s v="IRM-40169"/>
    <x v="4"/>
    <x v="23"/>
    <s v="Accessibility Improvements - SPA (Current PI28)"/>
    <x v="2"/>
    <m/>
    <x v="1"/>
    <x v="3"/>
  </r>
  <r>
    <s v="IRM-40169"/>
    <x v="4"/>
    <x v="23"/>
    <s v="Accessibility Improvements - SPA (Current PI28)"/>
    <x v="3"/>
    <m/>
    <x v="1"/>
    <x v="3"/>
  </r>
  <r>
    <s v="IRM-40169"/>
    <x v="4"/>
    <x v="23"/>
    <s v="Accessibility Improvements - SPA (Current PI28)"/>
    <x v="4"/>
    <m/>
    <x v="1"/>
    <x v="3"/>
  </r>
  <r>
    <s v="IRM-40169"/>
    <x v="4"/>
    <x v="23"/>
    <s v="Accessibility Improvements - SPA (Current PI28)"/>
    <x v="5"/>
    <n v="6.4"/>
    <x v="1"/>
    <x v="0"/>
  </r>
  <r>
    <s v="IRM-40169"/>
    <x v="4"/>
    <x v="23"/>
    <s v="Accessibility Improvements - SPA (Current PI28)"/>
    <x v="6"/>
    <n v="16"/>
    <x v="1"/>
    <x v="3"/>
  </r>
  <r>
    <s v="IRM-40169"/>
    <x v="4"/>
    <x v="23"/>
    <s v="Accessibility Improvements - SPA (Current PI28)"/>
    <x v="7"/>
    <n v="12.8"/>
    <x v="1"/>
    <x v="3"/>
  </r>
  <r>
    <s v="IRM-40169"/>
    <x v="4"/>
    <x v="23"/>
    <s v="Accessibility Improvements - SPA (Current PI28)"/>
    <x v="8"/>
    <n v="12.8"/>
    <x v="1"/>
    <x v="3"/>
  </r>
  <r>
    <s v="IRM-40169"/>
    <x v="4"/>
    <x v="23"/>
    <s v="Accessibility Improvements - SPA (Current PI28)"/>
    <x v="9"/>
    <n v="16"/>
    <x v="1"/>
    <x v="3"/>
  </r>
  <r>
    <s v="IRM-40170"/>
    <x v="4"/>
    <x v="23"/>
    <s v="Accessibility Improvements - EOS (Current PI28)"/>
    <x v="0"/>
    <m/>
    <x v="1"/>
    <x v="3"/>
  </r>
  <r>
    <s v="IRM-40170"/>
    <x v="4"/>
    <x v="23"/>
    <s v="Accessibility Improvements - EOS (Current PI28)"/>
    <x v="1"/>
    <m/>
    <x v="1"/>
    <x v="3"/>
  </r>
  <r>
    <s v="IRM-40170"/>
    <x v="4"/>
    <x v="23"/>
    <s v="Accessibility Improvements - EOS (Current PI28)"/>
    <x v="2"/>
    <m/>
    <x v="1"/>
    <x v="3"/>
  </r>
  <r>
    <s v="IRM-40170"/>
    <x v="4"/>
    <x v="23"/>
    <s v="Accessibility Improvements - EOS (Current PI28)"/>
    <x v="3"/>
    <m/>
    <x v="1"/>
    <x v="3"/>
  </r>
  <r>
    <s v="IRM-40170"/>
    <x v="4"/>
    <x v="23"/>
    <s v="Accessibility Improvements - EOS (Current PI28)"/>
    <x v="4"/>
    <m/>
    <x v="1"/>
    <x v="3"/>
  </r>
  <r>
    <s v="IRM-40170"/>
    <x v="4"/>
    <x v="23"/>
    <s v="Accessibility Improvements - EOS (Current PI28)"/>
    <x v="5"/>
    <m/>
    <x v="1"/>
    <x v="0"/>
  </r>
  <r>
    <s v="IRM-40170"/>
    <x v="4"/>
    <x v="23"/>
    <s v="Accessibility Improvements - EOS (Current PI28)"/>
    <x v="6"/>
    <m/>
    <x v="1"/>
    <x v="3"/>
  </r>
  <r>
    <s v="IRM-40170"/>
    <x v="4"/>
    <x v="23"/>
    <s v="Accessibility Improvements - EOS (Current PI28)"/>
    <x v="7"/>
    <m/>
    <x v="1"/>
    <x v="3"/>
  </r>
  <r>
    <s v="IRM-40170"/>
    <x v="4"/>
    <x v="23"/>
    <s v="Accessibility Improvements - EOS (Current PI28)"/>
    <x v="8"/>
    <m/>
    <x v="1"/>
    <x v="3"/>
  </r>
  <r>
    <s v="IRM-40170"/>
    <x v="4"/>
    <x v="23"/>
    <s v="Accessibility Improvements - EOS (Current PI28)"/>
    <x v="9"/>
    <m/>
    <x v="1"/>
    <x v="3"/>
  </r>
  <r>
    <s v="IRM-40171"/>
    <x v="4"/>
    <x v="23"/>
    <s v="Accessibility Improvements - ATH (Current PI28)"/>
    <x v="0"/>
    <n v="32"/>
    <x v="1"/>
    <x v="3"/>
  </r>
  <r>
    <s v="IRM-40171"/>
    <x v="4"/>
    <x v="23"/>
    <s v="Accessibility Improvements - ATH (Current PI28)"/>
    <x v="1"/>
    <m/>
    <x v="1"/>
    <x v="3"/>
  </r>
  <r>
    <s v="IRM-40171"/>
    <x v="4"/>
    <x v="23"/>
    <s v="Accessibility Improvements - ATH (Current PI28)"/>
    <x v="2"/>
    <m/>
    <x v="1"/>
    <x v="3"/>
  </r>
  <r>
    <s v="IRM-40171"/>
    <x v="4"/>
    <x v="23"/>
    <s v="Accessibility Improvements - ATH (Current PI28)"/>
    <x v="3"/>
    <m/>
    <x v="1"/>
    <x v="3"/>
  </r>
  <r>
    <s v="IRM-40171"/>
    <x v="4"/>
    <x v="23"/>
    <s v="Accessibility Improvements - ATH (Current PI28)"/>
    <x v="4"/>
    <m/>
    <x v="1"/>
    <x v="3"/>
  </r>
  <r>
    <s v="IRM-40171"/>
    <x v="4"/>
    <x v="23"/>
    <s v="Accessibility Improvements - ATH (Current PI28)"/>
    <x v="5"/>
    <n v="6.4"/>
    <x v="1"/>
    <x v="0"/>
  </r>
  <r>
    <s v="IRM-40171"/>
    <x v="4"/>
    <x v="23"/>
    <s v="Accessibility Improvements - ATH (Current PI28)"/>
    <x v="6"/>
    <n v="16"/>
    <x v="1"/>
    <x v="3"/>
  </r>
  <r>
    <s v="IRM-40171"/>
    <x v="4"/>
    <x v="23"/>
    <s v="Accessibility Improvements - ATH (Current PI28)"/>
    <x v="7"/>
    <n v="12.8"/>
    <x v="1"/>
    <x v="3"/>
  </r>
  <r>
    <s v="IRM-40171"/>
    <x v="4"/>
    <x v="23"/>
    <s v="Accessibility Improvements - ATH (Current PI28)"/>
    <x v="8"/>
    <n v="12.8"/>
    <x v="1"/>
    <x v="3"/>
  </r>
  <r>
    <s v="IRM-40171"/>
    <x v="4"/>
    <x v="23"/>
    <s v="Accessibility Improvements - ATH (Current PI28)"/>
    <x v="9"/>
    <n v="16"/>
    <x v="1"/>
    <x v="3"/>
  </r>
  <r>
    <s v="IRM-40174"/>
    <x v="4"/>
    <x v="10"/>
    <s v="Improvements / Challenges - HEL (Current PI28)"/>
    <x v="0"/>
    <m/>
    <x v="1"/>
    <x v="3"/>
  </r>
  <r>
    <s v="IRM-40174"/>
    <x v="4"/>
    <x v="10"/>
    <s v="Improvements / Challenges - HEL (Current PI28)"/>
    <x v="1"/>
    <m/>
    <x v="1"/>
    <x v="3"/>
  </r>
  <r>
    <s v="IRM-40174"/>
    <x v="4"/>
    <x v="10"/>
    <s v="Improvements / Challenges - HEL (Current PI28)"/>
    <x v="2"/>
    <m/>
    <x v="1"/>
    <x v="3"/>
  </r>
  <r>
    <s v="IRM-40174"/>
    <x v="4"/>
    <x v="10"/>
    <s v="Improvements / Challenges - HEL (Current PI28)"/>
    <x v="3"/>
    <m/>
    <x v="1"/>
    <x v="3"/>
  </r>
  <r>
    <s v="IRM-40174"/>
    <x v="4"/>
    <x v="10"/>
    <s v="Improvements / Challenges - HEL (Current PI28)"/>
    <x v="4"/>
    <m/>
    <x v="1"/>
    <x v="3"/>
  </r>
  <r>
    <s v="IRM-40174"/>
    <x v="4"/>
    <x v="10"/>
    <s v="Improvements / Challenges - HEL (Current PI28)"/>
    <x v="5"/>
    <m/>
    <x v="1"/>
    <x v="0"/>
  </r>
  <r>
    <s v="IRM-40174"/>
    <x v="4"/>
    <x v="10"/>
    <s v="Improvements / Challenges - HEL (Current PI28)"/>
    <x v="6"/>
    <m/>
    <x v="1"/>
    <x v="3"/>
  </r>
  <r>
    <s v="IRM-40174"/>
    <x v="4"/>
    <x v="10"/>
    <s v="Improvements / Challenges - HEL (Current PI28)"/>
    <x v="7"/>
    <m/>
    <x v="1"/>
    <x v="3"/>
  </r>
  <r>
    <s v="IRM-40174"/>
    <x v="4"/>
    <x v="10"/>
    <s v="Improvements / Challenges - HEL (Current PI28)"/>
    <x v="8"/>
    <m/>
    <x v="1"/>
    <x v="3"/>
  </r>
  <r>
    <s v="IRM-40174"/>
    <x v="4"/>
    <x v="10"/>
    <s v="Improvements / Challenges - HEL (Current PI28)"/>
    <x v="9"/>
    <m/>
    <x v="1"/>
    <x v="3"/>
  </r>
  <r>
    <s v="IRM-40175"/>
    <x v="4"/>
    <x v="10"/>
    <s v="Improvements / Challenges - SPA (Current PI28)"/>
    <x v="0"/>
    <m/>
    <x v="1"/>
    <x v="3"/>
  </r>
  <r>
    <s v="IRM-40175"/>
    <x v="4"/>
    <x v="10"/>
    <s v="Improvements / Challenges - SPA (Current PI28)"/>
    <x v="1"/>
    <m/>
    <x v="1"/>
    <x v="3"/>
  </r>
  <r>
    <s v="IRM-40175"/>
    <x v="4"/>
    <x v="10"/>
    <s v="Improvements / Challenges - SPA (Current PI28)"/>
    <x v="2"/>
    <m/>
    <x v="1"/>
    <x v="3"/>
  </r>
  <r>
    <s v="IRM-40175"/>
    <x v="4"/>
    <x v="10"/>
    <s v="Improvements / Challenges - SPA (Current PI28)"/>
    <x v="3"/>
    <m/>
    <x v="1"/>
    <x v="3"/>
  </r>
  <r>
    <s v="IRM-40175"/>
    <x v="4"/>
    <x v="10"/>
    <s v="Improvements / Challenges - SPA (Current PI28)"/>
    <x v="4"/>
    <m/>
    <x v="1"/>
    <x v="3"/>
  </r>
  <r>
    <s v="IRM-40175"/>
    <x v="4"/>
    <x v="10"/>
    <s v="Improvements / Challenges - SPA (Current PI28)"/>
    <x v="5"/>
    <m/>
    <x v="1"/>
    <x v="0"/>
  </r>
  <r>
    <s v="IRM-40175"/>
    <x v="4"/>
    <x v="10"/>
    <s v="Improvements / Challenges - SPA (Current PI28)"/>
    <x v="6"/>
    <m/>
    <x v="1"/>
    <x v="3"/>
  </r>
  <r>
    <s v="IRM-40175"/>
    <x v="4"/>
    <x v="10"/>
    <s v="Improvements / Challenges - SPA (Current PI28)"/>
    <x v="7"/>
    <m/>
    <x v="1"/>
    <x v="3"/>
  </r>
  <r>
    <s v="IRM-40175"/>
    <x v="4"/>
    <x v="10"/>
    <s v="Improvements / Challenges - SPA (Current PI28)"/>
    <x v="8"/>
    <m/>
    <x v="1"/>
    <x v="3"/>
  </r>
  <r>
    <s v="IRM-40175"/>
    <x v="4"/>
    <x v="10"/>
    <s v="Improvements / Challenges - SPA (Current PI28)"/>
    <x v="9"/>
    <m/>
    <x v="1"/>
    <x v="3"/>
  </r>
  <r>
    <s v="IRM-40176"/>
    <x v="4"/>
    <x v="10"/>
    <s v="Improvements / Challenges - EOS (Current PI28)"/>
    <x v="0"/>
    <n v="53.3"/>
    <x v="1"/>
    <x v="3"/>
  </r>
  <r>
    <s v="IRM-40176"/>
    <x v="4"/>
    <x v="10"/>
    <s v="Improvements / Challenges - EOS (Current PI28)"/>
    <x v="1"/>
    <m/>
    <x v="1"/>
    <x v="3"/>
  </r>
  <r>
    <s v="IRM-40176"/>
    <x v="4"/>
    <x v="10"/>
    <s v="Improvements / Challenges - EOS (Current PI28)"/>
    <x v="2"/>
    <m/>
    <x v="1"/>
    <x v="3"/>
  </r>
  <r>
    <s v="IRM-40176"/>
    <x v="4"/>
    <x v="10"/>
    <s v="Improvements / Challenges - EOS (Current PI28)"/>
    <x v="3"/>
    <m/>
    <x v="1"/>
    <x v="3"/>
  </r>
  <r>
    <s v="IRM-40176"/>
    <x v="4"/>
    <x v="10"/>
    <s v="Improvements / Challenges - EOS (Current PI28)"/>
    <x v="4"/>
    <m/>
    <x v="1"/>
    <x v="3"/>
  </r>
  <r>
    <s v="IRM-40176"/>
    <x v="4"/>
    <x v="10"/>
    <s v="Improvements / Challenges - EOS (Current PI28)"/>
    <x v="5"/>
    <n v="10.7"/>
    <x v="1"/>
    <x v="0"/>
  </r>
  <r>
    <s v="IRM-40176"/>
    <x v="4"/>
    <x v="10"/>
    <s v="Improvements / Challenges - EOS (Current PI28)"/>
    <x v="6"/>
    <n v="26.6"/>
    <x v="1"/>
    <x v="3"/>
  </r>
  <r>
    <s v="IRM-40176"/>
    <x v="4"/>
    <x v="10"/>
    <s v="Improvements / Challenges - EOS (Current PI28)"/>
    <x v="7"/>
    <n v="21.3"/>
    <x v="1"/>
    <x v="3"/>
  </r>
  <r>
    <s v="IRM-40176"/>
    <x v="4"/>
    <x v="10"/>
    <s v="Improvements / Challenges - EOS (Current PI28)"/>
    <x v="8"/>
    <n v="21.3"/>
    <x v="1"/>
    <x v="3"/>
  </r>
  <r>
    <s v="IRM-40176"/>
    <x v="4"/>
    <x v="10"/>
    <s v="Improvements / Challenges - EOS (Current PI28)"/>
    <x v="9"/>
    <n v="26.6"/>
    <x v="1"/>
    <x v="3"/>
  </r>
  <r>
    <s v="IRM-40177"/>
    <x v="4"/>
    <x v="10"/>
    <s v="Improvements / Challenges - ATH (Current PI28)"/>
    <x v="0"/>
    <m/>
    <x v="1"/>
    <x v="3"/>
  </r>
  <r>
    <s v="IRM-40177"/>
    <x v="4"/>
    <x v="10"/>
    <s v="Improvements / Challenges - ATH (Current PI28)"/>
    <x v="1"/>
    <m/>
    <x v="1"/>
    <x v="3"/>
  </r>
  <r>
    <s v="IRM-40177"/>
    <x v="4"/>
    <x v="10"/>
    <s v="Improvements / Challenges - ATH (Current PI28)"/>
    <x v="2"/>
    <m/>
    <x v="1"/>
    <x v="3"/>
  </r>
  <r>
    <s v="IRM-40177"/>
    <x v="4"/>
    <x v="10"/>
    <s v="Improvements / Challenges - ATH (Current PI28)"/>
    <x v="3"/>
    <m/>
    <x v="1"/>
    <x v="3"/>
  </r>
  <r>
    <s v="IRM-40177"/>
    <x v="4"/>
    <x v="10"/>
    <s v="Improvements / Challenges - ATH (Current PI28)"/>
    <x v="4"/>
    <m/>
    <x v="1"/>
    <x v="3"/>
  </r>
  <r>
    <s v="IRM-40177"/>
    <x v="4"/>
    <x v="10"/>
    <s v="Improvements / Challenges - ATH (Current PI28)"/>
    <x v="5"/>
    <m/>
    <x v="1"/>
    <x v="0"/>
  </r>
  <r>
    <s v="IRM-40177"/>
    <x v="4"/>
    <x v="10"/>
    <s v="Improvements / Challenges - ATH (Current PI28)"/>
    <x v="6"/>
    <m/>
    <x v="1"/>
    <x v="3"/>
  </r>
  <r>
    <s v="IRM-40177"/>
    <x v="4"/>
    <x v="10"/>
    <s v="Improvements / Challenges - ATH (Current PI28)"/>
    <x v="7"/>
    <m/>
    <x v="1"/>
    <x v="3"/>
  </r>
  <r>
    <s v="IRM-40177"/>
    <x v="4"/>
    <x v="10"/>
    <s v="Improvements / Challenges - ATH (Current PI28)"/>
    <x v="8"/>
    <m/>
    <x v="1"/>
    <x v="3"/>
  </r>
  <r>
    <s v="IRM-40177"/>
    <x v="4"/>
    <x v="10"/>
    <s v="Improvements / Challenges - ATH (Current PI28)"/>
    <x v="9"/>
    <m/>
    <x v="1"/>
    <x v="3"/>
  </r>
  <r>
    <s v="IRM-40178"/>
    <x v="4"/>
    <x v="13"/>
    <s v="UI Improvements / Initiatives - HEL (Current PI28)"/>
    <x v="0"/>
    <m/>
    <x v="1"/>
    <x v="3"/>
  </r>
  <r>
    <s v="IRM-40178"/>
    <x v="4"/>
    <x v="13"/>
    <s v="UI Improvements / Initiatives - HEL (Current PI28)"/>
    <x v="1"/>
    <m/>
    <x v="1"/>
    <x v="3"/>
  </r>
  <r>
    <s v="IRM-40178"/>
    <x v="4"/>
    <x v="13"/>
    <s v="UI Improvements / Initiatives - HEL (Current PI28)"/>
    <x v="2"/>
    <m/>
    <x v="1"/>
    <x v="3"/>
  </r>
  <r>
    <s v="IRM-40178"/>
    <x v="4"/>
    <x v="13"/>
    <s v="UI Improvements / Initiatives - HEL (Current PI28)"/>
    <x v="3"/>
    <m/>
    <x v="1"/>
    <x v="3"/>
  </r>
  <r>
    <s v="IRM-40178"/>
    <x v="4"/>
    <x v="13"/>
    <s v="UI Improvements / Initiatives - HEL (Current PI28)"/>
    <x v="4"/>
    <m/>
    <x v="1"/>
    <x v="3"/>
  </r>
  <r>
    <s v="IRM-40178"/>
    <x v="4"/>
    <x v="13"/>
    <s v="UI Improvements / Initiatives - HEL (Current PI28)"/>
    <x v="5"/>
    <m/>
    <x v="1"/>
    <x v="0"/>
  </r>
  <r>
    <s v="IRM-40178"/>
    <x v="4"/>
    <x v="13"/>
    <s v="UI Improvements / Initiatives - HEL (Current PI28)"/>
    <x v="6"/>
    <m/>
    <x v="1"/>
    <x v="3"/>
  </r>
  <r>
    <s v="IRM-40178"/>
    <x v="4"/>
    <x v="13"/>
    <s v="UI Improvements / Initiatives - HEL (Current PI28)"/>
    <x v="7"/>
    <m/>
    <x v="1"/>
    <x v="3"/>
  </r>
  <r>
    <s v="IRM-40178"/>
    <x v="4"/>
    <x v="13"/>
    <s v="UI Improvements / Initiatives - HEL (Current PI28)"/>
    <x v="8"/>
    <m/>
    <x v="1"/>
    <x v="3"/>
  </r>
  <r>
    <s v="IRM-40178"/>
    <x v="4"/>
    <x v="13"/>
    <s v="UI Improvements / Initiatives - HEL (Current PI28)"/>
    <x v="9"/>
    <m/>
    <x v="1"/>
    <x v="3"/>
  </r>
  <r>
    <s v="IRM-40179"/>
    <x v="4"/>
    <x v="13"/>
    <s v="UI Improvements / Initiatives - SPA (Current PI28)"/>
    <x v="0"/>
    <m/>
    <x v="1"/>
    <x v="3"/>
  </r>
  <r>
    <s v="IRM-40179"/>
    <x v="4"/>
    <x v="13"/>
    <s v="UI Improvements / Initiatives - SPA (Current PI28)"/>
    <x v="1"/>
    <m/>
    <x v="1"/>
    <x v="3"/>
  </r>
  <r>
    <s v="IRM-40179"/>
    <x v="4"/>
    <x v="13"/>
    <s v="UI Improvements / Initiatives - SPA (Current PI28)"/>
    <x v="2"/>
    <m/>
    <x v="1"/>
    <x v="3"/>
  </r>
  <r>
    <s v="IRM-40179"/>
    <x v="4"/>
    <x v="13"/>
    <s v="UI Improvements / Initiatives - SPA (Current PI28)"/>
    <x v="3"/>
    <m/>
    <x v="1"/>
    <x v="3"/>
  </r>
  <r>
    <s v="IRM-40179"/>
    <x v="4"/>
    <x v="13"/>
    <s v="UI Improvements / Initiatives - SPA (Current PI28)"/>
    <x v="4"/>
    <m/>
    <x v="1"/>
    <x v="3"/>
  </r>
  <r>
    <s v="IRM-40179"/>
    <x v="4"/>
    <x v="13"/>
    <s v="UI Improvements / Initiatives - SPA (Current PI28)"/>
    <x v="5"/>
    <m/>
    <x v="1"/>
    <x v="0"/>
  </r>
  <r>
    <s v="IRM-40179"/>
    <x v="4"/>
    <x v="13"/>
    <s v="UI Improvements / Initiatives - SPA (Current PI28)"/>
    <x v="6"/>
    <m/>
    <x v="1"/>
    <x v="3"/>
  </r>
  <r>
    <s v="IRM-40179"/>
    <x v="4"/>
    <x v="13"/>
    <s v="UI Improvements / Initiatives - SPA (Current PI28)"/>
    <x v="7"/>
    <m/>
    <x v="1"/>
    <x v="3"/>
  </r>
  <r>
    <s v="IRM-40179"/>
    <x v="4"/>
    <x v="13"/>
    <s v="UI Improvements / Initiatives - SPA (Current PI28)"/>
    <x v="8"/>
    <m/>
    <x v="1"/>
    <x v="3"/>
  </r>
  <r>
    <s v="IRM-40179"/>
    <x v="4"/>
    <x v="13"/>
    <s v="UI Improvements / Initiatives - SPA (Current PI28)"/>
    <x v="9"/>
    <m/>
    <x v="1"/>
    <x v="3"/>
  </r>
  <r>
    <s v="IRM-40180"/>
    <x v="4"/>
    <x v="13"/>
    <s v="UI Improvements / Initiatives - EOS (Current PI28)"/>
    <x v="0"/>
    <m/>
    <x v="1"/>
    <x v="3"/>
  </r>
  <r>
    <s v="IRM-40180"/>
    <x v="4"/>
    <x v="13"/>
    <s v="UI Improvements / Initiatives - EOS (Current PI28)"/>
    <x v="1"/>
    <m/>
    <x v="1"/>
    <x v="3"/>
  </r>
  <r>
    <s v="IRM-40180"/>
    <x v="4"/>
    <x v="13"/>
    <s v="UI Improvements / Initiatives - EOS (Current PI28)"/>
    <x v="2"/>
    <m/>
    <x v="1"/>
    <x v="3"/>
  </r>
  <r>
    <s v="IRM-40180"/>
    <x v="4"/>
    <x v="13"/>
    <s v="UI Improvements / Initiatives - EOS (Current PI28)"/>
    <x v="3"/>
    <m/>
    <x v="1"/>
    <x v="3"/>
  </r>
  <r>
    <s v="IRM-40180"/>
    <x v="4"/>
    <x v="13"/>
    <s v="UI Improvements / Initiatives - EOS (Current PI28)"/>
    <x v="4"/>
    <m/>
    <x v="1"/>
    <x v="3"/>
  </r>
  <r>
    <s v="IRM-40180"/>
    <x v="4"/>
    <x v="13"/>
    <s v="UI Improvements / Initiatives - EOS (Current PI28)"/>
    <x v="5"/>
    <m/>
    <x v="1"/>
    <x v="0"/>
  </r>
  <r>
    <s v="IRM-40180"/>
    <x v="4"/>
    <x v="13"/>
    <s v="UI Improvements / Initiatives - EOS (Current PI28)"/>
    <x v="6"/>
    <m/>
    <x v="1"/>
    <x v="3"/>
  </r>
  <r>
    <s v="IRM-40180"/>
    <x v="4"/>
    <x v="13"/>
    <s v="UI Improvements / Initiatives - EOS (Current PI28)"/>
    <x v="7"/>
    <m/>
    <x v="1"/>
    <x v="3"/>
  </r>
  <r>
    <s v="IRM-40180"/>
    <x v="4"/>
    <x v="13"/>
    <s v="UI Improvements / Initiatives - EOS (Current PI28)"/>
    <x v="8"/>
    <m/>
    <x v="1"/>
    <x v="3"/>
  </r>
  <r>
    <s v="IRM-40180"/>
    <x v="4"/>
    <x v="13"/>
    <s v="UI Improvements / Initiatives - EOS (Current PI28)"/>
    <x v="9"/>
    <m/>
    <x v="1"/>
    <x v="3"/>
  </r>
  <r>
    <s v="IRM-40181"/>
    <x v="4"/>
    <x v="13"/>
    <s v="UI Improvements / Initiatives - ATH (Current PI28)"/>
    <x v="0"/>
    <m/>
    <x v="1"/>
    <x v="3"/>
  </r>
  <r>
    <s v="IRM-40181"/>
    <x v="4"/>
    <x v="13"/>
    <s v="UI Improvements / Initiatives - ATH (Current PI28)"/>
    <x v="1"/>
    <m/>
    <x v="1"/>
    <x v="3"/>
  </r>
  <r>
    <s v="IRM-40181"/>
    <x v="4"/>
    <x v="13"/>
    <s v="UI Improvements / Initiatives - ATH (Current PI28)"/>
    <x v="2"/>
    <m/>
    <x v="1"/>
    <x v="3"/>
  </r>
  <r>
    <s v="IRM-40181"/>
    <x v="4"/>
    <x v="13"/>
    <s v="UI Improvements / Initiatives - ATH (Current PI28)"/>
    <x v="3"/>
    <m/>
    <x v="1"/>
    <x v="3"/>
  </r>
  <r>
    <s v="IRM-40181"/>
    <x v="4"/>
    <x v="13"/>
    <s v="UI Improvements / Initiatives - ATH (Current PI28)"/>
    <x v="4"/>
    <m/>
    <x v="1"/>
    <x v="3"/>
  </r>
  <r>
    <s v="IRM-40181"/>
    <x v="4"/>
    <x v="13"/>
    <s v="UI Improvements / Initiatives - ATH (Current PI28)"/>
    <x v="5"/>
    <m/>
    <x v="1"/>
    <x v="0"/>
  </r>
  <r>
    <s v="IRM-40181"/>
    <x v="4"/>
    <x v="13"/>
    <s v="UI Improvements / Initiatives - ATH (Current PI28)"/>
    <x v="6"/>
    <m/>
    <x v="1"/>
    <x v="3"/>
  </r>
  <r>
    <s v="IRM-40181"/>
    <x v="4"/>
    <x v="13"/>
    <s v="UI Improvements / Initiatives - ATH (Current PI28)"/>
    <x v="7"/>
    <m/>
    <x v="1"/>
    <x v="3"/>
  </r>
  <r>
    <s v="IRM-40181"/>
    <x v="4"/>
    <x v="13"/>
    <s v="UI Improvements / Initiatives - ATH (Current PI28)"/>
    <x v="8"/>
    <m/>
    <x v="1"/>
    <x v="3"/>
  </r>
  <r>
    <s v="IRM-40181"/>
    <x v="4"/>
    <x v="13"/>
    <s v="UI Improvements / Initiatives - ATH (Current PI28)"/>
    <x v="9"/>
    <m/>
    <x v="1"/>
    <x v="3"/>
  </r>
  <r>
    <s v="IRM-40503"/>
    <x v="4"/>
    <x v="27"/>
    <s v="Enable user-defined characteristics (Data Area) for Financial transaction Type"/>
    <x v="0"/>
    <m/>
    <x v="0"/>
    <x v="3"/>
  </r>
  <r>
    <s v="IRM-40503"/>
    <x v="4"/>
    <x v="27"/>
    <s v="Enable user-defined characteristics (Data Area) for Financial transaction Type"/>
    <x v="1"/>
    <m/>
    <x v="0"/>
    <x v="3"/>
  </r>
  <r>
    <s v="IRM-40503"/>
    <x v="4"/>
    <x v="27"/>
    <s v="Enable user-defined characteristics (Data Area) for Financial transaction Type"/>
    <x v="2"/>
    <m/>
    <x v="0"/>
    <x v="3"/>
  </r>
  <r>
    <s v="IRM-40503"/>
    <x v="4"/>
    <x v="27"/>
    <s v="Enable user-defined characteristics (Data Area) for Financial transaction Type"/>
    <x v="3"/>
    <m/>
    <x v="0"/>
    <x v="3"/>
  </r>
  <r>
    <s v="IRM-40503"/>
    <x v="4"/>
    <x v="27"/>
    <s v="Enable user-defined characteristics (Data Area) for Financial transaction Type"/>
    <x v="4"/>
    <m/>
    <x v="0"/>
    <x v="3"/>
  </r>
  <r>
    <s v="IRM-40503"/>
    <x v="4"/>
    <x v="27"/>
    <s v="Enable user-defined characteristics (Data Area) for Financial transaction Type"/>
    <x v="5"/>
    <m/>
    <x v="0"/>
    <x v="0"/>
  </r>
  <r>
    <s v="IRM-40503"/>
    <x v="4"/>
    <x v="27"/>
    <s v="Enable user-defined characteristics (Data Area) for Financial transaction Type"/>
    <x v="6"/>
    <m/>
    <x v="0"/>
    <x v="3"/>
  </r>
  <r>
    <s v="IRM-40503"/>
    <x v="4"/>
    <x v="27"/>
    <s v="Enable user-defined characteristics (Data Area) for Financial transaction Type"/>
    <x v="7"/>
    <m/>
    <x v="0"/>
    <x v="3"/>
  </r>
  <r>
    <s v="IRM-40503"/>
    <x v="4"/>
    <x v="27"/>
    <s v="Enable user-defined characteristics (Data Area) for Financial transaction Type"/>
    <x v="8"/>
    <m/>
    <x v="0"/>
    <x v="3"/>
  </r>
  <r>
    <s v="IRM-40503"/>
    <x v="4"/>
    <x v="27"/>
    <s v="Enable user-defined characteristics (Data Area) for Financial transaction Type"/>
    <x v="9"/>
    <m/>
    <x v="0"/>
    <x v="3"/>
  </r>
  <r>
    <s v="IRM-40987"/>
    <x v="2"/>
    <x v="2"/>
    <s v="Amplio Batch - Java foundation 4.0"/>
    <x v="0"/>
    <n v="213.3"/>
    <x v="1"/>
    <x v="3"/>
  </r>
  <r>
    <s v="IRM-40987"/>
    <x v="2"/>
    <x v="2"/>
    <s v="Amplio Batch - Java foundation 4.0"/>
    <x v="1"/>
    <m/>
    <x v="1"/>
    <x v="3"/>
  </r>
  <r>
    <s v="IRM-40987"/>
    <x v="2"/>
    <x v="2"/>
    <s v="Amplio Batch - Java foundation 4.0"/>
    <x v="2"/>
    <m/>
    <x v="1"/>
    <x v="3"/>
  </r>
  <r>
    <s v="IRM-40987"/>
    <x v="2"/>
    <x v="2"/>
    <s v="Amplio Batch - Java foundation 4.0"/>
    <x v="3"/>
    <m/>
    <x v="1"/>
    <x v="3"/>
  </r>
  <r>
    <s v="IRM-40987"/>
    <x v="2"/>
    <x v="2"/>
    <s v="Amplio Batch - Java foundation 4.0"/>
    <x v="4"/>
    <m/>
    <x v="1"/>
    <x v="3"/>
  </r>
  <r>
    <s v="IRM-40987"/>
    <x v="2"/>
    <x v="2"/>
    <s v="Amplio Batch - Java foundation 4.0"/>
    <x v="5"/>
    <n v="42.7"/>
    <x v="1"/>
    <x v="0"/>
  </r>
  <r>
    <s v="IRM-40987"/>
    <x v="2"/>
    <x v="2"/>
    <s v="Amplio Batch - Java foundation 4.0"/>
    <x v="6"/>
    <n v="106.6"/>
    <x v="1"/>
    <x v="3"/>
  </r>
  <r>
    <s v="IRM-40987"/>
    <x v="2"/>
    <x v="2"/>
    <s v="Amplio Batch - Java foundation 4.0"/>
    <x v="7"/>
    <n v="85.3"/>
    <x v="1"/>
    <x v="3"/>
  </r>
  <r>
    <s v="IRM-40987"/>
    <x v="2"/>
    <x v="2"/>
    <s v="Amplio Batch - Java foundation 4.0"/>
    <x v="8"/>
    <n v="85.3"/>
    <x v="1"/>
    <x v="3"/>
  </r>
  <r>
    <s v="IRM-40987"/>
    <x v="2"/>
    <x v="2"/>
    <s v="Amplio Batch - Java foundation 4.0"/>
    <x v="9"/>
    <n v="106.6"/>
    <x v="1"/>
    <x v="3"/>
  </r>
  <r>
    <s v="IRM-41013"/>
    <x v="4"/>
    <x v="13"/>
    <s v="UI Improvements / Initiatives (Current PI28)"/>
    <x v="0"/>
    <m/>
    <x v="1"/>
    <x v="3"/>
  </r>
  <r>
    <s v="IRM-41013"/>
    <x v="4"/>
    <x v="13"/>
    <s v="UI Improvements / Initiatives (Current PI28)"/>
    <x v="1"/>
    <m/>
    <x v="1"/>
    <x v="3"/>
  </r>
  <r>
    <s v="IRM-41013"/>
    <x v="4"/>
    <x v="13"/>
    <s v="UI Improvements / Initiatives (Current PI28)"/>
    <x v="2"/>
    <m/>
    <x v="1"/>
    <x v="3"/>
  </r>
  <r>
    <s v="IRM-41013"/>
    <x v="4"/>
    <x v="13"/>
    <s v="UI Improvements / Initiatives (Current PI28)"/>
    <x v="3"/>
    <m/>
    <x v="1"/>
    <x v="3"/>
  </r>
  <r>
    <s v="IRM-41013"/>
    <x v="4"/>
    <x v="13"/>
    <s v="UI Improvements / Initiatives (Current PI28)"/>
    <x v="4"/>
    <m/>
    <x v="1"/>
    <x v="3"/>
  </r>
  <r>
    <s v="IRM-41013"/>
    <x v="4"/>
    <x v="13"/>
    <s v="UI Improvements / Initiatives (Current PI28)"/>
    <x v="5"/>
    <m/>
    <x v="1"/>
    <x v="0"/>
  </r>
  <r>
    <s v="IRM-41013"/>
    <x v="4"/>
    <x v="13"/>
    <s v="UI Improvements / Initiatives (Current PI28)"/>
    <x v="6"/>
    <m/>
    <x v="1"/>
    <x v="3"/>
  </r>
  <r>
    <s v="IRM-41013"/>
    <x v="4"/>
    <x v="13"/>
    <s v="UI Improvements / Initiatives (Current PI28)"/>
    <x v="7"/>
    <m/>
    <x v="1"/>
    <x v="3"/>
  </r>
  <r>
    <s v="IRM-41013"/>
    <x v="4"/>
    <x v="13"/>
    <s v="UI Improvements / Initiatives (Current PI28)"/>
    <x v="8"/>
    <m/>
    <x v="1"/>
    <x v="3"/>
  </r>
  <r>
    <s v="IRM-41013"/>
    <x v="4"/>
    <x v="13"/>
    <s v="UI Improvements / Initiatives (Current PI28)"/>
    <x v="9"/>
    <m/>
    <x v="1"/>
    <x v="3"/>
  </r>
  <r>
    <s v="IRM-41015"/>
    <x v="4"/>
    <x v="10"/>
    <s v="Improvements / Challenges - (Current PI28)"/>
    <x v="0"/>
    <m/>
    <x v="1"/>
    <x v="3"/>
  </r>
  <r>
    <s v="IRM-41015"/>
    <x v="4"/>
    <x v="10"/>
    <s v="Improvements / Challenges - (Current PI28)"/>
    <x v="1"/>
    <m/>
    <x v="1"/>
    <x v="3"/>
  </r>
  <r>
    <s v="IRM-41015"/>
    <x v="4"/>
    <x v="10"/>
    <s v="Improvements / Challenges - (Current PI28)"/>
    <x v="2"/>
    <m/>
    <x v="1"/>
    <x v="3"/>
  </r>
  <r>
    <s v="IRM-41015"/>
    <x v="4"/>
    <x v="10"/>
    <s v="Improvements / Challenges - (Current PI28)"/>
    <x v="3"/>
    <m/>
    <x v="1"/>
    <x v="3"/>
  </r>
  <r>
    <s v="IRM-41015"/>
    <x v="4"/>
    <x v="10"/>
    <s v="Improvements / Challenges - (Current PI28)"/>
    <x v="4"/>
    <m/>
    <x v="1"/>
    <x v="3"/>
  </r>
  <r>
    <s v="IRM-41015"/>
    <x v="4"/>
    <x v="10"/>
    <s v="Improvements / Challenges - (Current PI28)"/>
    <x v="5"/>
    <m/>
    <x v="1"/>
    <x v="0"/>
  </r>
  <r>
    <s v="IRM-41015"/>
    <x v="4"/>
    <x v="10"/>
    <s v="Improvements / Challenges - (Current PI28)"/>
    <x v="6"/>
    <m/>
    <x v="1"/>
    <x v="3"/>
  </r>
  <r>
    <s v="IRM-41015"/>
    <x v="4"/>
    <x v="10"/>
    <s v="Improvements / Challenges - (Current PI28)"/>
    <x v="7"/>
    <m/>
    <x v="1"/>
    <x v="3"/>
  </r>
  <r>
    <s v="IRM-41015"/>
    <x v="4"/>
    <x v="10"/>
    <s v="Improvements / Challenges - (Current PI28)"/>
    <x v="8"/>
    <m/>
    <x v="1"/>
    <x v="3"/>
  </r>
  <r>
    <s v="IRM-41015"/>
    <x v="4"/>
    <x v="10"/>
    <s v="Improvements / Challenges - (Current PI28)"/>
    <x v="9"/>
    <m/>
    <x v="1"/>
    <x v="3"/>
  </r>
  <r>
    <s v="IRM-41016"/>
    <x v="4"/>
    <x v="10"/>
    <s v="Improvements / Challenges - Bucket (Current PI28)"/>
    <x v="0"/>
    <m/>
    <x v="1"/>
    <x v="3"/>
  </r>
  <r>
    <s v="IRM-41016"/>
    <x v="4"/>
    <x v="10"/>
    <s v="Improvements / Challenges - Bucket (Current PI28)"/>
    <x v="1"/>
    <m/>
    <x v="1"/>
    <x v="3"/>
  </r>
  <r>
    <s v="IRM-41016"/>
    <x v="4"/>
    <x v="10"/>
    <s v="Improvements / Challenges - Bucket (Current PI28)"/>
    <x v="2"/>
    <m/>
    <x v="1"/>
    <x v="3"/>
  </r>
  <r>
    <s v="IRM-41016"/>
    <x v="4"/>
    <x v="10"/>
    <s v="Improvements / Challenges - Bucket (Current PI28)"/>
    <x v="3"/>
    <m/>
    <x v="1"/>
    <x v="3"/>
  </r>
  <r>
    <s v="IRM-41016"/>
    <x v="4"/>
    <x v="10"/>
    <s v="Improvements / Challenges - Bucket (Current PI28)"/>
    <x v="4"/>
    <m/>
    <x v="1"/>
    <x v="3"/>
  </r>
  <r>
    <s v="IRM-41016"/>
    <x v="4"/>
    <x v="10"/>
    <s v="Improvements / Challenges - Bucket (Current PI28)"/>
    <x v="5"/>
    <m/>
    <x v="1"/>
    <x v="0"/>
  </r>
  <r>
    <s v="IRM-41016"/>
    <x v="4"/>
    <x v="10"/>
    <s v="Improvements / Challenges - Bucket (Current PI28)"/>
    <x v="6"/>
    <m/>
    <x v="1"/>
    <x v="3"/>
  </r>
  <r>
    <s v="IRM-41016"/>
    <x v="4"/>
    <x v="10"/>
    <s v="Improvements / Challenges - Bucket (Current PI28)"/>
    <x v="7"/>
    <m/>
    <x v="1"/>
    <x v="3"/>
  </r>
  <r>
    <s v="IRM-41016"/>
    <x v="4"/>
    <x v="10"/>
    <s v="Improvements / Challenges - Bucket (Current PI28)"/>
    <x v="8"/>
    <m/>
    <x v="1"/>
    <x v="3"/>
  </r>
  <r>
    <s v="IRM-41016"/>
    <x v="4"/>
    <x v="10"/>
    <s v="Improvements / Challenges - Bucket (Current PI28)"/>
    <x v="9"/>
    <m/>
    <x v="1"/>
    <x v="3"/>
  </r>
  <r>
    <s v="IRM-41328"/>
    <x v="4"/>
    <x v="13"/>
    <s v="UI Improvements / Initiatives - ATL (Current PI28)"/>
    <x v="0"/>
    <m/>
    <x v="1"/>
    <x v="3"/>
  </r>
  <r>
    <s v="IRM-41328"/>
    <x v="4"/>
    <x v="13"/>
    <s v="UI Improvements / Initiatives - ATL (Current PI28)"/>
    <x v="1"/>
    <m/>
    <x v="1"/>
    <x v="3"/>
  </r>
  <r>
    <s v="IRM-41328"/>
    <x v="4"/>
    <x v="13"/>
    <s v="UI Improvements / Initiatives - ATL (Current PI28)"/>
    <x v="2"/>
    <m/>
    <x v="1"/>
    <x v="3"/>
  </r>
  <r>
    <s v="IRM-41328"/>
    <x v="4"/>
    <x v="13"/>
    <s v="UI Improvements / Initiatives - ATL (Current PI28)"/>
    <x v="3"/>
    <m/>
    <x v="1"/>
    <x v="3"/>
  </r>
  <r>
    <s v="IRM-41328"/>
    <x v="4"/>
    <x v="13"/>
    <s v="UI Improvements / Initiatives - ATL (Current PI28)"/>
    <x v="4"/>
    <m/>
    <x v="1"/>
    <x v="3"/>
  </r>
  <r>
    <s v="IRM-41328"/>
    <x v="4"/>
    <x v="13"/>
    <s v="UI Improvements / Initiatives - ATL (Current PI28)"/>
    <x v="5"/>
    <m/>
    <x v="1"/>
    <x v="0"/>
  </r>
  <r>
    <s v="IRM-41328"/>
    <x v="4"/>
    <x v="13"/>
    <s v="UI Improvements / Initiatives - ATL (Current PI28)"/>
    <x v="6"/>
    <m/>
    <x v="1"/>
    <x v="3"/>
  </r>
  <r>
    <s v="IRM-41328"/>
    <x v="4"/>
    <x v="13"/>
    <s v="UI Improvements / Initiatives - ATL (Current PI28)"/>
    <x v="7"/>
    <m/>
    <x v="1"/>
    <x v="3"/>
  </r>
  <r>
    <s v="IRM-41328"/>
    <x v="4"/>
    <x v="13"/>
    <s v="UI Improvements / Initiatives - ATL (Current PI28)"/>
    <x v="8"/>
    <m/>
    <x v="1"/>
    <x v="3"/>
  </r>
  <r>
    <s v="IRM-41328"/>
    <x v="4"/>
    <x v="13"/>
    <s v="UI Improvements / Initiatives - ATL (Current PI28)"/>
    <x v="9"/>
    <m/>
    <x v="1"/>
    <x v="3"/>
  </r>
  <r>
    <s v="IRM-41329"/>
    <x v="4"/>
    <x v="10"/>
    <s v="Improvements / Challenges - ATL (Current PI28)"/>
    <x v="0"/>
    <m/>
    <x v="1"/>
    <x v="3"/>
  </r>
  <r>
    <s v="IRM-41329"/>
    <x v="4"/>
    <x v="10"/>
    <s v="Improvements / Challenges - ATL (Current PI28)"/>
    <x v="1"/>
    <m/>
    <x v="1"/>
    <x v="3"/>
  </r>
  <r>
    <s v="IRM-41329"/>
    <x v="4"/>
    <x v="10"/>
    <s v="Improvements / Challenges - ATL (Current PI28)"/>
    <x v="2"/>
    <m/>
    <x v="1"/>
    <x v="3"/>
  </r>
  <r>
    <s v="IRM-41329"/>
    <x v="4"/>
    <x v="10"/>
    <s v="Improvements / Challenges - ATL (Current PI28)"/>
    <x v="3"/>
    <m/>
    <x v="1"/>
    <x v="3"/>
  </r>
  <r>
    <s v="IRM-41329"/>
    <x v="4"/>
    <x v="10"/>
    <s v="Improvements / Challenges - ATL (Current PI28)"/>
    <x v="4"/>
    <m/>
    <x v="1"/>
    <x v="3"/>
  </r>
  <r>
    <s v="IRM-41329"/>
    <x v="4"/>
    <x v="10"/>
    <s v="Improvements / Challenges - ATL (Current PI28)"/>
    <x v="5"/>
    <m/>
    <x v="1"/>
    <x v="0"/>
  </r>
  <r>
    <s v="IRM-41329"/>
    <x v="4"/>
    <x v="10"/>
    <s v="Improvements / Challenges - ATL (Current PI28)"/>
    <x v="6"/>
    <m/>
    <x v="1"/>
    <x v="3"/>
  </r>
  <r>
    <s v="IRM-41329"/>
    <x v="4"/>
    <x v="10"/>
    <s v="Improvements / Challenges - ATL (Current PI28)"/>
    <x v="7"/>
    <m/>
    <x v="1"/>
    <x v="3"/>
  </r>
  <r>
    <s v="IRM-41329"/>
    <x v="4"/>
    <x v="10"/>
    <s v="Improvements / Challenges - ATL (Current PI28)"/>
    <x v="8"/>
    <m/>
    <x v="1"/>
    <x v="3"/>
  </r>
  <r>
    <s v="IRM-41329"/>
    <x v="4"/>
    <x v="10"/>
    <s v="Improvements / Challenges - ATL (Current PI28)"/>
    <x v="9"/>
    <m/>
    <x v="1"/>
    <x v="3"/>
  </r>
  <r>
    <s v="IRM-41330"/>
    <x v="4"/>
    <x v="23"/>
    <s v="Accessibility Improvements - ATL (Current PI28)"/>
    <x v="0"/>
    <m/>
    <x v="1"/>
    <x v="3"/>
  </r>
  <r>
    <s v="IRM-41330"/>
    <x v="4"/>
    <x v="23"/>
    <s v="Accessibility Improvements - ATL (Current PI28)"/>
    <x v="1"/>
    <m/>
    <x v="1"/>
    <x v="3"/>
  </r>
  <r>
    <s v="IRM-41330"/>
    <x v="4"/>
    <x v="23"/>
    <s v="Accessibility Improvements - ATL (Current PI28)"/>
    <x v="2"/>
    <m/>
    <x v="1"/>
    <x v="3"/>
  </r>
  <r>
    <s v="IRM-41330"/>
    <x v="4"/>
    <x v="23"/>
    <s v="Accessibility Improvements - ATL (Current PI28)"/>
    <x v="3"/>
    <m/>
    <x v="1"/>
    <x v="3"/>
  </r>
  <r>
    <s v="IRM-41330"/>
    <x v="4"/>
    <x v="23"/>
    <s v="Accessibility Improvements - ATL (Current PI28)"/>
    <x v="4"/>
    <m/>
    <x v="1"/>
    <x v="3"/>
  </r>
  <r>
    <s v="IRM-41330"/>
    <x v="4"/>
    <x v="23"/>
    <s v="Accessibility Improvements - ATL (Current PI28)"/>
    <x v="5"/>
    <m/>
    <x v="1"/>
    <x v="0"/>
  </r>
  <r>
    <s v="IRM-41330"/>
    <x v="4"/>
    <x v="23"/>
    <s v="Accessibility Improvements - ATL (Current PI28)"/>
    <x v="6"/>
    <m/>
    <x v="1"/>
    <x v="3"/>
  </r>
  <r>
    <s v="IRM-41330"/>
    <x v="4"/>
    <x v="23"/>
    <s v="Accessibility Improvements - ATL (Current PI28)"/>
    <x v="7"/>
    <m/>
    <x v="1"/>
    <x v="3"/>
  </r>
  <r>
    <s v="IRM-41330"/>
    <x v="4"/>
    <x v="23"/>
    <s v="Accessibility Improvements - ATL (Current PI28)"/>
    <x v="8"/>
    <m/>
    <x v="1"/>
    <x v="3"/>
  </r>
  <r>
    <s v="IRM-41330"/>
    <x v="4"/>
    <x v="23"/>
    <s v="Accessibility Improvements - ATL (Current PI28)"/>
    <x v="9"/>
    <m/>
    <x v="1"/>
    <x v="3"/>
  </r>
  <r>
    <s v="IRM-4293"/>
    <x v="4"/>
    <x v="27"/>
    <s v="Define User-Defined Characteristics for Payment Event - Admin"/>
    <x v="0"/>
    <m/>
    <x v="1"/>
    <x v="2"/>
  </r>
  <r>
    <s v="IRM-4293"/>
    <x v="4"/>
    <x v="27"/>
    <s v="Define User-Defined Characteristics for Payment Event - Admin"/>
    <x v="1"/>
    <m/>
    <x v="1"/>
    <x v="2"/>
  </r>
  <r>
    <s v="IRM-4293"/>
    <x v="4"/>
    <x v="27"/>
    <s v="Define User-Defined Characteristics for Payment Event - Admin"/>
    <x v="2"/>
    <m/>
    <x v="1"/>
    <x v="2"/>
  </r>
  <r>
    <s v="IRM-4293"/>
    <x v="4"/>
    <x v="27"/>
    <s v="Define User-Defined Characteristics for Payment Event - Admin"/>
    <x v="3"/>
    <m/>
    <x v="1"/>
    <x v="2"/>
  </r>
  <r>
    <s v="IRM-4293"/>
    <x v="4"/>
    <x v="27"/>
    <s v="Define User-Defined Characteristics for Payment Event - Admin"/>
    <x v="4"/>
    <m/>
    <x v="1"/>
    <x v="2"/>
  </r>
  <r>
    <s v="IRM-4293"/>
    <x v="4"/>
    <x v="27"/>
    <s v="Define User-Defined Characteristics for Payment Event - Admin"/>
    <x v="5"/>
    <m/>
    <x v="1"/>
    <x v="3"/>
  </r>
  <r>
    <s v="IRM-4293"/>
    <x v="4"/>
    <x v="27"/>
    <s v="Define User-Defined Characteristics for Payment Event - Admin"/>
    <x v="6"/>
    <m/>
    <x v="1"/>
    <x v="2"/>
  </r>
  <r>
    <s v="IRM-4293"/>
    <x v="4"/>
    <x v="27"/>
    <s v="Define User-Defined Characteristics for Payment Event - Admin"/>
    <x v="7"/>
    <m/>
    <x v="1"/>
    <x v="2"/>
  </r>
  <r>
    <s v="IRM-4293"/>
    <x v="4"/>
    <x v="27"/>
    <s v="Define User-Defined Characteristics for Payment Event - Admin"/>
    <x v="8"/>
    <m/>
    <x v="1"/>
    <x v="2"/>
  </r>
  <r>
    <s v="IRM-4293"/>
    <x v="4"/>
    <x v="27"/>
    <s v="Define User-Defined Characteristics for Payment Event - Admin"/>
    <x v="9"/>
    <m/>
    <x v="1"/>
    <x v="2"/>
  </r>
  <r>
    <s v="IRM-5111"/>
    <x v="3"/>
    <x v="9"/>
    <s v="SS Payments - See Filing Obligation Details - Part 2"/>
    <x v="0"/>
    <n v="140"/>
    <x v="1"/>
    <x v="2"/>
  </r>
  <r>
    <s v="IRM-5111"/>
    <x v="3"/>
    <x v="9"/>
    <s v="SS Payments - See Filing Obligation Details - Part 2"/>
    <x v="1"/>
    <m/>
    <x v="1"/>
    <x v="2"/>
  </r>
  <r>
    <s v="IRM-5111"/>
    <x v="3"/>
    <x v="9"/>
    <s v="SS Payments - See Filing Obligation Details - Part 2"/>
    <x v="2"/>
    <m/>
    <x v="1"/>
    <x v="2"/>
  </r>
  <r>
    <s v="IRM-5111"/>
    <x v="3"/>
    <x v="9"/>
    <s v="SS Payments - See Filing Obligation Details - Part 2"/>
    <x v="3"/>
    <m/>
    <x v="1"/>
    <x v="2"/>
  </r>
  <r>
    <s v="IRM-5111"/>
    <x v="3"/>
    <x v="9"/>
    <s v="SS Payments - See Filing Obligation Details - Part 2"/>
    <x v="4"/>
    <m/>
    <x v="1"/>
    <x v="2"/>
  </r>
  <r>
    <s v="IRM-5111"/>
    <x v="3"/>
    <x v="9"/>
    <s v="SS Payments - See Filing Obligation Details - Part 2"/>
    <x v="5"/>
    <n v="28"/>
    <x v="1"/>
    <x v="3"/>
  </r>
  <r>
    <s v="IRM-5111"/>
    <x v="3"/>
    <x v="9"/>
    <s v="SS Payments - See Filing Obligation Details - Part 2"/>
    <x v="6"/>
    <n v="70"/>
    <x v="1"/>
    <x v="2"/>
  </r>
  <r>
    <s v="IRM-5111"/>
    <x v="3"/>
    <x v="9"/>
    <s v="SS Payments - See Filing Obligation Details - Part 2"/>
    <x v="7"/>
    <n v="56"/>
    <x v="1"/>
    <x v="2"/>
  </r>
  <r>
    <s v="IRM-5111"/>
    <x v="3"/>
    <x v="9"/>
    <s v="SS Payments - See Filing Obligation Details - Part 2"/>
    <x v="8"/>
    <n v="56"/>
    <x v="1"/>
    <x v="2"/>
  </r>
  <r>
    <s v="IRM-5111"/>
    <x v="3"/>
    <x v="9"/>
    <s v="SS Payments - See Filing Obligation Details - Part 2"/>
    <x v="9"/>
    <n v="70"/>
    <x v="1"/>
    <x v="2"/>
  </r>
  <r>
    <s v="IRM-542"/>
    <x v="2"/>
    <x v="2"/>
    <s v="CIT - Submit a CIT Return on ICARUS Self Service"/>
    <x v="0"/>
    <n v="46.7"/>
    <x v="1"/>
    <x v="4"/>
  </r>
  <r>
    <s v="IRM-542"/>
    <x v="2"/>
    <x v="2"/>
    <s v="CIT - Submit a CIT Return on ICARUS Self Service"/>
    <x v="1"/>
    <m/>
    <x v="1"/>
    <x v="4"/>
  </r>
  <r>
    <s v="IRM-542"/>
    <x v="2"/>
    <x v="2"/>
    <s v="CIT - Submit a CIT Return on ICARUS Self Service"/>
    <x v="2"/>
    <m/>
    <x v="1"/>
    <x v="4"/>
  </r>
  <r>
    <s v="IRM-542"/>
    <x v="2"/>
    <x v="2"/>
    <s v="CIT - Submit a CIT Return on ICARUS Self Service"/>
    <x v="3"/>
    <m/>
    <x v="1"/>
    <x v="4"/>
  </r>
  <r>
    <s v="IRM-542"/>
    <x v="2"/>
    <x v="2"/>
    <s v="CIT - Submit a CIT Return on ICARUS Self Service"/>
    <x v="4"/>
    <m/>
    <x v="1"/>
    <x v="4"/>
  </r>
  <r>
    <s v="IRM-542"/>
    <x v="2"/>
    <x v="2"/>
    <s v="CIT - Submit a CIT Return on ICARUS Self Service"/>
    <x v="5"/>
    <n v="9.3000000000000007"/>
    <x v="1"/>
    <x v="2"/>
  </r>
  <r>
    <s v="IRM-542"/>
    <x v="2"/>
    <x v="2"/>
    <s v="CIT - Submit a CIT Return on ICARUS Self Service"/>
    <x v="6"/>
    <n v="23.4"/>
    <x v="1"/>
    <x v="4"/>
  </r>
  <r>
    <s v="IRM-542"/>
    <x v="2"/>
    <x v="2"/>
    <s v="CIT - Submit a CIT Return on ICARUS Self Service"/>
    <x v="7"/>
    <n v="18.7"/>
    <x v="1"/>
    <x v="4"/>
  </r>
  <r>
    <s v="IRM-542"/>
    <x v="2"/>
    <x v="2"/>
    <s v="CIT - Submit a CIT Return on ICARUS Self Service"/>
    <x v="8"/>
    <n v="18.7"/>
    <x v="1"/>
    <x v="4"/>
  </r>
  <r>
    <s v="IRM-542"/>
    <x v="2"/>
    <x v="2"/>
    <s v="CIT - Submit a CIT Return on ICARUS Self Service"/>
    <x v="9"/>
    <n v="23.4"/>
    <x v="1"/>
    <x v="4"/>
  </r>
  <r>
    <s v="IRM-761"/>
    <x v="1"/>
    <x v="11"/>
    <s v="Support History of Changes for Contact when edited before sent as well - User"/>
    <x v="0"/>
    <n v="140"/>
    <x v="0"/>
    <x v="4"/>
  </r>
  <r>
    <s v="IRM-761"/>
    <x v="1"/>
    <x v="11"/>
    <s v="Support History of Changes for Contact when edited before sent as well - User"/>
    <x v="1"/>
    <m/>
    <x v="0"/>
    <x v="4"/>
  </r>
  <r>
    <s v="IRM-761"/>
    <x v="1"/>
    <x v="11"/>
    <s v="Support History of Changes for Contact when edited before sent as well - User"/>
    <x v="2"/>
    <m/>
    <x v="0"/>
    <x v="4"/>
  </r>
  <r>
    <s v="IRM-761"/>
    <x v="1"/>
    <x v="11"/>
    <s v="Support History of Changes for Contact when edited before sent as well - User"/>
    <x v="3"/>
    <m/>
    <x v="0"/>
    <x v="4"/>
  </r>
  <r>
    <s v="IRM-761"/>
    <x v="1"/>
    <x v="11"/>
    <s v="Support History of Changes for Contact when edited before sent as well - User"/>
    <x v="4"/>
    <m/>
    <x v="0"/>
    <x v="4"/>
  </r>
  <r>
    <s v="IRM-761"/>
    <x v="1"/>
    <x v="11"/>
    <s v="Support History of Changes for Contact when edited before sent as well - User"/>
    <x v="5"/>
    <n v="28"/>
    <x v="0"/>
    <x v="2"/>
  </r>
  <r>
    <s v="IRM-761"/>
    <x v="1"/>
    <x v="11"/>
    <s v="Support History of Changes for Contact when edited before sent as well - User"/>
    <x v="6"/>
    <n v="70"/>
    <x v="0"/>
    <x v="4"/>
  </r>
  <r>
    <s v="IRM-761"/>
    <x v="1"/>
    <x v="11"/>
    <s v="Support History of Changes for Contact when edited before sent as well - User"/>
    <x v="7"/>
    <n v="56"/>
    <x v="0"/>
    <x v="4"/>
  </r>
  <r>
    <s v="IRM-761"/>
    <x v="1"/>
    <x v="11"/>
    <s v="Support History of Changes for Contact when edited before sent as well - User"/>
    <x v="8"/>
    <n v="56"/>
    <x v="0"/>
    <x v="4"/>
  </r>
  <r>
    <s v="IRM-761"/>
    <x v="1"/>
    <x v="11"/>
    <s v="Support History of Changes for Contact when edited before sent as well - User"/>
    <x v="9"/>
    <n v="70"/>
    <x v="0"/>
    <x v="4"/>
  </r>
  <r>
    <s v="IRM-766"/>
    <x v="1"/>
    <x v="11"/>
    <s v="Send Outbound Message Manually to Multiple Recipients - User"/>
    <x v="0"/>
    <n v="264"/>
    <x v="0"/>
    <x v="2"/>
  </r>
  <r>
    <s v="IRM-766"/>
    <x v="1"/>
    <x v="11"/>
    <s v="Send Outbound Message Manually to Multiple Recipients - User"/>
    <x v="1"/>
    <m/>
    <x v="0"/>
    <x v="2"/>
  </r>
  <r>
    <s v="IRM-766"/>
    <x v="1"/>
    <x v="11"/>
    <s v="Send Outbound Message Manually to Multiple Recipients - User"/>
    <x v="2"/>
    <m/>
    <x v="0"/>
    <x v="2"/>
  </r>
  <r>
    <s v="IRM-766"/>
    <x v="1"/>
    <x v="11"/>
    <s v="Send Outbound Message Manually to Multiple Recipients - User"/>
    <x v="3"/>
    <m/>
    <x v="0"/>
    <x v="2"/>
  </r>
  <r>
    <s v="IRM-766"/>
    <x v="1"/>
    <x v="11"/>
    <s v="Send Outbound Message Manually to Multiple Recipients - User"/>
    <x v="4"/>
    <m/>
    <x v="0"/>
    <x v="2"/>
  </r>
  <r>
    <s v="IRM-766"/>
    <x v="1"/>
    <x v="11"/>
    <s v="Send Outbound Message Manually to Multiple Recipients - User"/>
    <x v="5"/>
    <n v="52.8"/>
    <x v="0"/>
    <x v="3"/>
  </r>
  <r>
    <s v="IRM-766"/>
    <x v="1"/>
    <x v="11"/>
    <s v="Send Outbound Message Manually to Multiple Recipients - User"/>
    <x v="6"/>
    <n v="132"/>
    <x v="0"/>
    <x v="2"/>
  </r>
  <r>
    <s v="IRM-766"/>
    <x v="1"/>
    <x v="11"/>
    <s v="Send Outbound Message Manually to Multiple Recipients - User"/>
    <x v="7"/>
    <n v="105.6"/>
    <x v="0"/>
    <x v="2"/>
  </r>
  <r>
    <s v="IRM-766"/>
    <x v="1"/>
    <x v="11"/>
    <s v="Send Outbound Message Manually to Multiple Recipients - User"/>
    <x v="8"/>
    <n v="105.6"/>
    <x v="0"/>
    <x v="2"/>
  </r>
  <r>
    <s v="IRM-766"/>
    <x v="1"/>
    <x v="11"/>
    <s v="Send Outbound Message Manually to Multiple Recipients - User"/>
    <x v="9"/>
    <n v="132"/>
    <x v="0"/>
    <x v="2"/>
  </r>
  <r>
    <s v="IRM-774"/>
    <x v="1"/>
    <x v="11"/>
    <s v="Define and Maintain Different Types of Recipients - Admin"/>
    <x v="0"/>
    <n v="46.7"/>
    <x v="0"/>
    <x v="2"/>
  </r>
  <r>
    <s v="IRM-774"/>
    <x v="1"/>
    <x v="11"/>
    <s v="Define and Maintain Different Types of Recipients - Admin"/>
    <x v="1"/>
    <m/>
    <x v="0"/>
    <x v="2"/>
  </r>
  <r>
    <s v="IRM-774"/>
    <x v="1"/>
    <x v="11"/>
    <s v="Define and Maintain Different Types of Recipients - Admin"/>
    <x v="2"/>
    <m/>
    <x v="0"/>
    <x v="2"/>
  </r>
  <r>
    <s v="IRM-774"/>
    <x v="1"/>
    <x v="11"/>
    <s v="Define and Maintain Different Types of Recipients - Admin"/>
    <x v="3"/>
    <m/>
    <x v="0"/>
    <x v="2"/>
  </r>
  <r>
    <s v="IRM-774"/>
    <x v="1"/>
    <x v="11"/>
    <s v="Define and Maintain Different Types of Recipients - Admin"/>
    <x v="4"/>
    <m/>
    <x v="0"/>
    <x v="2"/>
  </r>
  <r>
    <s v="IRM-774"/>
    <x v="1"/>
    <x v="11"/>
    <s v="Define and Maintain Different Types of Recipients - Admin"/>
    <x v="5"/>
    <n v="9.3000000000000007"/>
    <x v="0"/>
    <x v="3"/>
  </r>
  <r>
    <s v="IRM-774"/>
    <x v="1"/>
    <x v="11"/>
    <s v="Define and Maintain Different Types of Recipients - Admin"/>
    <x v="6"/>
    <n v="23.4"/>
    <x v="0"/>
    <x v="2"/>
  </r>
  <r>
    <s v="IRM-774"/>
    <x v="1"/>
    <x v="11"/>
    <s v="Define and Maintain Different Types of Recipients - Admin"/>
    <x v="7"/>
    <n v="18.7"/>
    <x v="0"/>
    <x v="2"/>
  </r>
  <r>
    <s v="IRM-774"/>
    <x v="1"/>
    <x v="11"/>
    <s v="Define and Maintain Different Types of Recipients - Admin"/>
    <x v="8"/>
    <n v="18.7"/>
    <x v="0"/>
    <x v="2"/>
  </r>
  <r>
    <s v="IRM-774"/>
    <x v="1"/>
    <x v="11"/>
    <s v="Define and Maintain Different Types of Recipients - Admin"/>
    <x v="9"/>
    <n v="23.4"/>
    <x v="0"/>
    <x v="2"/>
  </r>
  <r>
    <s v="IRM-775"/>
    <x v="1"/>
    <x v="11"/>
    <s v="Define and Maintain Contact Types - Select Recipients - Admin"/>
    <x v="0"/>
    <n v="140"/>
    <x v="0"/>
    <x v="2"/>
  </r>
  <r>
    <s v="IRM-775"/>
    <x v="1"/>
    <x v="11"/>
    <s v="Define and Maintain Contact Types - Select Recipients - Admin"/>
    <x v="1"/>
    <m/>
    <x v="0"/>
    <x v="2"/>
  </r>
  <r>
    <s v="IRM-775"/>
    <x v="1"/>
    <x v="11"/>
    <s v="Define and Maintain Contact Types - Select Recipients - Admin"/>
    <x v="2"/>
    <m/>
    <x v="0"/>
    <x v="2"/>
  </r>
  <r>
    <s v="IRM-775"/>
    <x v="1"/>
    <x v="11"/>
    <s v="Define and Maintain Contact Types - Select Recipients - Admin"/>
    <x v="3"/>
    <m/>
    <x v="0"/>
    <x v="2"/>
  </r>
  <r>
    <s v="IRM-775"/>
    <x v="1"/>
    <x v="11"/>
    <s v="Define and Maintain Contact Types - Select Recipients - Admin"/>
    <x v="4"/>
    <m/>
    <x v="0"/>
    <x v="2"/>
  </r>
  <r>
    <s v="IRM-775"/>
    <x v="1"/>
    <x v="11"/>
    <s v="Define and Maintain Contact Types - Select Recipients - Admin"/>
    <x v="5"/>
    <n v="28"/>
    <x v="0"/>
    <x v="3"/>
  </r>
  <r>
    <s v="IRM-775"/>
    <x v="1"/>
    <x v="11"/>
    <s v="Define and Maintain Contact Types - Select Recipients - Admin"/>
    <x v="6"/>
    <n v="70"/>
    <x v="0"/>
    <x v="2"/>
  </r>
  <r>
    <s v="IRM-775"/>
    <x v="1"/>
    <x v="11"/>
    <s v="Define and Maintain Contact Types - Select Recipients - Admin"/>
    <x v="7"/>
    <n v="56"/>
    <x v="0"/>
    <x v="2"/>
  </r>
  <r>
    <s v="IRM-775"/>
    <x v="1"/>
    <x v="11"/>
    <s v="Define and Maintain Contact Types - Select Recipients - Admin"/>
    <x v="8"/>
    <n v="56"/>
    <x v="0"/>
    <x v="2"/>
  </r>
  <r>
    <s v="IRM-775"/>
    <x v="1"/>
    <x v="11"/>
    <s v="Define and Maintain Contact Types - Select Recipients - Admin"/>
    <x v="9"/>
    <n v="70"/>
    <x v="0"/>
    <x v="2"/>
  </r>
  <r>
    <s v="IRM-790"/>
    <x v="1"/>
    <x v="11"/>
    <s v="Send Outbound Message Automatically to Multiple Recipients - Admin"/>
    <x v="0"/>
    <n v="128"/>
    <x v="0"/>
    <x v="2"/>
  </r>
  <r>
    <s v="IRM-790"/>
    <x v="1"/>
    <x v="11"/>
    <s v="Send Outbound Message Automatically to Multiple Recipients - Admin"/>
    <x v="1"/>
    <m/>
    <x v="0"/>
    <x v="2"/>
  </r>
  <r>
    <s v="IRM-790"/>
    <x v="1"/>
    <x v="11"/>
    <s v="Send Outbound Message Automatically to Multiple Recipients - Admin"/>
    <x v="2"/>
    <m/>
    <x v="0"/>
    <x v="2"/>
  </r>
  <r>
    <s v="IRM-790"/>
    <x v="1"/>
    <x v="11"/>
    <s v="Send Outbound Message Automatically to Multiple Recipients - Admin"/>
    <x v="3"/>
    <m/>
    <x v="0"/>
    <x v="2"/>
  </r>
  <r>
    <s v="IRM-790"/>
    <x v="1"/>
    <x v="11"/>
    <s v="Send Outbound Message Automatically to Multiple Recipients - Admin"/>
    <x v="4"/>
    <m/>
    <x v="0"/>
    <x v="2"/>
  </r>
  <r>
    <s v="IRM-790"/>
    <x v="1"/>
    <x v="11"/>
    <s v="Send Outbound Message Automatically to Multiple Recipients - Admin"/>
    <x v="5"/>
    <n v="25.6"/>
    <x v="0"/>
    <x v="3"/>
  </r>
  <r>
    <s v="IRM-790"/>
    <x v="1"/>
    <x v="11"/>
    <s v="Send Outbound Message Automatically to Multiple Recipients - Admin"/>
    <x v="6"/>
    <n v="64"/>
    <x v="0"/>
    <x v="2"/>
  </r>
  <r>
    <s v="IRM-790"/>
    <x v="1"/>
    <x v="11"/>
    <s v="Send Outbound Message Automatically to Multiple Recipients - Admin"/>
    <x v="7"/>
    <n v="51.2"/>
    <x v="0"/>
    <x v="2"/>
  </r>
  <r>
    <s v="IRM-790"/>
    <x v="1"/>
    <x v="11"/>
    <s v="Send Outbound Message Automatically to Multiple Recipients - Admin"/>
    <x v="8"/>
    <n v="51.2"/>
    <x v="0"/>
    <x v="2"/>
  </r>
  <r>
    <s v="IRM-790"/>
    <x v="1"/>
    <x v="11"/>
    <s v="Send Outbound Message Automatically to Multiple Recipients - Admin"/>
    <x v="9"/>
    <n v="64"/>
    <x v="0"/>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2">
  <r>
    <s v="IRM-41330"/>
    <x v="0"/>
    <x v="0"/>
    <s v="Accessibility Enhancements"/>
    <s v="Accessibility Improvements - ATL (Current PI28)"/>
    <s v="To Do"/>
    <m/>
    <s v="Other"/>
    <x v="0"/>
    <x v="0"/>
    <s v="p1"/>
    <s v="2026-04-19T12:05:17.000+0300"/>
    <s v="pi28_candidate,pi28_p1"/>
    <m/>
    <s v="Accessibility Improvements - ATL (Current PI28)"/>
    <s v="This enabler focuses on improving the accessibility of the Solon Tax application in alignment with recognized standards. Enhancements implemented during this PI aim to ensure that users of all abilities can effectively interact with the system, in compliance with WCAG 2.1 AA and EN 301 549 guidelines._x000d__x000a__x000d__x000a_Enabler includes effort for UI/UX Accessibility Audit activities."/>
    <s v="By implementing accessibility improvements according to WCAG 2.1 AA and EN 301 549, the Solon Tax product becomes more inclusive and compliant with European accessibility requirements. This ensures equal access for all users, enhances user satisfaction, reduces the risk of non-compliance penalties, and strengthens the product's reputation and market reach in the public sector."/>
    <s v="* Accessibility improvements are implemented according to WCAG 2.1 AA and EN 301 549 standards._x000d__x000a__x000d__x000a_ * Identified accessibility gaps from prior audits or internal reviews are addressed within the scope of the current PI._x000d__x000a__x000d__x000a_ * Key UI components meet minimum color contrast ratios and provide proper focus management._x000d__x000a__x000d__x000a_ * Application is fully navigable via keyboard without loss of functionality._x000d__x000a__x000d__x000a_ * Screen reader users can correctly interpret content structure, labels, and ARIA attributes._x000d__x000a__x000d__x000a_ * QA validation confirms compliance through automated and manual accessibility testing._x000d__x000a__x000d__x000a_ * Documentation is updated to reflect accessibility compliance status and testing results."/>
  </r>
  <r>
    <s v="IRM-41329"/>
    <x v="0"/>
    <x v="1"/>
    <s v="Maintainability Enhancements"/>
    <s v="Improvements / Challenges - ATL (Current PI28)"/>
    <s v="To Do"/>
    <m/>
    <s v="Other"/>
    <x v="0"/>
    <x v="0"/>
    <s v="p1"/>
    <s v="2026-04-19T12:03:33.000+0300"/>
    <s v="pi28_candidate,pi28_p1"/>
    <m/>
    <s v="Improvements / Challenges - ATL (Current PI28)"/>
    <s v="As an ICARUS team member, I want the technical debt to be addressed right from the start in order to avoid implications and reduce the efforts in the future, so that the product is evolving organically. Additionally, I want to resolve any technical challenges that has risen up, so that methodologies are defined and can be followed. This Enabler gathers up all the technical debt and challenges generated/identified during previous PIs._x000d__x000a__x000d__x000a_!image-2026-03-18-18-22-50-346.png!"/>
    <s v="TBD"/>
    <s v="TBD"/>
  </r>
  <r>
    <s v="IRM-41328"/>
    <x v="0"/>
    <x v="2"/>
    <s v="Usability Enhancements"/>
    <s v="UI Improvements / Initiatives - ATL (Current PI28)"/>
    <s v="To Do"/>
    <m/>
    <s v="Other"/>
    <x v="0"/>
    <x v="0"/>
    <s v="p1"/>
    <s v="2026-04-19T12:02:43.000+0300"/>
    <s v="ACCESSIBILITY,pi28_candidate,pi28_p1"/>
    <m/>
    <s v="UI Improvements / Initiatives - ATL (Current PI28)"/>
    <s v="As an ICARUS team member, I want the technical debt to be addressed right from the start in order to avoid implications and reduce the efforts in the future, so that the product is evolving organically. Additionally, I want to resolve any technical challenges that has risen up, so that methodologies are defined and can be followed. This Enabler gathers up all the technical debt and challenges generated/identified during previous PIs._x000d__x000a__x000d__x000a_!image-2026-03-18-18-23-42-158.png!_x000d__x000a__x000d__x000a_Plus, UI Improvements based on this presentation [https://netcompany-my.sharepoint.com/:p:/r/personal/kspontou_netcompany_com/_layouts/15/Doc.aspx?sourcedoc=%7B8B5942CC-A77D-4DCC-BE94-6E161D8A514C%7D&amp;file=SOLON%20UI.pptx&amp;action=edit&amp;mobileredirect=true]"/>
    <s v="* Proper UI_x000d__x000a_ * Continuous improvement"/>
    <s v="TBD"/>
  </r>
  <r>
    <s v="IRM-41015"/>
    <x v="0"/>
    <x v="1"/>
    <s v="Maintainability Enhancements"/>
    <s v="Improvements / Challenges - (Current PI28)"/>
    <s v="To Do"/>
    <m/>
    <s v="Other"/>
    <x v="0"/>
    <x v="0"/>
    <s v="p1"/>
    <s v="2026-04-14T15:59:02.000+0300"/>
    <s v="pi28_candidate,pi28_p1"/>
    <m/>
    <s v="Improvements / Challenges - (Current PI28)"/>
    <s v="As an ICARUS team member, I want the technical debt to be addressed right from the start in order to avoid implications and reduce the efforts in the future, so that the product is evolving organically. Additionally, I want to resolve any technical challenges that has risen up, so that methodologies are defined and can be followed. This Enabler gathers up all the technical debt and challenges generated/identified during previous PIs._x000d__x000a__x000d__x000a_!image-2026-03-18-18-22-50-346.png!"/>
    <s v="TBD"/>
    <s v="TBD"/>
  </r>
  <r>
    <s v="IRM-41016"/>
    <x v="0"/>
    <x v="1"/>
    <s v="Maintainability Enhancements"/>
    <s v="Improvements / Challenges - Bucket (Current PI28)"/>
    <s v="To Do"/>
    <m/>
    <s v="Other"/>
    <x v="0"/>
    <x v="0"/>
    <s v="p1"/>
    <s v="2026-04-14T15:59:02.000+0300"/>
    <s v="pi28_candidate,pi28_p1"/>
    <m/>
    <s v="Improvements / Challenges - Bucket (Current PI28)"/>
    <s v="As an ICARUS team member, I want the technical debt to be addressed right from the start in order to avoid implications and reduce the efforts in the future, so that the product is evolving organically. Additionally, I want to resolve any technical challenges that has risen up, so that methodologies are defined and can be followed. This Enabler gathers up all the technical debt and challenges generated/identified during previous PIs._x000d__x000a__x000d__x000a_!image-2026-03-18-18-22-50-346.png!"/>
    <s v="TBD"/>
    <s v="TBD"/>
  </r>
  <r>
    <s v="IRM-41013"/>
    <x v="0"/>
    <x v="2"/>
    <s v="Usability Enhancements"/>
    <s v="UI Improvements / Initiatives (Current PI28)"/>
    <s v="To Do"/>
    <m/>
    <s v="Other"/>
    <x v="0"/>
    <x v="0"/>
    <s v="p1"/>
    <s v="2026-04-14T15:44:30.000+0300"/>
    <s v="pi28_candidate,pi28_p1"/>
    <m/>
    <s v="UI Improvements / Initiatives (Current PI28)"/>
    <s v="As an ICARUS team member, I want the technical debt to be addressed right from the start in order to avoid implications and reduce the efforts in the future, so that the product is evolving organically. Additionally, I want to resolve any technical challenges that has risen up, so that methodologies are defined and can be followed. This Enabler gathers up all the technical debt and challenges generated/identified during previous PIs._x000d__x000a__x000d__x000a_!image-2026-03-18-18-23-42-158.png!_x000d__x000a__x000d__x000a_Plus, UI Improvements based on this presentation [https://netcompany-my.sharepoint.com/:p:/r/personal/kspontou_netcompany_com/_layouts/15/Doc.aspx?sourcedoc=%7B8B5942CC-A77D-4DCC-BE94-6E161D8A514C%7D&amp;file=SOLON%20UI.pptx&amp;action=edit&amp;mobileredirect=true]"/>
    <s v="* Proper UI_x000d__x000a_ * Continuous improvement"/>
    <s v="TBD"/>
  </r>
  <r>
    <s v="IRM-40987"/>
    <x v="1"/>
    <x v="3"/>
    <s v="Batch Processing Enhancements"/>
    <s v="Amplio Batch - Java foundation 4.0"/>
    <s v="To Do"/>
    <n v="213.3"/>
    <s v="Other"/>
    <x v="0"/>
    <x v="1"/>
    <s v="p1"/>
    <s v="2026-04-14T11:57:25.000+0300"/>
    <s v="pi28_candidate,pi28_p1"/>
    <m/>
    <s v="Amplio Batch - Java foundation 4.0"/>
    <s v="This Support is dependant on the newest version of Amplio being released, which is expected sometime in the beginning of 2026._x000d__x000a__x000d__x000a_Scope:_x000d__x000a_ # Update to newest version of Amplio_x000d__x000a_ ** Java Foundation 4.0 and Amplio Rho 2.0 are scheduled to be released in January 2026._x000d__x000a_ ** The release will introduce new functionality for the batch engine, for example the possibility to start batch jobs directly from the UI. _x000d__x000a_ ** The upgrade should be coordinated with the Amplioj4Solon team, as revenue-management-batch, Amplio Admin and Amplio Process Engine all need to follow the same version of Amplio._x000d__x000a_ # Technical alignment between Amplio Process Engine, Amplio Batch and SOLON_x000d__x000a_ ** Because of the direct dependencies between the components, It is needed to get them technically aligned. This is both in regards to ensuring immediate support for new functionality but also ensuring maintainability of the projects within the SOLON product team._x000d__x000a_ # Use foundation functionality for batch jobs_x000d__x000a_ ** The scope is both in regards to utilizing improved batch scheduler functionality introduced in future foundation releases, but also ensuring proper multitenancy support, as provided by the foundation."/>
    <s v="TBD"/>
    <s v="TBD"/>
  </r>
  <r>
    <s v="IRM-40503"/>
    <x v="0"/>
    <x v="4"/>
    <s v="Extensibility Enhancements"/>
    <s v="Enable user-defined characteristics (Data Area) for Financial transaction Type"/>
    <s v="Waiting Analysis Approval"/>
    <m/>
    <s v="GRC"/>
    <x v="0"/>
    <x v="0"/>
    <s v="p1"/>
    <s v="2026-04-03T15:41:06.000+0300"/>
    <s v="GR,pi28_candidate,pi28_p1"/>
    <m/>
    <s v="Enable user-defined characteristics (Data Area) for Financial transaction Type"/>
    <s v="As a revenue authority admin , I need to have the ability to extend the data schema of Financial transaction types , as commonly provided in the application by a data Area field. There are several details need to be added that cannot be supported by product. _x000d__x000a__x000d__x000a_*Functional Requirement*_x000d__x000a_ - Need to be able to add custom information in Financial transaction type_x000d__x000a__x000d__x000a_Examples:  External Code_x000d__x000a__x000d__x000a_Notes: _x000d__x000a_ - Add optional column data_area to _x000d__x000a_ - Update APIs to support new dataArea field _x000d__x000a_ - Add CustomValidationService _x000d__x000a_ - General User data characteristics details [https://jira.intrasoft-intl.com/browse/IRM-29295]"/>
    <s v="-"/>
    <s v="* Need to be able to add custom information in Financial transaction Type config records"/>
  </r>
  <r>
    <s v="IRM-40181"/>
    <x v="0"/>
    <x v="2"/>
    <s v="Usability Enhancements"/>
    <s v="UI Improvements / Initiatives - ATH (Current PI28)"/>
    <s v="To Do"/>
    <m/>
    <s v="Other"/>
    <x v="0"/>
    <x v="0"/>
    <s v="p1"/>
    <s v="2026-03-31T16:40:35.000+0300"/>
    <s v="ACCESSIBILITY,pi28_candidate,pi28_p1"/>
    <m/>
    <s v="UI Improvements / Initiatives - ATH (Current PI28)"/>
    <s v="As an ICARUS team member, I want the technical debt to be addressed right from the start in order to avoid implications and reduce the efforts in the future, so that the product is evolving organically. Additionally, I want to resolve any technical challenges that has risen up, so that methodologies are defined and can be followed. This Enabler gathers up all the technical debt and challenges generated/identified during previous PIs._x000d__x000a__x000d__x000a_!image-2026-03-18-18-23-42-158.png!_x000d__x000a__x000d__x000a_Plus, UI Improvements based on this presentation [https://netcompany-my.sharepoint.com/:p:/r/personal/kspontou_netcompany_com/_layouts/15/Doc.aspx?sourcedoc=%7B8B5942CC-A77D-4DCC-BE94-6E161D8A514C%7D&amp;file=SOLON%20UI.pptx&amp;action=edit&amp;mobileredirect=true]"/>
    <s v="* Proper UI_x000d__x000a_ * Continuous improvement"/>
    <s v="TBD"/>
  </r>
  <r>
    <s v="IRM-40180"/>
    <x v="0"/>
    <x v="2"/>
    <s v="Usability Enhancements"/>
    <s v="UI Improvements / Initiatives - EOS (Current PI28)"/>
    <s v="To Do"/>
    <m/>
    <s v="Other"/>
    <x v="0"/>
    <x v="0"/>
    <s v="p1"/>
    <s v="2026-03-31T16:39:39.000+0300"/>
    <s v="ACCESSIBILITY,pi28_candidate,pi28_p1"/>
    <m/>
    <s v="UI Improvements / Initiatives - EOS (Current PI28)"/>
    <s v="As an ICARUS team member, I want the technical debt to be addressed right from the start in order to avoid implications and reduce the efforts in the future, so that the product is evolving organically. Additionally, I want to resolve any technical challenges that has risen up, so that methodologies are defined and can be followed. This Enabler gathers up all the technical debt and challenges generated/identified during previous PIs._x000d__x000a__x000d__x000a_!image-2026-03-18-18-23-42-158.png!_x000d__x000a__x000d__x000a_Plus, UI Improvements based on this presentation [https://netcompany-my.sharepoint.com/:p:/r/personal/kspontou_netcompany_com/_layouts/15/Doc.aspx?sourcedoc=%7B8B5942CC-A77D-4DCC-BE94-6E161D8A514C%7D&amp;file=SOLON%20UI.pptx&amp;action=edit&amp;mobileredirect=true]"/>
    <s v="* Proper UI_x000d__x000a_ * Continuous improvement"/>
    <s v="TBD"/>
  </r>
  <r>
    <s v="IRM-40179"/>
    <x v="0"/>
    <x v="2"/>
    <s v="Usability Enhancements"/>
    <s v="UI Improvements / Initiatives - SPA (Current PI28)"/>
    <s v="To Do"/>
    <m/>
    <s v="Other"/>
    <x v="0"/>
    <x v="0"/>
    <s v="p1"/>
    <s v="2026-03-31T16:38:51.000+0300"/>
    <s v="ACCESSIBILITY,pi28_candidate,pi28_p1"/>
    <m/>
    <s v="UI Improvements / Initiatives - SPA (Current PI28)"/>
    <s v="As an ICARUS team member, I want the technical debt to be addressed right from the start in order to avoid implications and reduce the efforts in the future, so that the product is evolving organically. Additionally, I want to resolve any technical challenges that has risen up, so that methodologies are defined and can be followed. This Enabler gathers up all the technical debt and challenges generated/identified during previous PIs._x000d__x000a__x000d__x000a_!image-2026-03-18-18-23-42-158.png!_x000d__x000a__x000d__x000a_Plus, UI Improvements based on this presentation [https://netcompany-my.sharepoint.com/:p:/r/personal/kspontou_netcompany_com/_layouts/15/Doc.aspx?sourcedoc=%7B8B5942CC-A77D-4DCC-BE94-6E161D8A514C%7D&amp;file=SOLON%20UI.pptx&amp;action=edit&amp;mobileredirect=true]"/>
    <s v="* Proper UI_x000d__x000a_ * Continuous improvement"/>
    <s v="TBD"/>
  </r>
  <r>
    <s v="IRM-40178"/>
    <x v="0"/>
    <x v="2"/>
    <s v="Usability Enhancements"/>
    <s v="UI Improvements / Initiatives - HEL (Current PI28)"/>
    <s v="To Do"/>
    <m/>
    <s v="Other"/>
    <x v="0"/>
    <x v="0"/>
    <s v="p1"/>
    <s v="2026-03-31T16:38:03.000+0300"/>
    <s v="ACCESSIBILITY,pi28_candidate,pi28_p1"/>
    <m/>
    <s v="UI Improvements / Initiatives - HEL (Current PI28)"/>
    <s v="As an ICARUS team member, I want the technical debt to be addressed right from the start in order to avoid implications and reduce the efforts in the future, so that the product is evolving organically. Additionally, I want to resolve any technical challenges that has risen up, so that methodologies are defined and can be followed. This Enabler gathers up all the technical debt and challenges generated/identified during previous PIs._x000d__x000a__x000d__x000a_!image-2026-03-18-18-23-42-158.png!_x000d__x000a__x000d__x000a_Plus, UI Improvements based on this presentation [https://netcompany-my.sharepoint.com/:p:/r/personal/kspontou_netcompany_com/_layouts/15/Doc.aspx?sourcedoc=%7B8B5942CC-A77D-4DCC-BE94-6E161D8A514C%7D&amp;file=SOLON%20UI.pptx&amp;action=edit&amp;mobileredirect=true]"/>
    <s v="* Proper UI_x000d__x000a_ * Continuous improvement"/>
    <s v="TBD"/>
  </r>
  <r>
    <s v="IRM-40177"/>
    <x v="0"/>
    <x v="1"/>
    <s v="Maintainability Enhancements"/>
    <s v="Improvements / Challenges - ATH (Current PI28)"/>
    <s v="To Do"/>
    <m/>
    <s v="Other"/>
    <x v="0"/>
    <x v="0"/>
    <s v="p1"/>
    <s v="2026-03-31T16:30:59.000+0300"/>
    <s v="pi28_candidate,pi28_p1"/>
    <m/>
    <s v="Improvements / Challenges - ATH (Current PI28)"/>
    <s v="As an ICARUS team member, I want the technical debt to be addressed right from the start in order to avoid implications and reduce the efforts in the future, so that the product is evolving organically. Additionally, I want to resolve any technical challenges that has risen up, so that methodologies are defined and can be followed. This Enabler gathers up all the technical debt and challenges generated/identified during previous PIs._x000d__x000a__x000d__x000a_!image-2026-03-18-18-22-50-346.png!"/>
    <s v="TBD"/>
    <s v="TBD"/>
  </r>
  <r>
    <s v="IRM-40176"/>
    <x v="0"/>
    <x v="1"/>
    <s v="Maintainability Enhancements"/>
    <s v="Improvements / Challenges - EOS (Current PI28)"/>
    <s v="To Do"/>
    <n v="53.3"/>
    <s v="Other"/>
    <x v="0"/>
    <x v="2"/>
    <s v="p1"/>
    <s v="2026-03-31T16:29:59.000+0300"/>
    <s v="pi28_candidate,pi28_p1"/>
    <m/>
    <s v="Improvements / Challenges - EOS (Current PI28)"/>
    <s v="As an ICARUS team member, I want the technical debt to be addressed right from the start in order to avoid implications and reduce the efforts in the future, so that the product is evolving organically. Additionally, I want to resolve any technical challenges that has risen up, so that methodologies are defined and can be followed. This Enabler gathers up all the technical debt and challenges generated/identified during previous PIs._x000d__x000a__x000d__x000a_!image-2026-03-18-18-22-50-346.png!"/>
    <s v="TBD"/>
    <s v="TBD"/>
  </r>
  <r>
    <s v="IRM-40175"/>
    <x v="0"/>
    <x v="1"/>
    <s v="Maintainability Enhancements"/>
    <s v="Improvements / Challenges - SPA (Current PI28)"/>
    <s v="To Do"/>
    <m/>
    <s v="Other"/>
    <x v="0"/>
    <x v="0"/>
    <s v="p1"/>
    <s v="2026-03-31T16:29:01.000+0300"/>
    <s v="pi28_candidate,pi28_p1"/>
    <m/>
    <s v="Improvements / Challenges - SPA (Current PI28)"/>
    <s v="As an ICARUS team member, I want the technical debt to be addressed right from the start in order to avoid implications and reduce the efforts in the future, so that the product is evolving organically. Additionally, I want to resolve any technical challenges that has risen up, so that methodologies are defined and can be followed. This Enabler gathers up all the technical debt and challenges generated/identified during previous PIs._x000d__x000a__x000d__x000a_!image-2026-03-18-18-22-50-346.png!"/>
    <s v="TBD"/>
    <s v="TBD"/>
  </r>
  <r>
    <s v="IRM-40174"/>
    <x v="0"/>
    <x v="1"/>
    <s v="Maintainability Enhancements"/>
    <s v="Improvements / Challenges - HEL (Current PI28)"/>
    <s v="To Do"/>
    <m/>
    <s v="Other"/>
    <x v="0"/>
    <x v="0"/>
    <s v="p1"/>
    <s v="2026-03-31T16:27:50.000+0300"/>
    <s v="pi28_candidate,pi28_p1"/>
    <m/>
    <s v="Improvements / Challenges - HEL (Current PI28)"/>
    <s v="As an ICARUS team member, I want the technical debt to be addressed right from the start in order to avoid implications and reduce the efforts in the future, so that the product is evolving organically. Additionally, I want to resolve any technical challenges that has risen up, so that methodologies are defined and can be followed. This Enabler gathers up all the technical debt and challenges generated/identified during previous PIs._x000d__x000a__x000d__x000a_!image-2026-03-18-18-22-50-346.png!"/>
    <s v="TBD"/>
    <s v="TBD"/>
  </r>
  <r>
    <s v="IRM-40171"/>
    <x v="0"/>
    <x v="0"/>
    <s v="Accessibility Enhancements"/>
    <s v="Accessibility Improvements - ATH (Current PI28)"/>
    <s v="To Do"/>
    <n v="32"/>
    <s v="Other"/>
    <x v="0"/>
    <x v="3"/>
    <s v="p1"/>
    <s v="2026-03-31T16:15:09.000+0300"/>
    <s v="pi28_candidate,pi28_p1"/>
    <m/>
    <s v="Accessibility Improvements - ATH (Current PI28)"/>
    <s v="This enabler focuses on improving the accessibility of the Solon Tax application in alignment with recognized standards. Enhancements implemented during this PI aim to ensure that users of all abilities can effectively interact with the system, in compliance with WCAG 2.1 AA and EN 301 549 guidelines._x000d__x000a__x000d__x000a_Enabler includes effort for UI/UX Accessibility Audit activities."/>
    <s v="By implementing accessibility improvements according to WCAG 2.1 AA and EN 301 549, the Solon Tax product becomes more inclusive and compliant with European accessibility requirements. This ensures equal access for all users, enhances user satisfaction, reduces the risk of non-compliance penalties, and strengthens the product's reputation and market reach in the public sector."/>
    <s v="* Accessibility improvements are implemented according to WCAG 2.1 AA and EN 301 549 standards._x000d__x000a__x000d__x000a_ * Identified accessibility gaps from prior audits or internal reviews are addressed within the scope of the current PI._x000d__x000a__x000d__x000a_ * Key UI components meet minimum color contrast ratios and provide proper focus management._x000d__x000a__x000d__x000a_ * Application is fully navigable via keyboard without loss of functionality._x000d__x000a__x000d__x000a_ * Screen reader users can correctly interpret content structure, labels, and ARIA attributes._x000d__x000a__x000d__x000a_ * QA validation confirms compliance through automated and manual accessibility testing._x000d__x000a__x000d__x000a_ * Documentation is updated to reflect accessibility compliance status and testing results."/>
  </r>
  <r>
    <s v="IRM-40170"/>
    <x v="0"/>
    <x v="0"/>
    <s v="Accessibility Enhancements"/>
    <s v="Accessibility Improvements - EOS (Current PI28)"/>
    <s v="To Do"/>
    <m/>
    <s v="Other"/>
    <x v="0"/>
    <x v="0"/>
    <s v="p1"/>
    <s v="2026-03-31T16:14:28.000+0300"/>
    <s v="pi28_candidate,pi28_p1"/>
    <m/>
    <s v="Accessibility Improvements - EOS (Current PI28)"/>
    <s v="This enabler focuses on improving the accessibility of the Solon Tax application in alignment with recognized standards. Enhancements implemented during this PI aim to ensure that users of all abilities can effectively interact with the system, in compliance with WCAG 2.1 AA and EN 301 549 guidelines._x000d__x000a__x000d__x000a_Enabler includes effort for UI/UX Accessibility Audit activities."/>
    <s v="By implementing accessibility improvements according to WCAG 2.1 AA and EN 301 549, the Solon Tax product becomes more inclusive and compliant with European accessibility requirements. This ensures equal access for all users, enhances user satisfaction, reduces the risk of non-compliance penalties, and strengthens the product's reputation and market reach in the public sector."/>
    <s v="* Accessibility improvements are implemented according to WCAG 2.1 AA and EN 301 549 standards._x000d__x000a__x000d__x000a_ * Identified accessibility gaps from prior audits or internal reviews are addressed within the scope of the current PI._x000d__x000a__x000d__x000a_ * Key UI components meet minimum color contrast ratios and provide proper focus management._x000d__x000a__x000d__x000a_ * Application is fully navigable via keyboard without loss of functionality._x000d__x000a__x000d__x000a_ * Screen reader users can correctly interpret content structure, labels, and ARIA attributes._x000d__x000a__x000d__x000a_ * QA validation confirms compliance through automated and manual accessibility testing._x000d__x000a__x000d__x000a_ * Documentation is updated to reflect accessibility compliance status and testing results."/>
  </r>
  <r>
    <s v="IRM-40169"/>
    <x v="0"/>
    <x v="0"/>
    <s v="Accessibility Enhancements"/>
    <s v="Accessibility Improvements - SPA (Current PI28)"/>
    <s v="To Do"/>
    <n v="32"/>
    <s v="Other"/>
    <x v="0"/>
    <x v="3"/>
    <s v="p1"/>
    <s v="2026-03-31T16:13:36.000+0300"/>
    <s v="pi28_candidate,pi28_p1"/>
    <m/>
    <s v="Accessibility Improvements - SPA (Current PI28)"/>
    <s v="This enabler focuses on improving the accessibility of the Solon Tax application in alignment with recognized standards. Enhancements implemented during this PI aim to ensure that users of all abilities can effectively interact with the system, in compliance with WCAG 2.1 AA and EN 301 549 guidelines._x000d__x000a__x000d__x000a_Enabler includes effort for UI/UX Accessibility Audit activities."/>
    <s v="By implementing accessibility improvements according to WCAG 2.1 AA and EN 301 549, the Solon Tax product becomes more inclusive and compliant with European accessibility requirements. This ensures equal access for all users, enhances user satisfaction, reduces the risk of non-compliance penalties, and strengthens the product's reputation and market reach in the public sector."/>
    <s v="* Accessibility improvements are implemented according to WCAG 2.1 AA and EN 301 549 standards._x000d__x000a__x000d__x000a_ * Identified accessibility gaps from prior audits or internal reviews are addressed within the scope of the current PI._x000d__x000a__x000d__x000a_ * Key UI components meet minimum color contrast ratios and provide proper focus management._x000d__x000a__x000d__x000a_ * Application is fully navigable via keyboard without loss of functionality._x000d__x000a__x000d__x000a_ * Screen reader users can correctly interpret content structure, labels, and ARIA attributes._x000d__x000a__x000d__x000a_ * QA validation confirms compliance through automated and manual accessibility testing._x000d__x000a__x000d__x000a_ * Documentation is updated to reflect accessibility compliance status and testing results."/>
  </r>
  <r>
    <s v="IRM-40167"/>
    <x v="0"/>
    <x v="0"/>
    <s v="Accessibility Enhancements"/>
    <s v="Accessibility Improvements - HEL (Current PI28)"/>
    <s v="To Do"/>
    <m/>
    <s v="Other"/>
    <x v="0"/>
    <x v="0"/>
    <s v="p1"/>
    <s v="2026-03-31T16:12:39.000+0300"/>
    <s v="pi28_candidate,pi28_p1"/>
    <m/>
    <s v="Accessibility Improvements - HEL (Current PI28)"/>
    <s v="This enabler focuses on improving the accessibility of the Solon Tax application in alignment with recognized standards. Enhancements implemented during this PI aim to ensure that users of all abilities can effectively interact with the system, in compliance with WCAG 2.1 AA and EN 301 549 guidelines._x000d__x000a__x000d__x000a_Enabler includes effort for UI/UX Accessibility Audit activities."/>
    <s v="By implementing accessibility improvements according to WCAG 2.1 AA and EN 301 549, the Solon Tax product becomes more inclusive and compliant with European accessibility requirements. This ensures equal access for all users, enhances user satisfaction, reduces the risk of non-compliance penalties, and strengthens the product's reputation and market reach in the public sector."/>
    <s v="* Accessibility improvements are implemented according to WCAG 2.1 AA and EN 301 549 standards._x000d__x000a__x000d__x000a_ * Identified accessibility gaps from prior audits or internal reviews are addressed within the scope of the current PI._x000d__x000a__x000d__x000a_ * Key UI components meet minimum color contrast ratios and provide proper focus management._x000d__x000a__x000d__x000a_ * Application is fully navigable via keyboard without loss of functionality._x000d__x000a__x000d__x000a_ * Screen reader users can correctly interpret content structure, labels, and ARIA attributes._x000d__x000a__x000d__x000a_ * QA validation confirms compliance through automated and manual accessibility testing._x000d__x000a__x000d__x000a_ * Documentation is updated to reflect accessibility compliance status and testing results."/>
  </r>
  <r>
    <s v="IRM-40165"/>
    <x v="0"/>
    <x v="0"/>
    <s v="Accessibility Enhancements"/>
    <s v="Accessibility Improvements - DAID (Current PI28)"/>
    <s v="To Do"/>
    <n v="32"/>
    <s v="Other"/>
    <x v="0"/>
    <x v="3"/>
    <s v="p1"/>
    <s v="2026-03-31T16:10:07.000+0300"/>
    <s v="pi28_candidate,pi28_p1"/>
    <m/>
    <s v="Accessibility Improvements - DAID (Current PI28)"/>
    <s v="This enabler focuses on improving the accessibility of the Solon Tax application in alignment with recognized standards. Enhancements implemented during this PI aim to ensure that users of all abilities can effectively interact with the system, in compliance with WCAG 2.1 AA and EN 301 549 guidelines._x000d__x000a__x000d__x000a_Enabler includes effort for UI/UX Accessibility Audit activities."/>
    <s v="By implementing accessibility improvements according to WCAG 2.1 AA and EN 301 549, the Solon Tax product becomes more inclusive and compliant with European accessibility requirements. This ensures equal access for all users, enhances user satisfaction, reduces the risk of non-compliance penalties, and strengthens the product's reputation and market reach in the public sector."/>
    <s v="* Accessibility improvements are implemented according to WCAG 2.1 AA and EN 301 549 standards._x000d__x000a__x000d__x000a_ * Identified accessibility gaps from prior audits or internal reviews are addressed within the scope of the current PI._x000d__x000a__x000d__x000a_ * Key UI components meet minimum color contrast ratios and provide proper focus management._x000d__x000a__x000d__x000a_ * Application is fully navigable via keyboard without loss of functionality._x000d__x000a__x000d__x000a_ * Screen reader users can correctly interpret content structure, labels, and ARIA attributes._x000d__x000a__x000d__x000a_ * QA validation confirms compliance through automated and manual accessibility testing._x000d__x000a__x000d__x000a_ * Documentation is updated to reflect accessibility compliance status and testing results."/>
  </r>
  <r>
    <s v="IRM-40159"/>
    <x v="2"/>
    <x v="5"/>
    <s v="Taxpayer Accounting Enhancements"/>
    <s v="Configurability of GL Decision Table - Be able to override by custom application"/>
    <s v="Under Analysis"/>
    <m/>
    <s v="GRC"/>
    <x v="0"/>
    <x v="0"/>
    <s v="p1"/>
    <s v="2026-03-31T15:41:03.000+0300"/>
    <s v="GR,pi28_candidate,pi28_p1"/>
    <m/>
    <s v="Configurability of GL Decision Table - Be able to override by custom application"/>
    <s v="As a configurator I need to be able to bypass using a custom solution the GL decision table mechanism. _x000d__x000a__x000d__x000a_ _x000d__x000a__x000d__x000a_*Functional Requirements*_x000d__x000a_ * Be able to bypass the &quot;getGLAccontCodeDecisions&quot; overriding it by a custom application/adapter._x000d__x000a_ ** Move GL decision Code to Custom BE  as it is now the Allocation custom application._x000d__x000a_ ** Important Note : The GL decision drools supported at that time by product  should be default in installation of the Solon. This will be the default unless projects need to configure it otherwise. _x000d__x000a__x000d__x000a_------------------------------------------------------------------------------------_x000d__x000a__x000d__x000a_*Documentation*_x000d__x000a__x000d__x000a_Please document all updates and implications on this. _x000d__x000a_Of related dtos change we need to report them as breaking changes. _x000d__x000a__x000d__x000a_ _x000d__x000a__x000d__x000a_*Non functional requirements*_x000d__x000a__x000d__x000a_The solution must maintain or improve the product’s:_x000d__x000a__x000d__x000a_*Performance* – large datasets and multi-sheet evaluation must not degrade processing times_x000d__x000a_*Security* – no exposure of sensitive configuration data_x000d__x000a_*Accessibility* – configuration screens and documentation must remain accessible_x000d__x000a_*Usability* – splitting logic must be understandable and maintainable by admins_x000d__x000a_Additionally:_x000d__x000a_The team must collaborate with domain specialists to validate the above._x000d__x000a__x000d__x000a_All Definition of Done ({*}DoD{*}) criteria must be met."/>
    <s v="-"/>
    <s v="* Be able to bypass the &quot;getGLAccontCodeDecisions&quot; overriding it by a custom applicaiton/adapter"/>
  </r>
  <r>
    <s v="IRM-39992"/>
    <x v="0"/>
    <x v="2"/>
    <s v="Usability Enhancements"/>
    <s v="UI/UX Improvements: Design specifics"/>
    <s v="Waiting Analysis Approval"/>
    <n v="133.30000000000001"/>
    <s v="GRC"/>
    <x v="0"/>
    <x v="4"/>
    <s v="p1"/>
    <s v="2026-03-30T14:14:50.000+0300"/>
    <s v="GR,TshirtSize_M,UI/UX_Improvement,pi28_candidate,pi28_p1"/>
    <m/>
    <s v="UI/UX Improvements: Design specifics"/>
    <s v="Design specifics"/>
    <s v="Design specifics"/>
    <s v="Design specifics"/>
  </r>
  <r>
    <s v="IRM-39984"/>
    <x v="0"/>
    <x v="2"/>
    <s v="Usability Enhancements"/>
    <s v="UI/UX Improvements: Improve Table with extra messages"/>
    <s v="Waiting Analysis Approval"/>
    <n v="133.30000000000001"/>
    <s v="GRC"/>
    <x v="0"/>
    <x v="4"/>
    <s v="p1"/>
    <s v="2026-03-30T14:03:27.000+0300"/>
    <s v="GR,TshirtSize_M,UI/UX_Improvement,pi28_candidate,pi28_p1"/>
    <m/>
    <s v="UI/UX Improvements: Improve Table with extra messages"/>
    <s v="Improve Table with extra messages to cover 'No results' or 'Cannot apply search due to restrictions. Select more filters'"/>
    <s v="UX improvements_x000d__x000a_Clear messages to the user"/>
    <s v="Improve Table with extra messages to cover 'No results' or 'Cannot apply search due to restrictions. Select more filters'"/>
  </r>
  <r>
    <s v="IRM-39979"/>
    <x v="0"/>
    <x v="2"/>
    <s v="Usability Enhancements"/>
    <s v="UI/UX Improvements: Search Panels - Reusable in all screens"/>
    <s v="In Design"/>
    <n v="56"/>
    <s v="GRC"/>
    <x v="0"/>
    <x v="5"/>
    <s v="p1"/>
    <s v="2026-03-30T13:57:02.000+0300"/>
    <s v="GR,TshirtSize_S,UI/UX_Improvement,pi28_candidate,pi28_p1"/>
    <m/>
    <s v="UI/UX Improvements: Search Panels - Reusable in all screens"/>
    <s v="Implement top, bottom search panel as per Figma design._x000d__x000a_Implement new title and Add button position"/>
    <s v="Better user experience"/>
    <s v="New search redesign based on Figma design"/>
  </r>
  <r>
    <s v="IRM-39976"/>
    <x v="0"/>
    <x v="2"/>
    <s v="Usability Enhancements"/>
    <s v="UI/UX Improvements: FE extra functionalities - Generic"/>
    <s v="In Design"/>
    <n v="74.7"/>
    <s v="GRC"/>
    <x v="0"/>
    <x v="6"/>
    <s v="p1"/>
    <s v="2026-03-30T13:47:43.000+0300"/>
    <s v="GR,TshirtSize_S,UI/UX_Improvement,pi28_candidate,pi28_p1"/>
    <m/>
    <s v="UI/UX Improvements: FE extra functionalities - Generic"/>
    <s v="1. Provide alternative positioning of filters. Instead of having filters in a drawer or in a collapsible panel inside the table, provide an extra positioning that allows admins to presents filters on top of the table/result list. To test the change, configure one of the entities (e.g. Party) so that filters are grouped in cards and use the new positioning option._x000d__x000a_When this type has been configured, the filters are shown on top of the table and so the original search button ( !screenshot-1.png|thumbnail! ) should not exist._x000d__x000a__x000d__x000a_2. Add expand all / Collapse all buttons to the top level panel. The buttons should expand all cards simultaneously or collapse them all. "/>
    <s v="Extra configurability option to cover more project related needs._x000d__x000a_UX friendly design"/>
    <s v="Search filters should be displayed on top of a table, if configured as such"/>
  </r>
  <r>
    <s v="IRM-39975"/>
    <x v="0"/>
    <x v="2"/>
    <s v="Usability Enhancements"/>
    <s v="UI/UX Improvements - Schema Changes"/>
    <s v="Waiting Analysis Approval"/>
    <n v="133.30000000000001"/>
    <s v="GRC"/>
    <x v="0"/>
    <x v="4"/>
    <s v="p1"/>
    <s v="2026-03-30T13:45:16.000+0300"/>
    <s v="GR,TshirtSize_M,UI/UX_Improvement,pi28_candidate,pi28_p1"/>
    <m/>
    <s v="UI/UX Improvements - Schema Changes"/>
    <s v="TBD"/>
    <s v="-"/>
    <s v="TBD"/>
  </r>
  <r>
    <s v="IRM-39738"/>
    <x v="0"/>
    <x v="6"/>
    <s v="Performance Efficiency Enhancements"/>
    <s v="Reference Data - Implement Enhanced Caching for Reference Data Microservice"/>
    <s v="Waiting Solution Approval"/>
    <n v="80"/>
    <s v="GRC"/>
    <x v="0"/>
    <x v="7"/>
    <s v="p1"/>
    <s v="2026-03-26T11:21:31.000+0200"/>
    <s v="GR,TshirtSize_S,pi28_candidate,pi28_p1"/>
    <m/>
    <s v="Reference Data - Implement Enhanced Caching for Reference Data Microservice"/>
    <s v="We are experiencing severe performance degradation and delays when retrieving reference data. Currently, the system fetches static data from the database for every request, impacting both the UI and BPMN process execution.  The data are mostly static and there is no reason to always fetch it from the DB. _x000d__x000a__x000d__x000a_Requirements: _x000d__x000a_ * Implement a caching layer in the Reference data microservice._x000d__x000a_ * Eliminate redundant DB queries for static datasets._x000d__x000a_ * Cache should persist unless a &quot;data changed&quot; event or manual refresh is triggered._x000d__x000a__x000d__x000a_ _x000d__x000a__x000d__x000a_ _x000d__x000a__x000d__x000a_------------------------------------------------------------------------------------_x000d__x000a__x000d__x000a_*Documentation*_x000d__x000a__x000d__x000a_All configuration options, split strategies, and rule evaluation logic must be fully documented._x000d__x000a__x000d__x000a_Documentation must include (where applicable) :_x000d__x000a_ * Usage and Configuration examples_x000d__x000a_ * Reference implementations_x000d__x000a_ * Operational guidelines , Performance considerations_x000d__x000a__x000d__x000a_ _x000d__x000a__x000d__x000a_*Non functional requirements*_x000d__x000a__x000d__x000a_The solution must maintain or improve the product’s:_x000d__x000a__x000d__x000a_*Performance* – large datasets and multi-sheet evaluation must not degrade processing times_x000d__x000a_*Security* – no exposure of sensitive configuration data_x000d__x000a_*Accessibility* – configuration screens and documentation must remain accessible_x000d__x000a_*Usability* – splitting logic must be understandable and maintainable by admins_x000d__x000a_Additionally:_x000d__x000a_The team must collaborate with domain specialists to validate the above._x000d__x000a__x000d__x000a_All Definition of Done ({*}DoD{*}) criteria must be met."/>
    <s v="Performance issues to be improved. _x000d__x000a_We’ve identified a significant performance bottleneck in the Reference Data Microservice affecting both UI responsiveness and BPMN throughput. Because this data is largely static, we are proposing the implementation of a caching layer. This will prevent unnecessary database round-trips and provide the high-speed responses required for revenue administration tasks."/>
    <s v="* Implement a caching layer in the Reference data microservice._x000d__x000a_ * Eliminate redundant DB queries for static datasets._x000d__x000a_ * Cache should persist unless a &quot;data changed&quot; event or manual refresh is triggered."/>
  </r>
  <r>
    <s v="IRM-39515"/>
    <x v="1"/>
    <x v="3"/>
    <s v="Documentation"/>
    <s v="Tooling | Internal Documents Review Process - DRAFT MR"/>
    <s v="In Design"/>
    <m/>
    <s v="Other"/>
    <x v="1"/>
    <x v="0"/>
    <s v="p3"/>
    <s v="2026-03-22T16:24:03.000+0200"/>
    <s v="NC_Methodology_Tooling,process"/>
    <m/>
    <m/>
    <m/>
    <m/>
    <m/>
  </r>
  <r>
    <s v="IRM-39395"/>
    <x v="2"/>
    <x v="5"/>
    <s v="Taxpayer Accounting Enhancements"/>
    <s v="Enable financial events logging under Org units and Claimants"/>
    <s v="Waiting Analysis Approval"/>
    <n v="533.29999999999995"/>
    <s v="GRC"/>
    <x v="0"/>
    <x v="8"/>
    <s v="p1"/>
    <s v="2026-03-20T15:08:22.000+0200"/>
    <s v="GR,pi28_candidate,pi28_p1"/>
    <m/>
    <s v="Enable financial events logging under Org units and Claimants"/>
    <s v="As a revenue officer I need to be able to log financial transactions under Organization units related party roles and Claimants related party roles, as to be able to log into the system transactions that are related to offset vouchers , Revenue officer departments transfer orders (that are logged as org units) , Performing settlements and transfers with third parties (that are logged as claimants). _x000d__x000a__x000d__x000a_This requirement is requested by GR AADE project. _x000d__x000a__x000d__x000a_ _x000d__x000a__x000d__x000a_*Functional Requirements*_x000d__x000a__x000d__x000a_ _x000d__x000a__x000d__x000a_*Revenue type Administration*_x000d__x000a_ * Admin may define that a revenue type can be used for Organizational Units._x000d__x000a_ * Admin may define that a revenue type can be used for Claimants (that will be the &quot;debtors&quot; or&quot; &quot;creditors&quot; and it is not the same as how claimants are now related with revenue type registrations). _x000d__x000a__x000d__x000a_*Revenue Type Registration*_x000d__x000a_ * The Organizational units (related party roe) may be used as party roles when creating Revenue type Registrations_x000d__x000a_ * The Claimants may be used as party roles when creating Revenue type Registrations_x000d__x000a__x000d__x000a_*Party Role Relationships For Org units*_x000d__x000a__x000d__x000a_- I can relate Org units _x000d__x000a__x000d__x000a_*Financial transactions*_x000d__x000a_ * Revenue type registrations, Obligations, Segments and Financial transactions may be logged under Organizational units._x000d__x000a_ * Revenue type registrations, Obligations, Segments and Financial transactions may be logged under Claimants._x000d__x000a_ * I can see balances under Party role overview page,  Obligations and Bill segments as in relevant pages of Parties as Taxpayers_x000d__x000a_ * Demo Party Role Types : Organization Unit , Claimant _x000d__x000a__x000d__x000a__x000d__x000a_*Demo items:* _x000d__x000a_Party role type for Organizational Units_x000d__x000a_Party role type for Claimants_x000d__x000a_Revenue Type for Organizational Units _x000d__x000a_Relationships Type : Org Type Relation_x000d__x000a__x000d__x000a_------------------------------------------------------------------------------------_x000d__x000a__x000d__x000a_*Documentation*_x000d__x000a__x000d__x000a_All configuration options, split strategies, and rule evaluation logic must be fully documented._x000d__x000a__x000d__x000a_Documentation must include:_x000d__x000a_ * Usage and Configuration examples_x000d__x000a_ * Reference implementations_x000d__x000a_ * Operational guidelines , Performance considerations_x000d__x000a__x000d__x000a_ _x000d__x000a__x000d__x000a_*Non functional requirements*_x000d__x000a__x000d__x000a_The solution must maintain or improve the product’s:_x000d__x000a__x000d__x000a_*Performance* – large datasets and multi-sheet evaluation must not degrade processing times_x000d__x000a_*Security* – no exposure of sensitive configuration data_x000d__x000a_*Accessibility* – configuration screens and documentation must remain accessible_x000d__x000a_*Usability* – splitting logic must be understandable and maintainable by admins_x000d__x000a_Additionally:_x000d__x000a_The team must collaborate with domain specialists to validate the above._x000d__x000a__x000d__x000a_All Definition of Done ({*}DoD{*}) criteria must be met."/>
    <s v="-"/>
    <s v="* Revenue type registrations, Obligations, Segments and Financial transactions may be logged under Organizational units._x000d__x000a_ * Revenue type registrations, Obligations, Segments and Financial transactions may be logged under Claimants._x000d__x000a_ * I can see balances under Party role overview page,  Obligations and Bill segments as in relevant pages of Parties as Taxpayers_x000d__x000a_ * Demo Party Role Types, Revenue Type, Relationship type for Organization Unit , Claimant "/>
  </r>
  <r>
    <s v="IRM-39208"/>
    <x v="0"/>
    <x v="2"/>
    <s v="Usability Enhancements"/>
    <s v="UI Improvements / Initiatives - DAID (Current PI28)"/>
    <s v="To Do"/>
    <m/>
    <s v="Other"/>
    <x v="0"/>
    <x v="0"/>
    <s v="p1"/>
    <s v="2026-03-18T17:20:53.000+0200"/>
    <s v="ACCESSIBILITY,pi28_candidate,pi28_p1"/>
    <m/>
    <s v="UI Improvements / Initiatives - DAID (Current PI28)"/>
    <s v="As an ICARUS team member, I want the technical debt to be addressed right from the start in order to avoid implications and reduce the efforts in the future, so that the product is evolving organically. Additionally, I want to resolve any technical challenges that has risen up, so that methodologies are defined and can be followed. This Enabler gathers up all the technical debt and challenges generated/identified during previous PIs._x000d__x000a__x000d__x000a_!image-2026-03-18-18-23-42-158.png!_x000d__x000a__x000d__x000a_Plus, UI Improvements based on this presentation [https://netcompany-my.sharepoint.com/:p:/r/personal/kspontou_netcompany_com/_layouts/15/Doc.aspx?sourcedoc=%7B8B5942CC-A77D-4DCC-BE94-6E161D8A514C%7D&amp;file=SOLON%20UI.pptx&amp;action=edit&amp;mobileredirect=true]"/>
    <s v="* Proper UI_x000d__x000a_ * Continuous improvement"/>
    <s v="TBD"/>
  </r>
  <r>
    <s v="IRM-39202"/>
    <x v="0"/>
    <x v="1"/>
    <s v="Maintainability Enhancements"/>
    <s v="Improvements / Challenges - DAID (Current PI28)"/>
    <s v="To Do"/>
    <m/>
    <s v="Other"/>
    <x v="0"/>
    <x v="0"/>
    <s v="p1"/>
    <s v="2026-03-18T16:55:18.000+0200"/>
    <s v="pi28_candidate,pi28_p1"/>
    <m/>
    <s v="Improvements / Challenges - DAID (Current PI28)"/>
    <s v="As an ICARUS team member, I want the technical debt to be addressed right from the start in order to avoid implications and reduce the efforts in the future, so that the product is evolving organically. Additionally, I want to resolve any technical challenges that has risen up, so that methodologies are defined and can be followed. This Enabler gathers up all the technical debt and challenges generated/identified during previous PIs._x000d__x000a__x000d__x000a_!image-2026-03-18-18-22-50-346.png!"/>
    <s v="TBD"/>
    <s v="TBD"/>
  </r>
  <r>
    <s v="IRM-39200"/>
    <x v="0"/>
    <x v="6"/>
    <s v="Performance Efficiency Enhancements"/>
    <s v="Performance improvements (Current PI28)"/>
    <s v="To Do"/>
    <n v="160"/>
    <s v="Other"/>
    <x v="0"/>
    <x v="9"/>
    <s v="p1"/>
    <s v="2026-03-18T16:52:18.000+0200"/>
    <s v="No_Doc,PERFORMANCE_EFFICIENCY,pi28_candidate,pi28_p1"/>
    <m/>
    <s v="Performance improvements (Current PI28)"/>
    <s v="As an ICARUS team member and/or user, I want the application to have a good performance, so that I can do my work without hassle and the system be able to process the actions of all users."/>
    <s v="-"/>
    <s v="-"/>
  </r>
  <r>
    <s v="IRM-39187"/>
    <x v="0"/>
    <x v="0"/>
    <s v="Accessibility Enhancements"/>
    <s v="Accessibility Improvements (Current PI28)"/>
    <s v="To Do"/>
    <m/>
    <s v="Other"/>
    <x v="0"/>
    <x v="0"/>
    <s v="p1"/>
    <s v="2026-03-18T16:21:29.000+0200"/>
    <s v="ACCESSIBILITY,pi28_candidate,pi28_p1"/>
    <m/>
    <s v="Accessibility Improvements (Current PI28)"/>
    <s v="This enabler focuses on improving the accessibility of the Solon Tax application in alignment with recognized standards. Enhancements implemented during this PI aim to ensure that users of all abilities can effectively interact with the system, in compliance with WCAG 2.1 AA and EN 301 549 guidelines._x000d__x000a__x000d__x000a_Enabler includes effort for UI/UX Accessibility Audit activities."/>
    <s v="By implementing accessibility improvements according to WCAG 2.1 AA and EN 301 549, the Solon Tax product becomes more inclusive and compliant with European accessibility requirements. This ensures equal access for all users, enhances user satisfaction, reduces the risk of non-compliance penalties, and strengthens the product's reputation and market reach in the public sector."/>
    <s v="* Accessibility improvements are implemented according to WCAG 2.1 AA and EN 301 549 standards._x000d__x000a__x000d__x000a_ * Identified accessibility gaps from prior audits or internal reviews are addressed within the scope of the current PI._x000d__x000a__x000d__x000a_ * Key UI components meet minimum color contrast ratios and provide proper focus management._x000d__x000a__x000d__x000a_ * Application is fully navigable via keyboard without loss of functionality._x000d__x000a__x000d__x000a_ * Screen reader users can correctly interpret content structure, labels, and ARIA attributes._x000d__x000a__x000d__x000a_ * QA validation confirms compliance through automated and manual accessibility testing._x000d__x000a__x000d__x000a_ * Documentation is updated to reflect accessibility compliance status and testing results."/>
  </r>
  <r>
    <s v="IRM-39135"/>
    <x v="3"/>
    <x v="7"/>
    <s v="User &amp; 3rd Party Access Management Enhancements"/>
    <s v="Representations :  Additional info  in Agreements  /RM &amp; SS"/>
    <s v="Waiting Analysis Approval"/>
    <n v="186.7"/>
    <s v="GRC"/>
    <x v="0"/>
    <x v="10"/>
    <s v="p1"/>
    <s v="2026-03-17T18:11:50.000+0200"/>
    <s v="GR,TshirtSize_M,pi28_candidate,pi28_p1"/>
    <m/>
    <s v="Representations :  Additional info  in Agreements  /RM &amp; SS"/>
    <s v="As an admin user, _x000d__x000a_I need to capture the status, source system and integration time of representations defined as to be able to know how the representations were created._x000d__x000a__x000d__x000a_*{color:#ff8b00}CHECK ! Review the LT branch for any implemented functionalities that can be merged into the product. ([https://netcompany.sharepoint.com/sites/NCTMS.GR.LT_TAX/Delte%20dokumenter/Forms/AllItems.aspx?id=%2Fsites%2FNCTMS%2EGR%2ELT%5FTAX%2FDelte%20dokumenter%2F03%2EExecuting%2FImplementation%2FBP03%2FDeliverables&amp;p=true&amp;ga=1)]{color}*    _x000d__x000a__x000d__x000a_{color:#172b4d}_x000d__x000a_*Background*_x000d__x000a__x000d__x000a_Representations are already implemented in the application as . _x000d__x000a_In this features_x000d__x000a_[https://jira.intrasoft-intl.com/browse/IRM-4743] _x000d__x000a_[https://jira.intrasoft-intl.com/browse/IRM-4744]_x000d__x000a_[https://jira.intrasoft-intl.com/browse/IRM-4745] (Subusers)_x000d__x000a_[https://jira.intrasoft-intl.com/browse/IRM-4746]   {color}{+}(Subusers){+}{color:#172b4d}_x000d__x000a_[https://jira.intrasoft-intl.com/browse/IRM-5026] _x000d__x000a_[https://jira.intrasoft-intl.com/browse/IRM-36665] _x000d__x000a_[https://jira.intrasoft-intl.com/browse/IRM-32538]   {color}{color:#172b4d}(data areas and support external systems as in LT branch)_x000d__x000a_Delegations enhancements in [https://jira.intrasoft-intl.com/browse/IRM-38408] {color}_x000d__x000a__x000d__x000a_ _x000d__x000a__x000d__x000a_*Functional requirements*_x000d__x000a__x000d__x000a_ _x000d__x000a__x000d__x000a_*Additional details /fields:* _x000d__x000a_ * Admin and Procedures may log (new fields)_x000d__x000a_&quot;{*}Source system{*}&quot; (As the common cl used in all similar fields in system) , _x000d__x000a_&quot;{*}Purpose{*}&quot; (as in other cases in system) ,  _x000d__x000a_&quot;{*}External created datetime{*}&quot; (as in parties)_x000d__x000a_*&quot;Requested by External system&quot;* , boolean  (to be used ERP system sends an authorization request)  _x000d__x000a_in {*}Agreements{*},  *Agreements services* , {*}user rights{*}, *party role relationships* (most already available) and any other record that defines representations._x000d__x000a_ * Source System , purpose, external dt fields are *optional.*_x000d__x000a_It is suggested to define a default value for the &quot;Source System&quot;._x000d__x000a_ * System will generate timestamps :  &quot;{*}Created datetime{*}&quot; , &quot;{*}Last modified date time{*}&quot; ,  in {*}Agreements{*},  *Agreements services* , {*}user rights{*}, *party role relationships* (most already available) _x000d__x000a_(see already implemented parts in  [https://jira.intrasoft-intl.com/browse/IRM-32538]  ) _x000d__x000a_ * Admin and users  may search and filter items per Source system, Requested by External system and Create/Modified date time. _x000d__x000a__x000d__x000a_ _x000d__x000a__x000d__x000a_ _x000d__x000a__x000d__x000a_*Versioning*_x000d__x000a_ * Changes should be logged in Audit log._x000d__x000a__x000d__x000a_ _x000d__x000a__x000d__x000a_ _x000d__x000a__x000d__x000a_ _x000d__x000a__x000d__x000a_*Documentation*_x000d__x000a_Document all the above adjustments. _x000d__x000a__x000d__x000a_ _x000d__x000a__x000d__x000a_*Non functional requirements*_x000d__x000a_It is expected team to get aligned with respective teams and reassure that is not creating issues or the related NFRs will be tested :_x000d__x000a_Performance , Security, Accessibility, Usability _x000d__x000a_DODs should be fulfilled._x000d__x000a__x000d__x000a_ "/>
    <s v="If the system captures and stores metadata such as Source System, Purpose, Created Datetime, and Last Modified Datetime for agreements, agreement services, user rights, party role relationships, and other representation-defining records, then administrators will gain full visibility into how and where representations were defined, resulting in improved traceability, stronger auditability, better integration governance, and faster issue resolution."/>
    <s v="# Admin and Procedures may log &quot;{*}Source system{*}&quot; (As the common cl used in all similar fields in system) , &quot;{*}Purpose{*}&quot; (as in other cases in system) ,  &quot;{*}External created datetime{*}&quot; , _x000d__x000a_ # *&quot;Requested by External system&quot;* , boolean_x000d__x000a_ #  in {*}Agreements{*},  *Agreements services* , {*}user rights{*}, *party tole relationships* (most already available) and any other record that defines representations._x000d__x000a_ # Source System , purpose, external dt fields are *optional.* Suggested to define a default value for the &quot;Source System&quot;._x000d__x000a_ # System will generate &quot;{*}Created datetime{*}&quot; , &quot;{*}Last modified date time{*}&quot; ,  in {*}Agreements{*},  *Agreements services* , {*}user rights{*}, *party tole relationships* (most already available) and any other record that defines representations. _x000d__x000a_ # Admin and users  may search and filter items per Source system and Create/Modified date time, Requested by External system."/>
  </r>
  <r>
    <s v="IRM-39131"/>
    <x v="0"/>
    <x v="8"/>
    <s v="Security Enhancements"/>
    <s v="Data Security - Restrict Access to Personal Data GDPR- Admin (based on data classifications) - Part 3/4"/>
    <s v="Under Analysis"/>
    <n v="141.30000000000001"/>
    <s v="Other"/>
    <x v="0"/>
    <x v="11"/>
    <s v="p2"/>
    <s v="2026-03-17T16:51:22.000+0200"/>
    <s v="pi28_candidate,pi28_p2"/>
    <m/>
    <s v="Data Security - Restrict Access to Personal Data GDPR- Admin (based on data classifications) - Part 3/4"/>
    <s v="As an admin, I want to restrict access to sensitive personal data types in logs that are visible by users, so that only users that have a legitimate reason to access this data are granted access and unauthorized access to this data is prevented._x000d__x000a__x000d__x000a_ _x000d__x000a__x000d__x000a_*Functional Requirements*_x000d__x000a__x000d__x000a_ _x000d__x000a_ * {color:#172b4d}Admin should be able to remove (masking or removing record visibility)  access of records based on classification levels, from logs: {color}_x000d__x000a_ ** {color:#172b4d}Security (if non the debug level) {color}_x000d__x000a_ ** {color:#172b4d}Audit, {color}_x000d__x000a_ ** {color:#172b4d}Access logs_x000d__x000a__x000d__x000a_{color}{color:#172b4d}Exceptions{color}_x000d__x000a_ ** {color:#172b4d}As per analysis of IRM-29512 - Audit logging/Access log Holistic approach,  on details collected of A document _x000d__x000a_&quot;Major    The enrichment of log data (REQ-003) and extensibility (REQ-004) directly address security requirements. However, this introduces a major risk of logging sensitive data that requires the delivery teams to carefully analyze and implement custom logging elements.&quot; _x000d__x000a_Audit log sensitive data should be managed. {color}_x000d__x000a__x000d__x000a_ _x000d__x000a__x000d__x000a_*Documentation*_x000d__x000a_Document all the above adjustments. _x000d__x000a__x000d__x000a_ _x000d__x000a__x000d__x000a_*Non functional requirements*_x000d__x000a_It is expected to reassure that relevant NFRs (Performance , Security, Accessibility, Usability ) are tested and are not negatively affecting the product.  _x000d__x000a_DODs should be fulfilled. "/>
    <s v="-"/>
    <s v="# As per analysis of IRM-29512 - Audit logging/Access log Holistic approach,  on details collected of A document ,_x000d__x000a_&quot;Major    The enrichment of log data (REQ-003) and extensibility (REQ-004) directly address security requirements. _x000d__x000a_However, this introduces a major risk of logging sensitive data that requires the delivery teams to carefully analyze and implement custom logging elements.&quot;_x000d__x000a_ # Audit log sensitive data should be managed. Audit logs generated by the system correctly mask any sensitive data fields."/>
  </r>
  <r>
    <s v="IRM-39113"/>
    <x v="0"/>
    <x v="8"/>
    <s v="Security Enhancements"/>
    <s v="Data Security - Define Access per user access group per classification level - Part 2/4"/>
    <s v="Waiting Analysis Approval"/>
    <n v="141.30000000000001"/>
    <s v="Other"/>
    <x v="0"/>
    <x v="11"/>
    <s v="p2"/>
    <s v="2026-03-17T13:23:44.000+0200"/>
    <s v="pi28_candidate,pi28_p2"/>
    <m/>
    <s v="Data Security - Define Access per user access group per classification level - Part 2/4"/>
    <s v="As a revenue authority admin I need to be able to define the permissions per classification level per user access groups, as I need to govern the functionality of [https://jira.intrasoft-intl.com/browse/IRM-20329] _x000d__x000a__x000d__x000a_ _x000d__x000a__x000d__x000a_*Functional Requirements*_x000d__x000a__x000d__x000a_ _x000d__x000a_ * {color:#172b4d}Define Classification permissions per user User Access Group_x000d__x000a_Admin may define per user access group and classification level (Sensitive, Personal , etc.) the permission levels{color}_x000d__x000a_ * {color:#172b4d}Example: {color}_x000d__x000a_||User Access Group||Classification Level||Permissions|| Mode ||_x000d__x000a_|RegistryOfficers|Sensitive|Read, Search, Update| Masked|_x000d__x000a_|IT|Personal|None|non visible|_x000d__x000a_|Admin|Sensitive|ALL| |_x000d__x000a__x000d__x000a_ * UI should be available in RM for admin to define these permissions. _x000d__x000a__x000d__x000a_ _x000d__x000a__x000d__x000a_*Documentation*_x000d__x000a_Document all the above adjustments. _x000d__x000a__x000d__x000a_ _x000d__x000a__x000d__x000a_*Non functional requirements*_x000d__x000a_It is expected to reassure that relevant NFRs (Performance , Security, Accessibility, Usability ) are tested and are not negatively affecting the product.  _x000d__x000a_DODs should be fulfilled. "/>
    <s v="-"/>
    <s v="Admin may define per user access group and classification level (Sensitive, Personal , etc.) the permission levels"/>
  </r>
  <r>
    <s v="IRM-39021"/>
    <x v="2"/>
    <x v="9"/>
    <s v="Tax Accounts Enhancements"/>
    <s v="Export Filtered List Table to Excel /GL Accounts  List pages"/>
    <s v="To Do"/>
    <n v="266.7"/>
    <s v="Other"/>
    <x v="2"/>
    <x v="12"/>
    <s v="p1"/>
    <s v="2026-03-16T09:55:26.000+0200"/>
    <s v="pi29_candidate,pi29_p1"/>
    <m/>
    <s v="Export Filtered List Table to Excel /GL Accounts  List pages"/>
    <s v="As a revenue authority officer I need to be able to export list of GL Accounts with filters as selected in GL Accounts list view. _x000d__x000a_(Export similar to  [https://jira.intrasoft-intl.com/browse/IRM-29306] )_x000d__x000a__x000d__x000a_ _x000d__x000a__x000d__x000a_*Functional Rquirements*_x000d__x000a_ - In  GL Accounts List Page, user is able to filter GL accounts , and then easily click to export the list in excel file. _x000d__x000a_Same mechanism is now used in Parties list page_x000d__x000a__x000d__x000a_ _x000d__x000a__x000d__x000a_------------------------------------------------------------------------------------_x000d__x000a__x000d__x000a_*Documentation*_x000d__x000a__x000d__x000a_All configuration options, split strategies, and rule evaluation logic must be fully documented._x000d__x000a__x000d__x000a_Documentation must include (where applicable) :_x000d__x000a_ * Usage and Configuration examples_x000d__x000a_ * Reference implementations_x000d__x000a_ * Operational guidelines , Performance considerations_x000d__x000a__x000d__x000a_ _x000d__x000a__x000d__x000a_*Non functional requirements*_x000d__x000a__x000d__x000a_The solution must maintain or improve the product’s:_x000d__x000a__x000d__x000a_*Performance* – large datasets and multi-sheet evaluation must not degrade processing times_x000d__x000a_*Security* – no exposure of sensitive configuration data_x000d__x000a_*Accessibility* – configuration screens and documentation must remain accessible_x000d__x000a_*Usability* – splitting logic must be understandable and maintainable by admins_x000d__x000a_Additionally:_x000d__x000a_The team must collaborate with domain specialists to validate the above._x000d__x000a__x000d__x000a_All Definition of Done ({*}DoD{*}) criteria must be met."/>
    <s v="By expanding the export functionality beyond just the visible rows on the screen, users will: Save time by avoiding repetitive manual copy/paste.  Be able to analyze complete filtered datasets, not just UI subsets. Increase efficiency and productivity in reporting, reconciliation, and data analysis tasks."/>
    <s v="- Enable Exporting List Views filtered results functionality, as applied in Registration. "/>
  </r>
  <r>
    <s v="IRM-38899"/>
    <x v="2"/>
    <x v="9"/>
    <s v="Tax Accounts Enhancements"/>
    <s v="Support Tax Account Overview Page in the Single Taxpayer Overview"/>
    <s v="In Design"/>
    <n v="141.30000000000001"/>
    <s v="GTM"/>
    <x v="0"/>
    <x v="11"/>
    <s v="p1"/>
    <s v="2026-03-12T13:34:52.000+0200"/>
    <s v="GTM,pi28_candidate,pi28_p1"/>
    <m/>
    <s v="Support Tax Account Overview Page in the Single Taxpayer Overview"/>
    <s v="As a revenue officer, I want to have an overview of the financial transactions for a revenue type registration that represents a tax account, so that I can see an aggregated, holistic and coherent representation of the financial data of the the tax account in a specificied reconciliation period. _x000d__x000a__x000d__x000a_*Introduction*_x000d__x000a__x000d__x000a_This feature describes the functional business requirements for a new single taxpayer overview page within Solon Tax, named the &quot;Tax Account Overview&quot;. This new feature will introduce a period-centric overview. It will aggregate and present all financial transactions (FTs) related to a selected _reconciliation period(s)_ for a given revenue type registration, providing an immediate, consolidated view of that period's financial status. _x000d__x000a__x000d__x000a_The purpose of this page is to provide a consolidated view of all Financial Transactions (FTs) associated with a specific reconciliation period for a taxpayer's Tax Account._x000d__x000a__x000d__x000a_Currently, while Solon Tax supports the concept of a Tax Account ({{{}Skattekonto{}}}) and links Financial Transactions to reconciliation periods, there is no dedicated user interface that presents this information in a single, easily accessible view. This feature will bridge that gap, improving visibility and efficiency for Revenue Authority users managing these accounts._x000d__x000a__x000d__x000a_As a reference countries that &quot;Tax Account&quot; is most prevalent in Europe, particularly in Scandinavia and the Nordics, which are global leaders in e-government. _x000d__x000a__x000d__x000a_Currently implementation exists for the &quot;Single Taxpayer Overview&quot; pages, often refered to as 360 View, where a &quot;Taxpayer Financial Overview&quot; exists and can be used as reference. Particularly the last accordion of this page referred as &quot; Financial Details per Financial Transaction&quot;. This is a page where all financial transactions for all revenue types are displayed and not only Tax Account that is the scope of this feature. _x000d__x000a__x000d__x000a_*Functional Requirements*_x000d__x000a_h4. Navigation_x000d__x000a__x000d__x000a_A new redirect link shall be introduced on the *Revenue Type Registration (RTR)* page._x000d__x000a_ * This link shall only be visible for RTRs that are configured as a &quot;Tax Account&quot; (i.e., where the {{isTaxAccount}} flag on the associated Revenue Type is true)._x000d__x000a_ * The link will navigate the user to the new &quot;Tax Account Overview&quot; page, passing the context of the current RTR and the selected reconciliation period._x000d__x000a_ * Assumption is that the existing link from the party role will continue to function as is with the additional view in scope of this feature for the Tax Account. _x000d__x000a__x000d__x000a_h4. Page Content and Layout_x000d__x000a__x000d__x000a_The &quot;Tax Account Overview&quot; page will contain the following elements:_x000d__x000a_ * *Filters:* User should be able to filter the following information:_x000d__x000a__x000d__x000a_ * _x000d__x000a_ ** Reconciliation Period Filter_x000d__x000a_ ** From: 01/01/2026 _x000d__x000a_ ** To: 31/01/2026 or To: 31/03/2026, meaning more than one reconciliation periods can be selected. _x000d__x000a__x000d__x000a_ _x000d__x000a_ * *&quot;Update P&amp;I&quot; Button:* User should be able to see and select the &quot;Update P&amp;I&quot; button where he/she can enter the &quot;RECALCULATEFROMDATE&quot; to run Penalty &amp; Interest. _x000d__x000a__x000d__x000a_ * *Financial Transactions Table:* A table displaying all Financial Transactions linked to the selected reconciliation period for the given Tax Account. The table should be read-only and provide standard functionalities like sorting, pagination and Column Configurator. The table should start with an opening balance for the period selected and end with the closing balance. _x000d__x000a__x000d__x000a_Opening Balance of a period should be equal to the closing balance of the previous period. Opening balance should be the running balance of all financial transactions prior to date from selected in the filters. _x000d__x000a__x000d__x000a_Closing Balance of a period is the running balance and should be equal to the Opening of that period plus any financial transaction related to that period such as debts, payments (both allocated and unallocated), interests, write offs, refunds... _x000d__x000a__x000d__x000a_Available Columns (data) for FTs should be:  _x000d__x000a_ * Creation Date_x000d__x000a_ * Effective Date (eg. Period Reference - Period the debt/payment refers to)_x000d__x000a_ * Accounting Date _x000d__x000a_ * Origin _x000d__x000a_ * FT ID_x000d__x000a_ * Revenue Type _x000d__x000a_ * FT Type _x000d__x000a_ * Posting Reason_x000d__x000a_ * Liability Balance _x000d__x000a_ * Running Balance_x000d__x000a__x000d__x000a_Please refer to the attached example_updated for a comprehensive view of the Tax Account Overview page._x000d__x000a_h3. Assumptions &amp; Dependencies_x000d__x000a_ * The Revenue Type entity has a configurable attribute to designate it as a &quot;Tax Account.&quot;_x000d__x000a_ * The Financial Transaction entity has an attribute ({{{}reconciliationPeriodCode{}}}) to link it to a specific Reconciliation Period._x000d__x000a__x000d__x000a_*Key features highlighted in this view:*_x000d__x000a_ * *Opening Balance:* The view starts with the &quot;Opening Balance&quot; showing the tax account's debt from before the selected period._x000d__x000a_ * *Running Balance:* A column shows the balance after every single transaction, which is crucial for analysis._x000d__x000a_ * *Detailed Descriptions:* Transactions are clearly labeled (e.g., &quot;Payroll Tax Assessment,&quot; &quot;Payment Received&quot;)._x000d__x000a_ * *Period Reference:* A column links a transaction back to the original tax period it relates to (e.g., Q4-2025), which is vital for an officer's investigation._x000d__x000a__x000d__x000a_ _x000d__x000a__x000d__x000a_*Non functional requirements*_x000d__x000a_It is expected team to get aligned with respective teams and reassure that is not creating issues or the related NFRs will be tested :_x000d__x000a_Performance , Security, Accessibility, Usability _x000d__x000a_DODs should be fulfilled._x000d__x000a__x000d__x000a_More over related to performance the team is expected to provide a solution on how the opening balance will be retrieved considering all past debts. Note that past debts may be related to periods, that may differ per revenue authority, for the last 10 years for example. "/>
    <s v="This will provide Revenue Authority users with a clear, consolidated view of all financial activities within a specific reconciliation period for a taxpayer's Tax Account, improving efficiency and accuracy."/>
    <s v="* When I am on a revenue type registration for a Tax Account, I can see and click a &quot;View Tax Account Overview&quot; link for that RTR, more details specified in the functional requirements._x000d__x000a_ * After clicking the link, I am navigated to a new page titled &quot;Tax Account Overview&quot; for that Tax Account._x000d__x000a_ * As a User I am able to filter the from and to reconciliation periods I am interested to see financial transactions for, more details specified in the functional requirements. _x000d__x000a_ * User should be able to see in the UI a Table with financial transactions is updated with an opening and closing balance as per attached example_updated and functional requirements in this feature, more details specified in the functional requirements._x000d__x000a_ * User should be able to see and select the &quot;Update P&amp;I&quot; button where he/she can enter the &quot;RECALCULATEFROMDATE&quot; to run Penalty &amp; Interest. "/>
  </r>
  <r>
    <s v="IRM-38847"/>
    <x v="0"/>
    <x v="8"/>
    <s v="Security Enhancements"/>
    <s v="Data Security - Restrict Access to Personal Data GDPR- Admin (based on data classifications) - Encrypt/decrypt -  Part 4/4"/>
    <s v="To Do"/>
    <n v="141.30000000000001"/>
    <s v="Other"/>
    <x v="2"/>
    <x v="11"/>
    <s v="p3"/>
    <s v="2026-03-11T16:58:32.000+0200"/>
    <s v="SECURITY,pi28_candidate,pi28_p3"/>
    <m/>
    <s v="Data Security - Restrict Access to Personal Data GDPR- Admin (based on data classifications) - Encrypt/decrypt -  Part 4/4"/>
    <s v="cont, [https://jira.intrasoft-intl.com/browse/IRM-20329] _x000d__x000a_depends on https://jira.intrasoft-intl.com/browse/IRM-20328 _x000d__x000a__x000d__x000a_As an admin, I want to restrict access to sensitive personal data, so that only users that have a legitimate reason to access this data are granted access and unauthorized access to this data is prevented._x000d__x000a__x000d__x000a_*Introduction*_x000d__x000a__x000d__x000a_This feature is related to the epic IRM-3106 in which requirements have been documented to secure the information in the revenue management system from unauthorized access._x000d__x000a__x000d__x000a_This feature is related to IRM-30322 in which requirements have been documented to classify fields (or characteristics or categories of attachments) in the application as fields that contain non-personal, personal or sensitive personal data GDPR. However, not each field that has been classified to contain (sensitive) personal data will always contain personal data, as these fields (e.g. identifier or address fields) may also be used to record data for parties that are not natural persons. Only if the data in these fields is related to a natural person (see IRM-20315), it can be considered personal data. Exception to this rule is data that cannot be related to or has not yet been related to a specific party, such as data in forms, uploaded payment data or messages in the message store that cannot or not yet be related to a specific party. This data should be considered personal if the data has been classified as such._x000d__x000a__x000d__x000a_*Functional Requirements*_x000d__x000a_ * Admin can choose to show or hide encrypted personal data on the user interface for users that do not have access to the decrypted sensitive personal data_x000d__x000a_ * Admin can define that decrypted personal data is shown on the user interface for users that do have access to the decrypted sensitive personal data_x000d__x000a_ * {color:#172b4d}Admin should be able to encrypt personal data details from logs (audit)/exception/message store , data areas, notes, forms, cases/ human task comments.{color}_x000d__x000a__x000d__x000a_ _x000d__x000a__x000d__x000a_*Documentation*_x000d__x000a_Document all the above adjustments. _x000d__x000a__x000d__x000a_ _x000d__x000a__x000d__x000a_*Non functional requirements*_x000d__x000a_It is expected to reassure that relevant NFRs (Performance , Security, Accessibility, Usability ) are tested and are not negatively affecting the product.  _x000d__x000a_DODs should be fulfilled. "/>
    <s v="Enabling administrators to restrict access to sensitive personal data based on defined classifications will significantly strengthen data privacy, compliance, and governance within Solon Tax. By allowing granular control over who can read, update, or delete personal data—either via the UI or APIs—organizations can enforce data protection policies aligned with legal and regulatory requirements (e.g., GDPR). The ability to configure whether restricted information is masked, encrypted, or hidden entirely enhances both transparency and control. Additionally, extending data privacy protections to logs, messages, and other data sources ensures that sensitive details are not inadvertently exposed, even during exception handling or auditing. This functionality will reduce the risk of unauthorized data access, support compliance, and build greater trust with end users and stakeholders."/>
    <s v="* Admin can restrict who can read, update and delete sensitive personal data via the user interface or directly via services)_x000d__x000a_ * Admin can define if restricted information will be visible as masked/encrypted info or not visible at all._x000d__x000a_ * {color:#172b4d}Admin should be able to encrypt personal data details from logs (audit)/exception/message store , data areas, notes, forms, cases/ human task comments. Additionally logs of auxiliary components should be examined. {color}_x000d__x000a__x000d__x000a_See functional and non-functional requirements"/>
  </r>
  <r>
    <s v="IRM-38784"/>
    <x v="0"/>
    <x v="2"/>
    <s v="Usability Enhancements"/>
    <s v="UI- New Solon Look and Feel (waiting new designs)"/>
    <s v="To Do"/>
    <n v="1066.7"/>
    <s v="Other"/>
    <x v="2"/>
    <x v="13"/>
    <s v="p3"/>
    <s v="2026-03-11T10:52:18.000+0200"/>
    <s v="UI/UX_Improvement,pi29_candidate,pi29_p3"/>
    <m/>
    <s v="UI- New Solon Look and Feel (waiting new designs)"/>
    <s v="Solon Product Look and feel to be updated and upgraded with new _x000d__x000a__x000d__x000a_Branding assets_x000d__x000a__x000d__x000a_Typography_x000d__x000a__x000d__x000a_Palettes_x000d__x000a__x000d__x000a_fields etc_x000d__x000a__x000d__x000a_More details to be added once we have final designs"/>
    <s v=".."/>
    <s v="-"/>
  </r>
  <r>
    <s v="IRM-38759"/>
    <x v="4"/>
    <x v="10"/>
    <s v="Reference Implemenation - VAT"/>
    <s v="VAT Tax Account Reference Implementation"/>
    <s v="HLD"/>
    <n v="127"/>
    <s v="GTM"/>
    <x v="0"/>
    <x v="14"/>
    <s v="p1"/>
    <s v="2026-03-10T18:34:43.000+0200"/>
    <s v="GTM,pi28_candidate,pi28_p1"/>
    <m/>
    <s v="VAT Tax Account Reference Implementation"/>
    <s v="As a revenue officer, I would like to add debts and payments to a tax account, so that I am able to demo how Solon supports a VAT account (i.e., Tax Account only for VAT)._x000d__x000a__x000d__x000a_*Introduction* _x000d__x000a__x000d__x000a_This feature aims to create the necessary configuration for a Tax Account reference imp[lementation. The Overview of the Tax Account that is needed in all implementations using a Tax Account is in scope of feature ... _x000d__x000a__x000d__x000a_*Functional Requirements*_x000d__x000a__x000d__x000a_*Core Configuration Requirements*_x000d__x000a_ # *Revenue Type Configuration*_x000d__x000a__x000d__x000a_ * *&quot;VAT for Tax Account&quot; Revenue Type* with flags:_x000d__x000a_ * taxAccount: true - Enable tax account functionality_x000d__x000a_ * reconciliationPeriod: true - Enable reconciliation period support_x000d__x000a__x000d__x000a_ * {*}Revenue Type Category{*}: PERIODIC_x000d__x000a_ * {*}Revenue Type Actions{*}: FILING, PAYMENT_x000d__x000a_ * {*}Calendar Integration{*}: Link to appropriate revenue calendars{*}{{*}}_x000d__x000a__x000d__x000a_ _x000d__x000a_ * *&quot;VAT for Tax Account Ad hoc&quot; Revenue Type* with flags:_x000d__x000a__x000d__x000a_ * _x000d__x000a_ ** taxAccount: true - Enable tax account functionality_x000d__x000a_ ** reconciliationPeriod: true - Enable reconciliation period support_x000d__x000a__x000d__x000a_ * {*}Revenue Type Category{*}: Ad Hoc_x000d__x000a_ * {*}Revenue Type Actions{*}: PAYMENT_x000d__x000a__x000d__x000a_ _x000d__x000a_ # *Reconciliation Period Management*_x000d__x000a__x000d__x000a_ * *Reconciliation Period Entity* configuration with:_x000d__x000a_ * Period codes (e.g., &quot;2024M1&quot;, &quot;2024M2&quot;)_x000d__x000a_ * Start and end dates for each period_x000d__x000a_ * Active/Inactive status management_x000d__x000a__x000d__x000a_ * *Revenue Type Registration Reconciliation Period* linking:_x000d__x000a_ * Opening and closing balances per period_x000d__x000a_ * Party informed indicator_x000d__x000a__x000d__x000a_ # *Financial Transaction-Reconciliation period*_x000d__x000a__x000d__x000a_ * {*}FT Reconciliation Period Link{*}: Enable FTs to reference reconciliation periods_x000d__x000a_ * {*}Automatic Period Assignment{*}: Link FTs to reconciliation periods based on creation date_x000d__x000a_ * {*}Validation Rules{*}: Ensure only revenue types with reconciliationPeriod: true can link to periods_x000d__x000a__x000d__x000a_ # *Tax Account UI Configuration*_x000d__x000a__x000d__x000a_ * {*}Specialized UI Schema{*}: entitySubType: 'TaxAcc_RP' for Revenue Type Registration_x000d__x000a_ * {*}Balance Display{*}: Show opening/closing balances per reconciliation period_x000d__x000a_ * {*}Period Timeline{*}: Visual representation of reconciliation periods_x000d__x000a_ * {*}Balance Update Interface{*}: Enable manual balance adjustments with audit trail_x000d__x000a__x000d__x000a_*Business Process Requirements*_x000d__x000a_ # *Balance Management*_x000d__x000a__x000d__x000a_ * {*}Opening Balance Recording{*}: Support initial balance entry per reconciliation period_x000d__x000a_ * {*}Closing Balance Calculation{*}: Automatic calculation based on transactions and adjustments_x000d__x000a_ * {*}Balance Transfer{*}: Opening balance of next period equals closing balance of previous period_x000d__x000a_ * {*}Manual Adjustments{*}: Allow authorized balance corrections with proper validation_x000d__x000a__x000d__x000a_ # *Debt and Payment Processing*_x000d__x000a__x000d__x000a_ * {*}Debt Recording{*}: Create financial transactions for VAT liabilities_x000d__x000a_ * {*}Payment Processing{*}: Record and allocate VAT payments to specific periods_x000d__x000a_ * {*}Cross-Period Allocation{*}: Support payment allocation across multiple reconciliation periods_x000d__x000a_ * {*}Interest and Penalty Calculation{*}: Apply to overdue amounts per period_x000d__x000a__x000d__x000a_ _x000d__x000a__x000d__x000a_*Documentation*_x000d__x000a_Document all the above configuration for introducing a reference implementation for the Tax Account is vital for Demos and future implementation needs. _x000d__x000a__x000d__x000a_ _x000d__x000a__x000d__x000a_ "/>
    <s v="By enhancing Solon Tax with a reference implementation for VAT Tax Account functionality, we will enable revenue officers to efficiently manage VAT debts and payments through reconciliation periods, providing a comprehensive demonstration of Solon Tax's capability to support requirements for VAT Tax Account."/>
    <s v="• Revenue Type VAT is configured with both taxAccount and reconciliationPeriod flags enabled_x000d__x000a_• Reconciliation periods can be created, updated, and linked to VAT revenue type registrations_x000d__x000a_• Financial transactions automatically link to appropriate reconciliation periods based on creation date_x000d__x000a_• Opening and closing balances can be recorded and maintained per reconciliation period_x000d__x000a_• Tax Account UI displays comprehensive period timeline with balance information_x000d__x000a_• Revenue officers can add debts (assessments) and record payments against specific reconciliation periods_x000d__x000a_• Balance calculations are accurate across period boundaries_x000d__x000a_• Party informed status can be tracked and updated per reconciliation period_x000d__x000a_• System validates that only reconciliation-period-enabled revenue types support period functionality_x000d__x000a_• Audit trail captures all balance changes and period-related activities_x000d__x000a__x000d__x000a_Documentation on the configuration guide for the necessary configuration needed to have the reference implementation of the Tax Account up and running. "/>
  </r>
  <r>
    <s v="IRM-38710"/>
    <x v="4"/>
    <x v="10"/>
    <s v="Reference Implemenation - VAT"/>
    <s v="VAT Return Form - Warning for Intracommunity Transaction Enhancement"/>
    <s v="Waiting Analysis Approval"/>
    <n v="26.7"/>
    <s v="GTM"/>
    <x v="0"/>
    <x v="15"/>
    <s v="p2"/>
    <s v="2026-03-10T13:32:23.000+0200"/>
    <s v="GTM,pi28_candidate,pi28_p2"/>
    <m/>
    <s v="VAT Return Form - Warning for Intracommunity Transaction Enhancement"/>
    <s v="As a RM User, I would like to see a warning when I fill in intracommunity transaction fields in the VAT Return Form, so that I am informed of my obligations to submit the corresponding VIES Statement in the respective deadline._x000d__x000a__x000d__x000a_*Introduction* _x000d__x000a__x000d__x000a_This feature enhances the VAT Return Form by implementing a warning mechanism for intracommunity transactions. The enhancement includes field label corrections to enhance understanding of these fields and a business-critical warning to ensure taxpayers comply with VIES Statement submission requirements. _x000d__x000a__x000d__x000a_ _x000d__x000a__x000d__x000a_*Functional Requirements*_x000d__x000a__x000d__x000a_*Field Label Corrections*_x000d__x000a_The following field labels in the VAT Return Form will be renamed to accurately reflect their purpose:_x000d__x000a__x000d__x000a_VAT on Sales Section:_x000d__x000a__x000d__x000a_TOTAL SALES BUYER OBLIGATED → Intracommunity Sales_x000d__x000a_TOTAL SALES BUYER NOT OBLIGATED → Intracommunity Sales without VAT_x000d__x000a_VAT on Purchases Section:_x000d__x000a__x000d__x000a_TOTAL PURCHASES BUYER OBLIGED FOR VAT → Intracommunity Purchases_x000d__x000a_TOTAL PURCHASES BUYER NOT OBLIGED FOR VAT → Intracommunity Purchases without VAT_x000d__x000a__x000d__x000a__x000d__x000a__x000d__x000a_*Warning Implementation*_x000d__x000a_When any of the intracommunity transaction fields contain values, the system shall display a warning message:_x000d__x000a__x000d__x000a_Warning Message:_x000d__x000a__x000d__x000a_&quot;For these transactions, in addition to the VAT return, you are required to submit the corresponding *VIES Statement* by the 25th day of the following month.&quot;_x000d__x000a__x000d__x000a_Warning Behavior:_x000d__x000a_ * Warning appears when any intracommunity field has a non-zero value_x000d__x000a_ * User can proceed with form submission despite the warning_x000d__x000a_ * Warning persists until form is submitted or fields are cleared"/>
    <s v="This enhancement aims to showcase an example of Solon Tax capability for warnings. Business case aims to reduce taxpayer compliance errors by providing clear field labeling and proactive warnings about VIES Statement obligations."/>
    <s v="h3. Field Label Updates_x000d__x000a__x000d__x000a_All four intracommunity transaction fields display updated labels as specified below: _x000d__x000a__x000d__x000a_VAT on Sales Section:_x000d__x000a__x000d__x000a_{{TOTAL SALES BUYER OBLIGATED}} → *{{Intracommunity Sales}}*_x000d__x000a__x000d__x000a_{{TOTAL SALES BUYER NOT OBLIGATED}} → *{{Intracommunity Sales without VAT}}*_x000d__x000a_VAT on Purchases Section:_x000d__x000a__x000d__x000a_{{TOTAL PURCHASES BUYER OBLIGED FOR VAT}} → *{{Intracommunity Purchases}}*_x000d__x000a__x000d__x000a_{{TOTAL PURCHASES BUYER NOT OBLIGED FOR VAT}} → *{{Intracommunity Purchases without VAT}}*_x000d__x000a_ * Labels are consistent across all form views (edit, read-only, validation)_x000d__x000a_ * Field functionality remains unchanged - only labels are updated_x000d__x000a__x000d__x000a_h3. Warning Implementation_x000d__x000a__x000d__x000a_When any of the intracommunity transaction fields contain values, the system shall display a warning message:_x000d__x000a__x000d__x000a_*Warning Message:*_x000d__x000a_{quote}&quot;For these transactions, in addition to the VAT return, you are required to submit the corresponding *VIES Statement* by the 25th day of the following month.&quot;_x000d__x000a_{quote}_x000d__x000a_h3. Warning Display Logic_x000d__x000a_ * Warning appears when any intracommunity field (Amount or Adjustment) contains non-zero values_x000d__x000a_ * Warning message displays the exact text specified above with &quot;{*}VIES Statement{*}&quot; in bold_x000d__x000a_ * Warning is classified as a warning (not error) allowing form submission to proceed_x000d__x000a_ * No impact on existing form functionality or performance_x000d__x000a__x000d__x000a_h3. Warning Persistence_x000d__x000a_ * Warning remains visible throughout form editing session_x000d__x000a_ * Warning disappears when all intracommunity fields are cleared/set to zero_x000d__x000a_ * Warning does not prevent form validation, saving, or submission_x000d__x000a__x000d__x000a_h3. User Experience_x000d__x000a_ * Warning appears in the standard warning notification area_x000d__x000a_ * Warning uses appropriate warning styling (amber/yellow color scheme)_x000d__x000a_ * Warning includes appropriate warning icon_x000d__x000a_ * Warning message is clearly readable and professionally formatted"/>
  </r>
  <r>
    <s v="IRM-38682"/>
    <x v="5"/>
    <x v="11"/>
    <s v="UI Configuration Enhancements"/>
    <s v="UI/UX Improvements : Prefilling a field in a form based on the value of another field"/>
    <s v="In Design"/>
    <n v="53.3"/>
    <s v="GRC"/>
    <x v="0"/>
    <x v="2"/>
    <s v="p1"/>
    <s v="2026-03-10T11:44:36.000+0200"/>
    <s v="GR,TshirtSize_S,UI/UX_Improvement,pi28_candidate,pi28_p1"/>
    <m/>
    <s v="UI/UX Improvements : Prefilling a field in a form based on the value of another field"/>
    <s v="As a user I need when a codelist is mandatory and only one item is available and no default value , system to autofill the existing value. _x000d__x000a__x000d__x000a_As a user I need when 2 codelist  1 (parent) , 2 (child) via codelist items are related (e.g.   codelist 1, A item  -as parent - ,  when selected,  result to codelist 2,  B item - as child  ) and user selects parent value A when for B only the value B is available , the value b to be auto selected and prefilled. _x000d__x000a__x000d__x000a_As a configurator I need to be able to set in the codelists an optional to be used  attribute , that may instruct  the prefill  of codelist item value in this codelists, if one value is available based on filters._x000d__x000a__x000d__x000a_*Functional requirements*_x000d__x000a__x000d__x000a_Configurator may set in codelist fields an optionally used attribute/metadato , e.g. &quot;AutofillIfUnique&quot;_x000d__x000a_which attribute will enable in UI the autofill of value in codelist, when only one  codelist item value is available based on filters and related codelist items._x000d__x000a_ * Examples/ Cases : _x000d__x000a_ ** +Mandatory items case+_x000d__x000a_In a Mandatory Codelist &quot;C3&quot;  , Non default value is defined _x000d__x000a_The only available value is the &quot;C Value&quot; _x000d__x000a_When use this field in forms, autoselect and prefil &quot;C Value&quot;. _x000d__x000a_ ** +Related codelist items case+_x000d__x000a_Codelist &quot;C1 parent&quot;  ,  Values A1, A2 _x000d__x000a_Codelist &quot;C2 child&quot;  ,  Values B1, B2 , B3_x000d__x000a_Relations : _x000d__x000a_C1 parent  -&gt; A1 with  C2 child -&gt; B2 (ONLY) _x000d__x000a_user selects A1 _x000d__x000a_Autoselect and prefil B2  value in C2 _x000d__x000a__x000d__x000a_ _x000d__x000a__x000d__x000a_*Documentation*_x000d__x000a_Document all the above adjustments. _x000d__x000a__x000d__x000a_ _x000d__x000a__x000d__x000a_*Non functional requirements*_x000d__x000a_It is expected to reassure that relevant NFRs (Performance , Security, Accessibility, Usability ) are tested and are not negatively affecting the product.  _x000d__x000a_DODs should be fulfilled. "/>
    <s v="-"/>
    <s v="* Configurator may set in codelist fields an optionally used attribute/metadato , e.g. &quot;{-}AutofillIfUnique{-}&quot; --&gt; &quot;{*}{{autofillOnlyOption}}{*}&quot;_x000d__x000a_which attribute will enable in UI the autofill of value in codelist, when only one  codelist item value is available based on filters and related codelist items._x000d__x000a_ * System may display prefilled value in codelist, when only one  codelist item value is available."/>
  </r>
  <r>
    <s v="IRM-38681"/>
    <x v="0"/>
    <x v="2"/>
    <s v="Usability Enhancements"/>
    <s v="Placeholder"/>
    <s v="To Do"/>
    <n v="1066.7"/>
    <s v="Other"/>
    <x v="2"/>
    <x v="13"/>
    <s v="p3"/>
    <s v="2026-03-10T11:42:24.000+0200"/>
    <s v="UI/UX_Improvement,pi28_candidate,pi28_p3"/>
    <m/>
    <s v="Placeholder"/>
    <s v="As a RM user, I need to be able to search the entire application so I can get the relevant search results _x000d__x000a__x000d__x000a_The search that now is called ..... "/>
    <s v="-"/>
    <s v="# All searches using filters should perform across the entire app and not the current page_x000d__x000a_ # All search results should be shown on current page the user is on"/>
  </r>
  <r>
    <s v="IRM-38680"/>
    <x v="5"/>
    <x v="11"/>
    <s v="UI Configuration Enhancements"/>
    <s v="UI/UX Improvements : Form Field , Change state of typed text in capitals"/>
    <s v="In Design"/>
    <n v="26.7"/>
    <s v="GRC"/>
    <x v="0"/>
    <x v="15"/>
    <s v="p1"/>
    <s v="2026-03-10T11:39:55.000+0200"/>
    <s v="GR,TshirtSize_S,pi28_candidate,pi28_p1"/>
    <m/>
    <s v="UI/UX Improvements : Form Field , Change state of typed text in capitals"/>
    <s v="As a configurator I need to be able to add fields  in forms that change text to capitals and store then in db string in capitals_x000d__x000a__x000d__x000a_ _x000d__x000a__x000d__x000a_*Functional requirements*_x000d__x000a__x000d__x000a_Widget/component to  used in forms' fields when needed to  automatically convert what is typed by used  to capitals letters. _x000d__x000a_Example: _x000d__x000a__x000d__x000a_typing :  tEst_x000d__x000a__x000d__x000a_displaying:  TEST_x000d__x000a__x000d__x000a_Saving : TEST"/>
    <s v="-"/>
    <s v="Widget/component to  used in forms' fields when needed to  automatically convert what is typed by used  to capitals letters. "/>
  </r>
  <r>
    <s v="IRM-38670"/>
    <x v="0"/>
    <x v="2"/>
    <s v="Usability Enhancements"/>
    <s v=" UI/UX Improvements : Behaviour Consistency of Drop Down menus"/>
    <s v="Under Analysis"/>
    <n v="266.7"/>
    <s v="Other"/>
    <x v="2"/>
    <x v="12"/>
    <s v="p3"/>
    <s v="2026-03-10T11:17:15.000+0200"/>
    <s v="UI/UX_Improvement,pi28_candidate,pi28_p3"/>
    <m/>
    <s v=" UI/UX Improvements : Behaviour Consistency of Drop Down menus"/>
    <s v="As a RM user, I need to be able to have the same drop down behavior of all drop down menus so that I am have the same experience across the Solon product. _x000d__x000a__x000d__x000a_A) Dropdowns and codelists. _x000d__x000a_B) Lookup record - When searching for other records"/>
    <s v="-"/>
    <s v="A) Dropdowns_x000d__x000a_ # All drop downs lists should open inline dropdowns_x000d__x000a_(default value is the first value of the drop down list - All values and then  in defined order as the codelist items or  alphabetical order or numerical order should follow). _x000d__x000a_ # No modal windows should be linked to drop down menus_x000d__x000a_ # There should be a visual guidance using symbols on all drop down lists_x000d__x000a__x000d__x000a_B) Lookup record_x000d__x000a_ # All lookup records (to config or transactional data)  should be designed in a way that a modal with as per entity search filters will be available._x000d__x000a_ # Easy to find records selected filters should be clearly available_x000d__x000a_ID, Name, Type"/>
  </r>
  <r>
    <s v="IRM-38648"/>
    <x v="0"/>
    <x v="2"/>
    <s v="Usability Enhancements"/>
    <s v="UX and other enhancements: Interaction friction - Personal Calendar View or Edit buttons distinction. "/>
    <s v="Waiting Analysis Approval"/>
    <n v="45.3"/>
    <s v="Other"/>
    <x v="2"/>
    <x v="16"/>
    <s v="p1"/>
    <s v="2026-03-10T09:49:53.000+0200"/>
    <s v="pi28_candidate,pi28_p3,pi29_candidate,pi29_p1"/>
    <m/>
    <s v="UX and other enhancements: Interaction friction - Personal Calendar View or Edit buttons distinction. "/>
    <s v="As a Revenue Management (RM) user, I need to clearly distinguish between *View* and *Edit* modes and the *available actions* when accessing a Personal Calendar entry, so that I understand what actions are available and avoid unintended modifications._x000d__x000a__x000d__x000a_The current system does not clearly differentiate these modes, resulting in user confusion and increased interaction friction._x000d__x000a__x000d__x000a_*Introduction*_x000d__x000a__x000d__x000a_This release introduces a significant user experience enhancement by creating a clear and distinct separation between viewing and editing records. The new design aims to reduce interaction friction, prevent accidental data modifications, and provide a more intuitive and efficient workflow for users managing their information._x000d__x000a__x000d__x000a_*Functional Business Requirements*_x000d__x000a_ * Display of Available Actions_x000d__x000a_For every time‑off request, the system must present all actions that are available and applicable to the specific user, based on their permissions and the current status of the request. _x000d__x000a__x000d__x000a_ * Read‑Only View Mode_x000d__x000a_Each time‑off request can be opened in {_}View Mode{_}, where the request details are displayed in a Read‑Only state. In this mode, only the action buttons that the user is eligible to perform —according to their role, permissions, and the request’s status— must be visible._x000d__x000a__x000d__x000a_ * Edit Mode_x000d__x000a_The user must be able to edit the details of a time‑off request only when:_x000d__x000a_ ** The request is in a status that allows modification, and_x000d__x000a_ ** The user has the appropriate rights/permissions to perform edits._x000d__x000a__x000d__x000a_*Out of scope*_x000d__x000a_The determination of which menu options are available to a user—based on request status, user role, or permission rules is not part of the scope of this feature. _x000d__x000a_*Documentation*_x000d__x000a_Document all the above adjustments for viewing and editing personal calendars._x000d__x000a__x000d__x000a_*Non functional requirements*_x000d__x000a_Performance , Security, Traceability, Accessibility, Usability  DODs should be fulfilled. "/>
    <s v="By introducing explicit View and Edit modes for the Personal Calendar, we will ** reduce user errors and unintended data modifications. This change will increase user confidence and task efficiency, leading to improved data integrity and a more intuitive user experience."/>
    <s v="* Menu items:_x000d__x000a_ ** All the available/eligible to the specific user actions are listed as menu options on each time-off request._x000d__x000a_ ** The View menu option is also available on top of the other action menu options to open the entity in a R.O detail view._x000d__x000a_ ** The menu should also include an Edit action, if the user is permitted to edit the entity in its current state. This action will navigate the user directly to Edit Mode._x000d__x000a_ * View Mode_x000d__x000a_ ** Accessing an entity via the View action must open a detail page in a read-only state._x000d__x000a_ ** The page header must clearly identify the entity and indicate the view-only status_x000d__x000a_ ** All data fields within this mode must be non-editable._x000d__x000a_ ** The page footer will contain buttons for permitted status-transition actions (Submit, Approve, Reject, Cancel) and a distinct Edit (if permitted) and Cancel buttons._x000d__x000a_ ** Clicking the Edit button from View Mode will transition the user to Edit Mode_x000d__x000a_ ** Clicking Cancel will close the drawer and focus will return to the current list of requests._x000d__x000a_ * Edit mode:_x000d__x000a_ ** The page header should indicate the edit status._x000d__x000a_ ** Permitted fields will become editable._x000d__x000a_ ** The page footer must display Save and Cancel buttons.  All other status-transition actions (like Submit, Approve) should be hidden._x000d__x000a_ ** Clicking Save will commit the changes and return the user to the View Mode._x000d__x000a_ ** Clicking Cancel will discard all changes and return the user to the View Mode._x000d__x000a__x000d__x000a_ "/>
  </r>
  <r>
    <s v="IRM-38410"/>
    <x v="0"/>
    <x v="2"/>
    <s v="Usability Enhancements"/>
    <s v=" UI/UX Improvements : Search and navigation :  Header Bar Improvements"/>
    <s v="Waiting Analysis Approval"/>
    <n v="45.3"/>
    <s v="Other"/>
    <x v="0"/>
    <x v="16"/>
    <s v="p2"/>
    <s v="2026-03-07T23:50:44.000+0200"/>
    <s v="TshirtSize_S,UI/UX_Improvement,pi28_candidate,pi28_p2"/>
    <m/>
    <s v=" UI/UX Improvements : Search and navigation :  Header Bar Improvements"/>
    <s v=" _x000d__x000a__x000d__x000a_As a RM user, I need clear, intuitive access to keyboard and language shortcuts, profile information, and search so that my profile preferences are respected and interface shortcuts are logically placed._x000d__x000a__x000d__x000a_ _x000d__x000a__x000d__x000a_ "/>
    <s v="-"/>
    <s v="*Keyboard support*_x000d__x000a_ * The &quot;Keyboard support&quot; icon/link is no longer visible in the application's main header bar._x000d__x000a_ * Navigate to the user's profile page and confirm a &quot;Keyboard support&quot; option is present and accessible._x000d__x000a_ * Confirm that activating the &quot;Keyboard support&quot; option on the profile page functions as expected (e.g., opens a help modal)._x000d__x000a__x000d__x000a__x000d__x000a_*Language*_x000d__x000a_ * The language shortcut in the UI displays the user's currently selected language._x000d__x000a_ * Use the shortcut to select a new language and confirm the application interface immediately updates._x000d__x000a_ * Navigate to the user's profile page and confirm the language preference setting has been updated instantly._x000d__x000a_ ** Test : Log out and log back in to ensure the new language is persisted._x000d__x000a__x000d__x000a_*Info button*_x000d__x000a_ * Confirm the &quot;Info&quot; shortcut/icon is no longer available in the main header bar._x000d__x000a_ * Open the user's profile modal and confirm an &quot;Info&quot; link/section is present at the bottom._x000d__x000a_ * Confirm the &quot;Info&quot; text/icon is styled with the agreed-upon color from the design specifications (tbc)_x000d__x000a__x000d__x000a_*Search within page*_x000d__x000a_ * Confirm the Search within pages input field and/or search icon is completely removed from the application's main header bar."/>
  </r>
  <r>
    <s v="IRM-38409"/>
    <x v="0"/>
    <x v="2"/>
    <s v="Usability Enhancements"/>
    <s v="UI/UX Improvements : Interaction friction - View and Edit buttons distiction"/>
    <s v="Waiting Analysis Approval"/>
    <n v="138.69999999999999"/>
    <s v="Other"/>
    <x v="0"/>
    <x v="17"/>
    <s v="p2"/>
    <s v="2026-03-07T23:48:19.000+0200"/>
    <s v="TshirtSize_M,UI/UX_Improvement,pi28_candidate,pi28_p2"/>
    <m/>
    <s v="UI/UX Improvements : Interaction friction - View and Edit buttons distiction"/>
    <s v="As a RM user, I need to be able to clearly distinct if I click to open the record to view or to edit.  _x000d__x000a__x000d__x000a_*Background*_x000d__x000a_In current version, there is no clear distinction between “view” and “edit” states. Increase the likelihood of unintended changes._x000d__x000a_We need to enable customers to preview records, and if needed perform actions on them.  _x000d__x000a_To succeed that the record pages should be available in 2 stages : View and Edit. _x000d__x000a_Additionally and to be able to streamline the way user reacts with the system:  need to remove double click shortcut in list view items,  and  use click to open a preview drawer. In preview or/and edit pages, the remaining action buttons e.g. status transitions may be available. Additionally in preview page a view the whole record in RO mode and edit/delete buttons should be available. _x000d__x000a__x000d__x000a__x000d__x000a__x000d__x000a__x000d__x000a_*Documentation*_x000d__x000a_Document all the above adjustments. _x000d__x000a__x000d__x000a_ _x000d__x000a__x000d__x000a_*Non functional requirements*_x000d__x000a_It is expected team to get aligned with respective teams and reassure that is not creating issues or the related NFRs will be tested :_x000d__x000a_Performance , Security, Accessibility, Usability _x000d__x000a_DODs should be fulfilled."/>
    <s v="-"/>
    <s v="* Confirm that a single click on a record in a list view opens the &quot;Quick View&quot; summary drawer._x000d__x000a_ * Confirm that double-clicking a record in a list view performs no action_x000d__x000a_ * Confirm that a single click opens the drawer._x000d__x000a_ * Confirm that a view menu item is available on list views_x000d__x000a_ * Confirm that when view item is selected then it opens a drawer displaying record details (Quick view - summary view)_x000d__x000a_ * Confirm the drawer contains action buttons at the bottom, including an &quot;Edit&quot; button and any applicable status transition buttons (e.g., &quot;Approve,&quot; &quot;Reject&quot;)._x000d__x000a_ * Confirm the drawer contains a button/link (e.g., &quot;Open Full View&quot;) that navigates the user to the full *read-only* page for that record._x000d__x000a_ * Confirm that clicking the &quot;Edit&quot; button within the drawer navigates the user to the full &quot;Edit&quot; mode page for that record. _x000d__x000a_ * Confirm that navigating to a record page (either from the drawer's &quot;Full View&quot; button or other links) opens the page in &quot;View&quot; mode by default._x000d__x000a_ * Confirm the page title or header clearly indicates &quot;View&quot; mode and that all data fields are presented as non-editable, read-only text._x000d__x000a_ * Confirm that attempting to type in fields, change selections in dropdowns, or toggle checkboxes in &quot;View&quot; mode has no effect on the data._x000d__x000a_ * Confirm that in &quot;View&quot; mode, an &quot;Edit&quot; button is always displayed, and &quot;Save&quot;/&quot;Cancel&quot; buttons are hidden._x000d__x000a_ * Confirm that clicking the &quot;Edit&quot; button (from either the &quot;View&quot; page or the &quot;Quick View&quot; drawer) transitions the page to &quot;Edit&quot; mode._x000d__x000a_ * Confirm the page title or header clearly indicates &quot;Edit&quot; mode and that relevant data fields become editable input controls (e.g., text boxes, dropdowns)._x000d__x000a_ * Confirm that in &quot;Edit&quot; mode, &quot;Save&quot; and &quot;Cancel&quot; buttons are displayed, and the &quot;Edit&quot; button is hidden or disabled_x000d__x000a_ * Confirm that all primary user actions (View, Edit, Save, Cancel) are initiated via clearly labelled buttons or menu items."/>
  </r>
  <r>
    <s v="IRM-38379"/>
    <x v="5"/>
    <x v="12"/>
    <s v="Form Processing Enhancements"/>
    <s v="Forms : Be able to log details for the submitter of the form /RM &amp;SS"/>
    <s v="In Design"/>
    <n v="133.30000000000001"/>
    <s v="GRC"/>
    <x v="0"/>
    <x v="4"/>
    <s v="p1"/>
    <s v="2026-03-06T19:13:04.000+0200"/>
    <s v="GR,TshirtSize_M,pi28_candidate,pi28_p1"/>
    <m/>
    <s v="Forms : Be able to log details for the submitter of the form /RM &amp;SS"/>
    <s v="As an Administrator, I need the ability to record the user responsible for creating and submitting a form, as in many cases this user may not be the same as the Party associated with the form._x000d__x000a__x000d__x000a_ _x000d__x000a__x000d__x000a_ _x000d__x000a__x000d__x000a_*Functional Requirements* _x000d__x000a__x000d__x000a_*a)* Optional fields in Form metadata_x000d__x000a_*Created By* : Reference to a Party Role ID representing the user who created the form_x000d__x000a_*Posted By* : Reference to a Party Role ID representing the user who submitted/posted the form_x000d__x000a_*External System Created Date/Time* (external_created_dttm) :Timestamp indicating when the form was created in an external system (similar to the Party record field)_x000d__x000a__x000d__x000a_*b)* user may search forms using the above fields._x000d__x000a__x000d__x000a_*c)* Enable user-define-characteristics (Data Area)  in forms for other metadata related items. (Data Area = Form Details)  _x000d__x000a_Example: Import Date from external system. (Date field)_x000d__x000a__x000d__x000a_*d)* Apply Notes in Forms in RM and SS _x000d__x000a_In UI add Notes only in RM_x000d__x000a__x000d__x000a_ _x000d__x000a__x000d__x000a_*Documentation*_x000d__x000a_Document all the above adjustments. _x000d__x000a__x000d__x000a_ _x000d__x000a__x000d__x000a_*Non functional requirements*_x000d__x000a_It is expected that the NFRs are considered and examined: Performance , Security, Accessibility, Usability _x000d__x000a__x000d__x000a_DODs should be fulfilled. "/>
    <s v="By adding these fields, customers will be able to migrate efficiently their data. This functionality allows proper auditability, traceability, and operational transparency."/>
    <s v="*a)* Optional fields in Form metadata_x000d__x000a_Created by : Related to a Party Role ID_x000d__x000a_Posted by : Related to Party Role ID_x000d__x000a_external_created_dttm (as in Party record)_x000d__x000a__x000d__x000a_*b)* user may search forms using the above fields_x000d__x000a__x000d__x000a_*c)* Enable user define characteristics in forms _x000d__x000a__x000d__x000a_*d)*  Apply Notes in Forms in RM and SS _x000d__x000a_In UI add Notes only in RM"/>
  </r>
  <r>
    <s v="IRM-38336"/>
    <x v="0"/>
    <x v="13"/>
    <s v="Traceability Enhancements"/>
    <s v="Audit Log - Ability to keep Audit trail for code lists /LEFTOVER"/>
    <s v="Waiting Analysis Approval"/>
    <n v="128"/>
    <s v="GRC"/>
    <x v="0"/>
    <x v="18"/>
    <s v="p2"/>
    <s v="2026-03-06T16:35:49.000+0200"/>
    <s v="AuditLog,GR,LT,TRACEBILITY,TshirtSize_M,pi26_leftover,pi28_candidate,pi28_p2"/>
    <m/>
    <s v="Audit Log - Ability to keep Audit trail for code lists /LEFTOVER"/>
    <s v="Leftover from [https://jira.intrasoft-intl.com/browse/IRM-29504] _x000d__x000a__x000d__x000a_In some situations (no parent child relationship) , the audit log entries don’t include the information needed to display them in a single, unified list under the parent item or under each related entity._x000d__x000a_Example: _x000d__x000a_In practice, this means that a codelist can have multiple versions, and each codelist item can also have multiple versions. However, the audit log records for a codelist item are not grouped under one codelist version (or live record). Instead, they are distributed across the various versions, depending on when (version of codelist)  each event was logged._x000d__x000a__x000d__x000a_In scope: _x000d__x000a__x000d__x000a_Codelists_x000d__x000a__x000d__x000a_ _x000d__x000a__x000d__x000a_*Functional Requirements*_x000d__x000a_1) I can display all Audit log of the related items under the live record of parent items for the areas: _x000d__x000a_ * Reference data (under Codelists)  i.e. Codelists, Codelist items, attributes_x000d__x000a__x000d__x000a_2) I can see the history under codelist for all codelist related changes as well as all codelists items related changes. _x000d__x000a__x000d__x000a_ _x000d__x000a__x000d__x000a_*Documentation*_x000d__x000a_Document all the above adjustments. _x000d__x000a__x000d__x000a_ _x000d__x000a__x000d__x000a_*Non functional requirements*_x000d__x000a_Performance , Security, Accessibility, DODs should be fulfilled. "/>
    <s v="-"/>
    <s v="1) I can display all Audit log of  Codelists, Codelist items, attributes_x000d__x000a__x000d__x000a_2) I can see in UI the history under codelist for all codelist related changes as well as all codelists items related changes. "/>
  </r>
  <r>
    <s v="IRM-38335"/>
    <x v="0"/>
    <x v="13"/>
    <s v="Traceability Enhancements"/>
    <s v="Audit Log - Ability to keep Audit trail for registration /LEFTOVER"/>
    <s v="Waiting Analysis Approval"/>
    <n v="128"/>
    <s v="GRC"/>
    <x v="0"/>
    <x v="18"/>
    <s v="p2"/>
    <s v="2026-03-06T16:35:22.000+0200"/>
    <s v="AuditLog,GR,LT,TRACEBILITY,TshirtSize_M,pi26_leftover,pi28_candidate,pi28_p2"/>
    <m/>
    <s v="Audit Log - Ability to keep Audit trail for registration /LEFTOVER"/>
    <s v="Leftover from [https://jira.intrasoft-intl.com/browse/IRM-29504] _x000d__x000a__x000d__x000a_In some situations (no parent child relationship) , the audit log entries don’t include the information needed to display them in a single, unified list under the parent item or under each related entity._x000d__x000a__x000d__x000a_In scope: _x000d__x000a_*registration MS*_x000d__x000a__x000d__x000a_    c_resource_calendar_related_exception_calendar_x000d__x000a__x000d__x000a_ _x000d__x000a__x000d__x000a_*Functional Requirements*_x000d__x000a_1) I can display Audit logs  for Resource Calendars (Time offs, assigned calendars, , caledars details , Calendar exceptions)_x000d__x000a__x000d__x000a_2) I can see in the UI the related details._x000d__x000a__x000d__x000a__x000d__x000a__x000d__x000a_*Documentation*_x000d__x000a_Document all the above adjustments. _x000d__x000a__x000d__x000a_ _x000d__x000a__x000d__x000a_*Non functional requirements*_x000d__x000a_Performance , Security, Accessibility, DODs should be fulfilled. "/>
    <s v="-"/>
    <s v="1) I can display Audit logs  for Resource Calendars (Time offs, assigned calendars, , caledars details , Calendar exceptions)_x000d__x000a__x000d__x000a_2) I can see in the UI the related details."/>
  </r>
  <r>
    <s v="IRM-38308"/>
    <x v="2"/>
    <x v="9"/>
    <s v="Tax Accounts Enhancements"/>
    <s v="Introduce a Threshold Amount Field in Revenue Type Registration to support Tax Account"/>
    <s v="Waiting Analysis Approval"/>
    <n v="181.3"/>
    <s v="GTM"/>
    <x v="2"/>
    <x v="19"/>
    <s v="p1"/>
    <s v="2026-03-06T15:16:33.000+0200"/>
    <s v="GTM,TshirtSize_M,pi29_candidate,pi29_p1"/>
    <m/>
    <s v="Introduce a Threshold Amount Field in Revenue Type Registration to support Tax Account"/>
    <s v="As a revenue officer I should be able to define a threshold amount for a revenue type registration so that the system can support Tax Account implementation. _x000d__x000a__x000d__x000a_*Introduction* _x000d__x000a__x000d__x000a_This analysis outlines the requirements for introducing a threshold amount field in the Revenue Type Registration entity to support Tax Account functionality in Solon Tax. The threshold field will enable implementation teams to configure automatic threshold determination rules while maintaining manual editability during the initial implementation phase. _x000d__x000a__x000d__x000a_The threshold amount will be used in Tax Account scenarios where specific monetary limits determine processing behavior, validation rules, or reporting requirements. This field provides the foundation for threshold-based business logic while allowing implementation teams flexibility in defining automatic calculation rules._x000d__x000a__x000d__x000a_*Functional Business Requirements*_x000d__x000a__x000d__x000a_Add a new field thresholdAmount to the Revenue Type Registration entity that:_x000d__x000a__x000d__x000a_&gt; Stores a monetary threshold value for tax account processing_x000d__x000a_&gt; Supports decimal precision for accurate financial calculations_x000d__x000a_&gt; Allows null values (optional field)_x000d__x000a_&gt; Is editable by users during creation and updates_x000d__x000a_&gt; Can be automatically populated by system rules (future enhancement)_x000d__x000a__x000d__x000a__x000d__x000a__x000d__x000a_This enhancement provides the foundational threshold capability required for Tax Account implementations while maintaining the flexibility needed for diverse implementation requirements and future automatic rule integration._x000d__x000a__x000d__x000a_*Documentation*_x000d__x000a_Document all the above adjustments for introducing a threshold amount filed in revenue type registration._x000d__x000a__x000d__x000a_ _x000d__x000a__x000d__x000a_*Non functional requirements*_x000d__x000a_Performance , Security, Traceability, Accessibility, Usability  DODs should be fulfilled. "/>
    <s v="Enables flexible threshold-based processing for Tax Account implementations while providing implementation teams control over automatic threshold determination rules."/>
    <s v="* Revenue Type Registration entity includes new threshold amount field_x000d__x000a_ * Field accepts decimal monetary values same used across the system ie 2 decimals_x000d__x000a_ * Field is optional (nullable) during creation and updates_x000d__x000a_ * Field is editable through standard Revenue Type Registration_x000d__x000a_ * Field value is persisted and retrievable through existing APIs_x000d__x000a_ * Field supports standard validation patterns (non-negative values, reasonable precision)_x000d__x000a_ * Field is included in Revenue Type Registration export/import functionality_x000d__x000a_ * Field appears in relevant UI screens for Revenue Type Registration management when applicable ie Tax account implementation."/>
  </r>
  <r>
    <s v="IRM-38250"/>
    <x v="5"/>
    <x v="14"/>
    <s v="Reference Data Enhancements"/>
    <s v="Enhance codelist items codes flexibility and historical track in Solon Tax"/>
    <s v="In Design"/>
    <n v="186.7"/>
    <s v="GRC"/>
    <x v="0"/>
    <x v="10"/>
    <s v="p1"/>
    <s v="2026-03-06T13:29:04.000+0200"/>
    <s v="GR,LT,TshirtSize_M,pi28_candidate,pi28_p1"/>
    <m/>
    <s v="Enhance codelist items codes flexibility and historical track in Solon Tax"/>
    <s v="As an RM Admin, I can update reference data with a codelist item having a code that is not unique, while its description is updated with different validity periods (no overlap), so as to comply with EU regulating updates._x000d__x000a__x000d__x000a_*Introduction* _x000d__x000a__x000d__x000a_*Tax Activity Codes in the EU:* There is no single &quot;tax code&quot; for all EU members. Instead, three main systems are used:_x000d__x000a_ * {*}NACE Codes{*}: The official statistical classification for economic activities. The current version is *NACE Rev. 2.1* (effective Jan 1, 2025). Attached in this feature for reference. _x000d__x000a_ * {*}VAT Category Codes{*}: Standardized letters (e.g., *S* for Standard, *E* for Exempt) used in electronic invoicing._x000d__x000a_ * {*}VATEX Codes{*}: Specific codes used to justify *VAT exemptions* based on EU Directive 2006/112/EC._x000d__x000a_ * *Customs Codes (TARIC/CN)* For the import/export of goods, the Combined Nomenclature (CN) is used, which is an 8-digit coding system. _x000d__x000a__x000d__x000a_In Greece, AADE (Independent Authority for Public Revenue) has proceeded with the mapping of the old activity codes (KAD 2008) to the new KAD 2025, a process which began on March 1, 2026. There is a direct correlation between Greek KAD (Activity Code Numbers) and NACE codes. KAD constitute the national version of the European NACE classification._x000d__x000a_ * {*}Structure{*}: The first 4 characters of an eight-digit Greek KAD are fully identical to the 4 characters of the corresponding NACE code._x000d__x000a_ * {*}2026 Harmonization{*}: AADE recently proceeded (as of 01/03/2026) with an automatic update of KADs for 1.9 million Tax IDs (AFM), in order to fully harmonize them with the new European standard {*}NACE Rev. 2.1{*}._x000d__x000a_ * {*}Purpose{*}: This mapping ensures that economic activities in Greece are comparable to those of other EU member states for statistical and regulatory purposes._x000d__x000a__x000d__x000a_*When a Code is Updated*_x000d__x000a__x000d__x000a_When the EU updates the NACE structure:_x000d__x000a_ * {*}Automatic Migration{*}: Most codes are automatically updated by national tax authorities (like AADE in Greece) if there is a 1-to-1 match._x000d__x000a_ * {*}Manual Selection{*}: If one old code splits into multiple new ones, the taxpayer must manually select the most accurate one via the tax portal._x000d__x000a_ * {*}Description Changes{*}: A code's number *can stay the same while its description* *is updated* to reflect modern technology or clearer definitions._x000d__x000a__x000d__x000a_Validity and History_x000d__x000a_ * {*}Historical Accuracy{*}: A code must be valid for the period it was used. If you are filing an amended return for 2024, you use the code that was active in 2024, not the new 2025/2026 version._x000d__x000a_ * {*}EU-Wide Validity{*}: This principle of historicity applies to all EU countries. While the digital portals differ (e.g., myAADE in Greece), the transition logic to NACE Rev. 2.1 is harmonized across the Union._x000d__x000a__x000d__x000a_For Greek Tax Authority_x000d__x000a_The code *must remain valid* for the period prior to the change, as tax and statistical representation follows the principle of historicity. In practice, this means the following: * {*}Principle of Historicity{*}: For any transaction, declaration, or audit concerning the past (e.g., fiscal year 2024), the code that was in effect *at that time* is used. New codes (e.g., KAD 2025/2026) apply only to actions from their effective date onwards._x000d__x000a_ * {*}System Maintenance{*}: AADE and Eurostat systems maintain the &quot;historical versions&quot; of the codes. If you need to file an amended return for a previous year, you must use the old code that corresponded to that specific period._x000d__x000a_ * {*}Migration (Mapping){*}: The mapping performed by AADE does not &quot;erase&quot; the past; it creates a new entry in your Registry history. The &quot;Registry Certificate&quot; will show the expiration date of the old code and the start date of the new one._x000d__x000a_ * {*}Audits and Cross-checks{*}: In the event of a tax audit for a past fiscal year, auditors examine the activity based on the description and the code that were in effect at the time of the transaction._x000d__x000a__x000d__x000a_The current Solon Tax platform implementation requires unique codes for codelist items within the same codelist. However, EU tax regulations, particularly for tax activity codes (NACE, VAT Category, VATEX), require the ability to maintain the same code with different descriptions across different validity periods to support historical accuracy and regulatory compliance._x000d__x000a__x000d__x000a_*Current Implementation Support*_x000d__x000a__x000d__x000a_The platform currently supports:_x000d__x000a_ * Unique code constraint for codelist items within a codelist_x000d__x000a_ * Basic validity period management with valid_from and valid_to fields_x000d__x000a_ * Codelist item labels with language support_x000d__x000a__x000d__x000a_*To Be Implementation*_x000d__x000a__x000d__x000a_Allow the same code to be added for different validity periods with:_x000d__x000a_ * No overlap between validity periods for the same code_x000d__x000a_ * Different descriptions for the same code across different time periods_x000d__x000a_ * Historical data preservation for reporting and backdated updates_x000d__x000a__x000d__x000a_*Functional Business Requirements*_x000d__x000a_ # {*}Historical Code Management{*}: Enable codelist items to have the same code with different descriptions across non-overlapping validity periods_x000d__x000a_ # {*}Temporal Data Integrity{*}: Ensure no validity period overlaps exist for items with the same code within a codelist_x000d__x000a_ # {*}Backdated Processing Support{*}: Allow selection of historical codelist items when processing backdated taxpayer updates_x000d__x000a_ # {*}Regulatory Compliance{*}: Support EU tax code evolution requirements (NACE Rev. 2.1)_x000d__x000a_ # {*}Reporting Continuity{*}: Maintain historical reference data for accurate reporting across different time periods_x000d__x000a__x000d__x000a_*Documentation*_x000d__x000a_Document all the above adjustments for updating reference data to support compliance with EU updates codes not unique per validity period._x000d__x000a__x000d__x000a_ _x000d__x000a__x000d__x000a_*Non functional requirements*_x000d__x000a_Performance , Security, Traceability, Accessibility, Usability  DODs should be fulfilled. "/>
    <s v="This enhancement will enable accurate historical tax processing and compliance with EU regulations that require code evolution while maintaining historical accuracy for reporting and backdated transactions."/>
    <s v="* Same codelist item code can exist multiple times with different validity periods (no overlap)_x000d__x000a_ * Different descriptions can be associated with the same code across different time periods_x000d__x000a_ * Historical codelist items are preserved and accessible for reporting_x000d__x000a_ * Backdated taxpayer updates can select appropriate historical codelist items based on transaction date_x000d__x000a_ * System validates no overlapping validity periods for same code within a codelist_x000d__x000a_ * Migration functionality supports automatic code updates when 1-to-1 mapping exists_x000d__x000a_ * Manual selection interface available when one code splits into multiple new codes_x000d__x000a_ * API endpoints support querying codelist items by effective date_x000d__x000a_ * UI displays historical versions of codelist items appropriately"/>
  </r>
  <r>
    <s v="IRM-38242"/>
    <x v="0"/>
    <x v="1"/>
    <s v="Maintainability Enhancements"/>
    <s v="Improve Dev Experience for local setup"/>
    <s v="To Do"/>
    <n v="53.3"/>
    <s v="Other"/>
    <x v="0"/>
    <x v="2"/>
    <s v="p2"/>
    <s v="2026-03-06T12:10:49.000+0200"/>
    <s v="TshirtSize_S,pi28_candidate,pi28_p2"/>
    <m/>
    <s v="Improve Dev Experience for local setup"/>
    <s v="{panel:title=Task}_x000d__x000a_Increasing the development experience. Eliminate the pain points that developers have while setting up platofrm locally. _x000d__x000a_{panel}_x000d__x000a_{panel:title=Current state}_x000d__x000a_The biggest problems identified at the time of creating this enabler are:_x000d__x000a_ * database migration - there is a 99.99% probabilty that the problems occur when running database migration scripts locally. Investigate and intoduce a solution._x000d__x000a_ * component tests - it takes forever to rune component tests locally,_x000d__x000a_ * lack of troubleshooting documentation,_x000d__x000a_ * slow performance - how can the performance be improved?,_x000d__x000a_ * local keycloak mostly not working ootb._x000d__x000a__x000d__x000a_Despite above development process forces local testing (which is good). Local tests because of the above issues are very frustrating._x000d__x000a_{panel}_x000d__x000a_{panel:title=Solution}_x000d__x000a_Find out the root cause of the problems. Come up with solution and implement them. Adjust/create documentation in form of Maintenance Guide O0300._x000d__x000a_{panel}_x000d__x000a_h3. PPD Maturity Index / Control point: Resource Utilization (local resource utilization) / Testability / Technical depth / Development and test environments"/>
    <s v="Increasing Maturity Index."/>
    <s v="* Deliverable -&gt; O0300 Maintenance Guide"/>
  </r>
  <r>
    <s v="IRM-38238"/>
    <x v="0"/>
    <x v="6"/>
    <s v="Performance Efficiency Enhancements"/>
    <s v="Green coding CI/CD flow optimization"/>
    <s v="To Do"/>
    <n v="69.3"/>
    <s v="Other"/>
    <x v="2"/>
    <x v="20"/>
    <s v="p3"/>
    <s v="2026-03-06T11:48:48.000+0200"/>
    <s v="TshirtSize_S,pi28_candidate,pi28_p3"/>
    <m/>
    <s v="Green coding CI/CD flow optimization"/>
    <s v="{panel:title=Task}_x000d__x000a_To improve the platform maturity index, resource utilization must be optimized with a focus on Green Coding principles. To achieve this, existing CI/CD processes should be reviewed, adjusted, and ultimately optimized. Current documentation must also be updated to reflect these changes to the CI/CD workflows._x000d__x000a_{panel}_x000d__x000a_{panel:title=Current state}_x000d__x000a_Jenkins is used to fully support CI/CD processes and flows._x000d__x000a_{panel}_x000d__x000a_{panel:title=Solution}_x000d__x000a_*Review and Optimize Current Processes:*_x000d__x000a_ * *Reduce Build Frequency:* Adjust the process to reduce the number of builds executed by Jenkins. For example, ensure that Merge Requests in &quot;Draft&quot; state do not trigger builds._x000d__x000a_ * *Optimize Caching:* Investigate using or optimizing cache strategies to boost the efficiency of Jenkins builds._x000d__x000a_ * *Review Retention Policies:* Verify if cleaning policies are applied in the artifact repository (Nexus) for both Maven artifacts and Docker images{panel}_x000d__x000a_h3. PPD Maturity Index / Control point: Resource Utilization"/>
    <s v="Increasing Maturity Index."/>
    <s v="* Deliverable -&gt; O0500 Software Architecture -&gt; Solution Perspective - Data Management solution_x000d__x000a_ * Adjusted CI/CD pipelines to use less resources._x000d__x000a_ * Adjust development process to force less Jenkins builds._x000d__x000a_ * Reduce ** Deploy Frequency._x000d__x000a_ * Analysis launching tests strategy._x000d__x000a_ * Pipeline time optimization (using caches to speed up build)_x000d__x000a_ * cyclic CI/CD audits for future optimizations"/>
  </r>
  <r>
    <s v="IRM-38230"/>
    <x v="0"/>
    <x v="6"/>
    <s v="Performance Efficiency Enhancements"/>
    <s v="Green coding Programming Guidelines"/>
    <s v="To Do"/>
    <n v="80"/>
    <s v="Other"/>
    <x v="0"/>
    <x v="7"/>
    <s v="p2"/>
    <s v="2026-03-06T11:32:09.000+0200"/>
    <s v="TshirtSize_S,pi28_candidate,pi28_p2"/>
    <m/>
    <s v="Green coding Programming Guidelines"/>
    <s v="{panel:title=Task}_x000d__x000a_To improve the platform maturity index, resource utilization must be optimized. To achieve this, green coding principles should be defined and incorporated into our programming guidelines. The current documentation should be extended to include these rules._x000d__x000a_{panel}_x000d__x000a_{panel:title=Current state}_x000d__x000a_Currently programming guidelines are described in the following deliverables:_x000d__x000a__x000d__x000a_[DD160 - Programming Guidelines|https://goto.netcompany.com/cases/GTE2768/GREPDSOLON/Deliverables/Forms/AllItems.aspx?RootFolder=%2Fcases%2FGTE2768%2FGREPDSOLON%2FDeliverables%2FDD160%20%2D%20Programming%20Guidelines&amp;FolderCTID=0x012000E6A047EE9C5C3B46AF6B4F5F865C09DC&amp;View=%7B1F250723%2DEA5A%2D44A8%2D83D9%2D446989EA7C4A%7D]_x000d__x000a__x000d__x000a_[Clean Coding|https://confluence.intrasoft-intl.com/spaces/IC/pages/36142033/Clean+Code]_x000d__x000a_{panel}_x000d__x000a_{panel:title=Solution}_x000d__x000a_Please add green coding rules for the following technologies:_x000d__x000a_ * Java_x000d__x000a_ * JavaScript_x000d__x000a_ * Rego_x000d__x000a_ * Drools_x000d__x000a_ * Helm charts_x000d__x000a_ * Maven_x000d__x000a_ * PostgreSQL_x000d__x000a_ * Oracle PL/SQL_x000d__x000a_ * Liquibase scripts_x000d__x000a_ * Are docker images used by the platofrm are green friendly? Consider using more greener if possible. Consider create greener docker images -&gt; smaller in size, with dedicated runtimes. IRM-28585 Docker image size optimization_x000d__x000a__x000d__x000a_This list should be extended if necessary. These rules should either be integrated into the existing programming guidelines or compiled into a new document dedicated specifically to green coding._x000d__x000a_{panel}_x000d__x000a_h3. PPD Maturity Index / Control point: Resource Utilization / Programming Guidelines / Development and test environments"/>
    <s v="Increasing Maturity Index."/>
    <s v="* Deliverable -&gt; DD160 Programming Guidelines - Green Coding _x000d__x000a_ * internal training (recording) + powerpoint added to the onboarding matertials_x000d__x000a_ * checklists for the mrege requests based on the green programming guidelines _x000d__x000a_ * addjust rules in Sonarquebe to force green coding rules defined in the progrmming guidelines_x000d__x000a_ *  [Optional] consider tools tracing carbon foot print for SOLON Tax Platform for instance Green Software Foundation, Scaphandre, Cloud Carbon Footprint_x000d__x000a_ * DoD update to include green coding"/>
  </r>
  <r>
    <s v="IRM-38190"/>
    <x v="3"/>
    <x v="7"/>
    <s v="User &amp; 3rd Party Access Management Enhancements"/>
    <s v="Representations : Form Types and Access to Apis  as Services / Reference implementation "/>
    <s v="Waiting Analysis Approval"/>
    <n v="106.7"/>
    <s v="GRC"/>
    <x v="0"/>
    <x v="21"/>
    <s v="p1"/>
    <s v="2026-03-05T18:13:21.000+0200"/>
    <s v="GR,TshirtSize_M,pi28_candidate,pi28_p1"/>
    <m/>
    <s v="Representations : Form Types and Access to Apis  as Services / Reference implementation "/>
    <s v="As an admin I need to be able to define agreement services as per Form Types as to include also registration forms and to be able to define in detail the form that can be submitted by taxpayer's representative.  Similarly I need to be able to define access to specific apis , as an example &quot;submit e-invoices&quot; _x000d__x000a__x000d__x000a_ _x000d__x000a__x000d__x000a_*Functional Requirement*_x000d__x000a__x000d__x000a_Define an right o be used for Agreements:   _x000d__x000a__x000d__x000a_a) Based on Form Types_x000d__x000a_ * View and Post BUSREG_x000d__x000a_ * View and Post VAT return_x000d__x000a_ * View only VAT return_x000d__x000a_ * View only Busreg and vat return_x000d__x000a__x000d__x000a_b) -Based on APIs-_x000d__x000a_ * -Be able to access external apis- (example : [https://jira.intrasoft-intl.com/browse/PSD-15198] ) _x000d__x000a__x000d__x000a_ _x000d__x000a__x000d__x000a_ _x000d__x000a__x000d__x000a_ _x000d__x000a__x000d__x000a_AS-IS: _x000d__x000a__x000d__x000a_!image-2026-03-05-17-56-01-645.png!_x000d__x000a__x000d__x000a_AADE :_x000d__x000a_!image-2026-03-05-17-59-15-270.png!_x000d__x000a__x000d__x000a__x000d__x000a__x000d__x000a_*Documentation*_x000d__x000a_Document all the above adjustments. _x000d__x000a__x000d__x000a_ _x000d__x000a__x000d__x000a_*Non functional requirements*_x000d__x000a_It is expected team to get aligned with respective teams and reassure that is not creating issues or the related NFRs will be tested :_x000d__x000a_Performance , Security, Accessibility, Usability _x000d__x000a_DODs should be fulfilled."/>
    <s v="-"/>
    <s v="-"/>
  </r>
  <r>
    <s v="IRM-37871"/>
    <x v="0"/>
    <x v="2"/>
    <s v="Usability Enhancements"/>
    <s v="UI/UX Improvements : Search and navigation : Bars at the top of the pages"/>
    <s v="Waiting Analysis Approval"/>
    <n v="45.3"/>
    <s v="Other"/>
    <x v="0"/>
    <x v="16"/>
    <s v="p2"/>
    <s v="2026-03-03T11:17:59.000+0200"/>
    <s v="TshirtSize_S,UI/UX_Improvement,pi28_candidate,pi28_p2"/>
    <m/>
    <s v="UI/UX Improvements : Search and navigation : Bars at the top of the pages"/>
    <s v=" _x000d__x000a__x000d__x000a_As a user, I want the main page bar to display only relevant information, include a Save button for quick saving, and show a breadcrumbs bar under the header so that I can easily navigate and manage my work._x000d__x000a__x000d__x000a_ _x000d__x000a__x000d__x000a_!image-2026-03-07-23-59-16-316.png!"/>
    <s v="UX Enhancement  ... "/>
    <s v="Global changes across the app_x000d__x000a_ * Unnecessary titles (e.g. category) are removed from the main page bar; only relevant information is displayed to user._x000d__x000a_ * A Save button is present in the main page bar, allowing users to save changes easily at any time._x000d__x000a_ * A breadcrumbs bar is added under the header bar, indicating the user's current location in the application."/>
  </r>
  <r>
    <s v="IRM-37867"/>
    <x v="0"/>
    <x v="1"/>
    <s v="Maintainability Enhancements"/>
    <s v="Allowed Unicode characters to be used in 'Code' fields of configuration records (Excl.: Registration/Taxpayer Accounting)"/>
    <s v="Ready for Dev"/>
    <n v="160"/>
    <s v="GRC"/>
    <x v="0"/>
    <x v="9"/>
    <s v="p1"/>
    <s v="2026-03-03T10:56:14.000+0200"/>
    <s v="GR,Generic,LOCALIZATION,MVP,TshirtSize_M,pi28_candidate,pi28_p1"/>
    <m/>
    <s v="Allowed Unicode characters to be used in 'Code' fields of configuration records (Excl.: Registration/Taxpayer Accounting)"/>
    <s v="As an admin I need to be able to use several unicode characters in code fields that can be technically allowed to be used as to explain in code in localized text the short configuration name. _x000d__x000a__x000d__x000a_ _x000d__x000a__x000d__x000a_*Functional Requirements* _x000d__x000a__x000d__x000a_(BE &amp; UI)_x000d__x000a_ * Defined Whitelist for &quot;Code&quot; fields of configuration entity types : _x000d__x000a_*A)* A–Z, a–z, 0–9  _x000d__x000a_*B)* - (dash), _ (underscore),. (dot)_x000d__x000a_*C)*  Unicode characters for multilingual/localized alphabets,  e.g. ,  Greek , Swedish, Lithuanian, Spanish, Italian, French, Chinese.... _x000d__x000a_ * Apply the validation to all Solon Tax Config entity types. If invalid characters are added validations will be thrown. _x000d__x000a__x000d__x000a_ _x000d__x000a__x000d__x000a_*Documentation*_x000d__x000a_Document all the above adjustments. _x000d__x000a__x000d__x000a_*Non functional requirements*_x000d__x000a_It is expected team to get aligned with respective teams and reassure that is not creating issues or the related NFRs will be tested :_x000d__x000a_Performance , Security, Accessibility, Usability _x000d__x000a_DODs should be fulfilled._x000d__x000a_----_x000d__x000a_Notes: _x000d__x000a_ - Some config types are completed because of the linked bugs_x000d__x000a_ - By Sec team : Since Unicode will be supported, the validation has to be done after normalization of Unicode characters. Otherwise, special characters could still be accepted. For example ‘\u003C’ will be converted to the less than sign ‘&lt;’._x000d__x000a_ - The  “ “space , “:” (colon) will not be included because they may produce issues with data exports/migrations  and formatting. Other characters were excluded/avoided because of their usage in systems and difficulties that may produce while not be necessary, or because of security considerations._x000d__x000a_ - Assumption : Records with Unicode Code characters are visible in UI properly, and  are searchable_x000d__x000a__x000d__x000a_ "/>
    <s v="By enabling the use of selected Unicode characters in code fields, administrators will be able to create short configuration names that are meaningful in localized contexts (e.g., Greek, Swedish, Chinese). This will:_x000d__x000a_-Improve clarity and usability of configuration codes for non-English-speaking users._x000d__x000a_-Reduce reliance on English-only abbreviations that may be ambiguous or misleading in local markets._x000d__x000a_-Support Admin - Enhance adoption and accuracy by allowing admins to align configuration names with local terminology._x000d__x000a_-Maintain system consistency and integrity by enforcing a defined whitelist of allowed characters across all Solon Tax configuration entity types."/>
    <s v="Apply the validation for the unicode whitelist of allowed characters for Code fields,  to all Solon Tax Config entity types included in:_x000d__x000a__x000d__x000a_irm_authorizationmanagement_db_x000d__x000a__x000d__x000a_irm_casemanagement_db_x000d__x000a__x000d__x000a_irm_contactmanagement_db_x000d__x000a__x000d__x000a_irm_directdebit_db_x000d__x000a__x000d__x000a_irm_exceptionmanagement_db_x000d__x000a__x000d__x000a_irm_humantaskmanagement_db_x000d__x000a__x000d__x000a_irm_note_db_x000d__x000a__x000d__x000a_irm_notificationmanagement_db_x000d__x000a__x000d__x000a_irm_operational_plan_db_x000d__x000a__x000d__x000a_irm_operationalreport_db_x000d__x000a__x000d__x000a_irm_processmanagement_db_x000d__x000a__x000d__x000a_irm_reporting_db_x000d__x000a__x000d__x000a_irm_risk_analysis_db_x000d__x000a__x000d__x000a_irm_suppressionmanagement_db_x000d__x000a__x000d__x000a_irm_uiconfiguration_db_x000d__x000a__x000d__x000a_ "/>
  </r>
  <r>
    <s v="IRM-37865"/>
    <x v="0"/>
    <x v="8"/>
    <s v="Security Enhancements"/>
    <s v="SS enhancements -Configure the items that can be publicly available in db level Part 2/2"/>
    <s v="In Design"/>
    <n v="190.7"/>
    <s v="GRC"/>
    <x v="0"/>
    <x v="22"/>
    <s v="p1"/>
    <s v="2026-03-03T10:16:57.000+0200"/>
    <s v="GR,PI27_leftover,SELF_SERVICE_SERVICES_MANAGEMENT,pi28_candidate,pi28_p1"/>
    <m/>
    <s v="SS enhancements -Configure the items that can be publicly available in db level Part 2/2"/>
    <s v="{color:#c1c7d0}{color:#172b4d}Leftover part of {color}https://jira.intrasoft-intl.com/browse/IRM-36809 _x000d__x000a__x000d__x000a_continuing  and dependent : [https://jira.intrasoft-intl.com/browse/IRM-30785] {color}_x000d__x000a__x000d__x000a_{color:#c1c7d0}On previous section of the functionality the availability of items publicly was enabled. On top of that we need admin to be able to configure which items can be available publicly. {color}_x000d__x000a__x000d__x000a_*Functional Requirements* _x000d__x000a__x000d__x000a_{color:#c1c7d0}Configure the items that can be publicly available in db level : {color}_x000d__x000a_ * {color:#c1c7d0}Admin may define which reference data items can be publicly available.{color}_x000d__x000a_{color:#c1c7d0}Example System parameters cannot be available. Party Classifications can be. {color}_x000d__x000a_ * {color:#c1c7d0}Admin may define which translation items can be publicly available.{color}_x000d__x000a_{color:#c1c7d0}Example: Party page labels can be available, Exceptions labels may not. {color}_x000d__x000a_ * {color:#c1c7d0}Admin may define which service items can be publicly available.{color}_x000d__x000a_{color:#c1c7d0}Example: VAT form cannot be publicly available, Registration forms can{color}_x000d__x000a__x000d__x000a_Permissions:  (depends on  IRM-34224 ) _x000d__x000a_ * Specific rights should be assigned to an admin to be able to configure the above settings. _x000d__x000a__x000d__x000a_{color:#c1c7d0}Additional Considerations{color}_x000d__x000a_ * {color:#c1c7d0}Audit logs capture configuration changes{color}_x000d__x000a_ * {color:#c1c7d0}Documentation is updated to describe the configuration options and default behavior.{color}_x000d__x000a_ * {color:#c1c7d0}Automated tests validate unauthenticated access and expected responses for each endpoint.{color}_x000d__x000a_ * {color:#c1c7d0}Backward compatibility is preserved for existing operations{color}_x000d__x000a__x000d__x000a_ _x000d__x000a_----_x000d__x000a_*Documentation*_x000d__x000a_Document all the above adjustments. _x000d__x000a__x000d__x000a_ _x000d__x000a__x000d__x000a_*Non functional requirements*_x000d__x000a_It is expected team to get aligned with respective teams and reassure that is not creating issues or the related NFRs will be tested :_x000d__x000a_Performance , Security, Accessibility, Usability _x000d__x000a_DODs should be fulfilled."/>
    <s v="-"/>
    <s v="# Specific rights should be assigned to an admin to be able to configure the above settings. "/>
  </r>
  <r>
    <s v="IRM-37864"/>
    <x v="0"/>
    <x v="15"/>
    <s v="Test Suite Optimization"/>
    <s v="Automation testing for SS /WIP"/>
    <s v="To Do"/>
    <m/>
    <s v="Other"/>
    <x v="2"/>
    <x v="0"/>
    <s v="p3"/>
    <s v="2026-03-03T10:07:55.000+0200"/>
    <s v="Self_Service,pi29_candidate,pi29_p3"/>
    <m/>
    <s v="Automation testing for SS /WIP"/>
    <s v="Gather needs for SS automation testing. _x000d__x000a_ * Apis test_x000d__x000a_ * Authentications_x000d__x000a_ * Based on [https://jira.intrasoft-intl.com/browse/IRM-36809] : Automated tests validate unauthenticated access and expected responses for each endpoint _x000d__x000a_ * Overview/Home pages_x000d__x000a_ * Agreements tests_x000d__x000a_ ** Create representations and sub representations using several agreement rights_x000d__x000a_ * Forms_x000d__x000a_ ** Create Draft forms , Check forms , publish forms_x000d__x000a_ ** Human Tasks_x000d__x000a_ ** Attach documents_x000d__x000a_ ** Review forms_x000d__x000a_ ** See filling obligations_x000d__x000a_ * Human Tasks_x000d__x000a_ ** Create and manage tasks_x000d__x000a_ * Document Management_x000d__x000a_ ** Upload and monitor attachments_x000d__x000a_ * SS Admin"/>
    <s v="-"/>
    <s v="-"/>
  </r>
  <r>
    <s v="IRM-37845"/>
    <x v="2"/>
    <x v="16"/>
    <s v="Registration Enhancements"/>
    <s v="Enhance Validity period conditions in Registry detail entities to support multiple modifications in the same date"/>
    <s v="Waiting Analysis Approval"/>
    <n v="266.7"/>
    <s v="GRC"/>
    <x v="0"/>
    <x v="12"/>
    <s v="p1"/>
    <s v="2026-03-03T00:20:10.000+0200"/>
    <s v="GR,pi28_candidate,pi28_p1"/>
    <m/>
    <s v="Enhance Validity period conditions in Registry detail entities to support multiple modifications in the same date"/>
    <s v="As a revenue officer I need to be able to complete several Party details changes in the same date and system will allow this without effecting uniqueness and overlapping checks that are applied to Party and Party Role child entities with valid-from/valid-to periods._x000d__x000a__x000d__x000a_The same logic must also apply when system determines which registry records are considered valid for a specific date (e.g., Today view in the UI or a historical date view)._x000d__x000a__x000d__x000a_The solution should be able to support same day changes for : _x000d__x000a__x000d__x000a_a) records with valid-from/valid-to dates are considered duplicated or overlapping._x000d__x000a_b) primary records with valid-from/valid-to dates are considered duplicated._x000d__x000a_c) The criteria used to determine which records are valid on a specific reference date (current date or historical date)._x000d__x000a__x000d__x000a_Child objects to be considered : _x000d__x000a_ * {color:#172b4d}Party role{color}_x000d__x000a_ * {color:#172b4d}party_identifier, party_name{color}_x000d__x000a_ * Party_state, party_address, party_contact ,Bank account  , Preferences,  party_classification, party additional details_x000d__x000a_ * {color:#172b4d}party_role_relationship, asset_party_role_relationship, asset_to_asset_relationship, valuation , party role eligible states {color}_x000d__x000a__x000d__x000a_Assumption : We assume that the error handing and the exceptions logged as well as the remaining uniqueness validations mechanisms are functional in the product for all registry entities. (Party , Party role, Claimant, User, Organ. Unit, Asset)_x000d__x000a__x000d__x000a_ _x000d__x000a__x000d__x000a_*Functional requirements*_x000d__x000a__x000d__x000a_ _x000d__x000a__x000d__x000a_*New Fields* _x000d__x000a__x000d__x000a_For all the above mentioned Party child objects, Party , Party Role, add Optional fields_x000d__x000a_ * *Valid State?* , Boolean _x000d__x000a_Default value = true_x000d__x000a_ * *Valid State  Reason*_x000d__x000a_Free text _x000d__x000a_ * (!)   Define if a record type should be checked for uniqueness or not. This may create conflicts that there are suggested rules to overcome. _x000d__x000a_*Field: Check if unique?*  /Boolean_x000d__x000a_Default value = true_x000d__x000a_ * Make fields searchable_x000d__x000a_ * Make fields visible in the UI_x000d__x000a_ * Make fields updatable as/where the Valid from /to fields are_x000d__x000a_ * Move the information to relevant Party role sections (as Valid from/to) _x000d__x000a_ * Default values :_x000d__x000a_ ** All existing records are migrated with valid_state = true_x000d__x000a_ ** All existing records are migrated with Check if unique= true_x000d__x000a__x000d__x000a_*Rules for Unique record check:*_x000d__x000a__x000d__x000a_For the same record type (or per case additional filters are used, such as in Identifiers the country) , _x000d__x000a_If the record is *flagged as Valid*_x000d__x000a_check  if the period is not overlapping other periods if *CheckifUnique* is checked as true. If checked as false then no need to make any checks for the specific record or include this record in other checks.  In case of conflicts the first option based on start date sorting,  that is valid = true will be selected. _x000d__x000a_In case of *end date = other records start date* then the end date overlapping with other record start date is ignored. (i.e. only end date of one period is the same as the start date of another period, see bullet 4) _x000d__x000a_Start date is checked primary to define the period that record is valid. _x000d__x000a__x000d__x000a_ _x000d__x000a__x000d__x000a_+Basics:+ _x000d__x000a_ # If a record  flag {*}Valid{*}? = false : it is ignored during uniqueness checks and for primary checks._x000d__x000a_ # If a record  flag {*}CheckifUnique{*}? = false : it is ignored during uniqueness checks and for primary checks.  Record can be valid.  (!)_x000d__x000a__x000d__x000a_+Examples Conditions:+_x000d__x000a__x000d__x000a_1 . If a record *Start date* = {*}End date{*}= *Y*  , Flag Valid ? = true  :_x000d__x000a_record is selected primary or considered *proper* entry for date Y   (primary set for start date Y,  if flagged as primary) _x000d__x000a__x000d__x000a_2.  If  Record 1 start date end = A  and end date = X  , valid = true_x000d__x000a_and Record 2 start date = X , end date = B , valid = true_x000d__x000a_Then these records are not considered overlapping (although in current rule are consider overlapping). This is a *proper* condition. _x000d__x000a_On date X, the valid record is Record2 (the record with start date X)_x000d__x000a_Not the one with end date = X (Record 1)._x000d__x000a__x000d__x000a_3.  If Record1: start date is null , end date  = X  , valid = true_x000d__x000a_Record2: start date  = X , end date  = null  , valid = true_x000d__x000a_The record 2 is selected primary or the considered for date x . This is a *proper* condition. _x000d__x000a__x000d__x000a_3.  If Record1: start date is null , end date  = null  , valid = true_x000d__x000a_Record2: start date  = X , end date  = null   , valid = true_x000d__x000a_ System will not allow this because of overlapping in other days because of start dates(!)_x000d__x000a__x000d__x000a_4. If two records of the same type, _x000d__x000a_and both have Valid state = true, _x000d__x000a_when their validity periods overlap as they have same start date the system rejects the change due to overlapping validity periods. (!)_x000d__x000a_Record1: start date  =  X, end date  = A  , valid = true_x000d__x000a_Record2: start date  =  X , end date  = B  , valid = true_x000d__x000a__x000d__x000a__x000d__x000a_+Other :+_x000d__x000a_ # A record is considered for date D when: _x000d__x000a_valid state = true and _x000d__x000a_start date &lt;= D AND (end date is null OR end date &gt; D)_x000d__x000a_or_x000d__x000a_If start date = end date = D_x000d__x000a_ # If multiple changes occur in the same transaction, Uniqueness validation must run after the end of batch updates. _x000d__x000a_ # If valid_state = false , state_reason must be populated_x000d__x000a_ # If all record for a type are not valid then the system will behave like not having any record available_x000d__x000a_ # (as mentioned above) . If Check if Valid id checked as false then no need to make any checks for the specific record or include this record in other checks.  In case of conflicts the first option based on start date sorting,  that is valid = true will be selected._x000d__x000a_ # If valid to = null means infinite validity_x000d__x000a_ # API queries using reference dates follow the same validity rules_x000d__x000a_ # the  included fields in uniqueness checks already considered (e.g. in Identities the countries, or the type of the record) should continue be used._x000d__x000a__x000d__x000a_ _x000d__x000a__x000d__x000a_*Apply to :*_x000d__x000a_ * Validation of Uniqueness of primary records per period_x000d__x000a_ * Validation of Uniqueness of records per type (and other flags as per entity) per period_x000d__x000a_ * Define the visibly records that defines the view of today, history date, date in the past _x000d__x000a__x000d__x000a_*UI :*_x000d__x000a__x000d__x000a_BE able to  Filter history records by valid from date_x000d__x000a_ If valid_state = false , state_reason must be populated_x000d__x000a_Project may define if  Valid = false and Check if unique is false records should be displayed or not.  _x000d__x000a__x000d__x000a_ _x000d__x000a__x000d__x000a_ _x000d__x000a__x000d__x000a_!image-2026-03-03-17-43-14-417.png!_x000d__x000a__x000d__x000a_15/1 -&gt; Anna Papa_x000d__x000a__x000d__x000a_ _x000d__x000a__x000d__x000a_*Documentation*_x000d__x000a_Document all the above adjustments. _x000d__x000a__x000d__x000a_ _x000d__x000a__x000d__x000a_*Non functional requirements*_x000d__x000a_Performance , Security, Accessibility, Usability  DODs should be fulfilled. _x000d__x000a__x000d__x000a_ "/>
    <s v="-"/>
    <s v="A)  *New Fields* _x000d__x000a_ # For all the above mentioned Party child objects, add Optional fields _x000d__x000a_Valid State? , Boolean_x000d__x000a_ # State Reason, Free text _x000d__x000a_ # Field: Check if unique?  /Boolean_x000d__x000a_Default value = true_x000d__x000a_ # Make fields searchable_x000d__x000a_ # Make fields visible in the UI_x000d__x000a_ # Make fields updatable as/where the Valid from /to fields are_x000d__x000a_ # Move the information to relevant Party role sections (as Valid from/to) _x000d__x000a_ # Default value of valid_state = true (e.g. when creating a record)_x000d__x000a_ # All existing records are migrated with valid_state = true_x000d__x000a_ # All existing records are migrated with Check if unique = true_x000d__x000a__x000d__x000a_ _x000d__x000a__x000d__x000a_B) *Uniqueness Rules*_x000d__x000a_ # Then only records with valid state = true and Check if unique = true participate in uniqueness checks.  Records with valid state = false or Check if unique = false  are ignored._x000d__x000a_ # If two records of the same type,  and both have Valid state = true, when their validity periods overlap, the system rejects the change due to overlapping validity periods._x000d__x000a_ #  Record start date = end date is not considered overlap as explained in functional requirements. On date X, the valid record is the record with start date X._x000d__x000a_ # Only one primary valid state = true  record can exist per date (same rules with same date as above , example sin functional requirements)_x000d__x000a_ # See functional requirements for details. _x000d__x000a__x000d__x000a__x000d__x000a__x000d__x000a_C) *UI* _x000d__x000a_ # The history records are sorted by start date_x000d__x000a_ #  If valid state = false , state reason must be populated"/>
  </r>
  <r>
    <s v="IRM-37844"/>
    <x v="2"/>
    <x v="5"/>
    <s v="Taxpayer Accounting Enhancements"/>
    <s v="GL decisions table - Multiline rules and additional parameters /Functionality &amp; Reference Implementation"/>
    <s v="Waiting Analysis Approval"/>
    <n v="533.29999999999995"/>
    <s v="GRC"/>
    <x v="2"/>
    <x v="8"/>
    <s v="p3"/>
    <s v="2026-03-02T23:12:20.000+0200"/>
    <s v="GR,TAXPAYER_ACCOUNTING,TshirtSize_XL,pi28_candidate,pi28_p3"/>
    <m/>
    <s v="GL decisions table - Multiline rules and additional parameters /Functionality &amp; Reference Implementation"/>
    <s v="As an administrator responsible for defining the Accountant table details, I need to introduce additional parameters that determine how GL accounts are selected based on the accounting rules of FT types. Specifically, I need to support differentiating GL accounting rules according to the claimant, revenue type, and bill segment type categorization. _x000d__x000a__x000d__x000a_These new parameters will enable the system to efficiently handle the many hundreds of special cases that must be supported, reduce the size of the GL decision table and the number of FT types, and overall improve the system’s maintainability and administration._x000d__x000a__x000d__x000a_ _x000d__x000a__x000d__x000a_*Functional Requirements* _x000d__x000a__x000d__x000a_ _x000d__x000a__x000d__x000a_*Valid From/To columns*_x000d__x000a_ * Add columns Valid from / Valid to (as Datetime ) in GL Decision Table(s)_x000d__x000a_ * if empty valid from to is empty , consider line as valid._x000d__x000a_ * Rules should consider the validity based on these fields._x000d__x000a_ * Advise in documentation and code the format of the field. _x000d__x000a__x000d__x000a_ _x000d__x000a__x000d__x000a_*Multilines* _x000d__x000a__x000d__x000a_In several situations one FT may be detailed in several gl accounts i.e., several journal entries lines. _x000d__x000a_Similarly to what is implemented in Assessments calculation lines, because of different cost centers , several gl accounts should be changed in one transaction based on a rule on how to split these amounts.  _x000d__x000a_ * In GL decision spreadsheets, Define of an Accounting rule included many lines to finally define the journal entries needed. _x000d__x000a_ * Add an indication per line like line 1,2,3_x000d__x000a_ * Define the rule on how to split the amount (e.g. per percentage to original FT amount. the total amount should be same as FT amount or an error will block the journal entries creation because of FT validation rules ) ._x000d__x000a__x000d__x000a_!image-2026-03-02-23-45-16-740.png|width=688,height=278!_x000d__x000a__x000d__x000a_*Rules logic*_x000d__x000a_ * If the parameter/condition is empty, it should be ignored by the rules. _x000d__x000a_ * Rules should search for all the lines that the conditions are fulfilled and check the valid from to._x000d__x000a_ * GL Account Code for Gain/loss may be null and should be ignored in primary currency mode. _x000d__x000a__x000d__x000a_ _x000d__x000a__x000d__x000a_*Customers may add new parameters as columns in gl decision tabels and use in drools*_x000d__x000a_ * Customers should know based on documented instructions,  how to add their own parameters in the Gl_decision drools sheets and use them in relevant drools rules._x000d__x000a_ *  *Reference implementation* /example columns_x000d__x000a_ ** Revenue Type,_x000d__x000a_ ** Accounting Date_x000d__x000a_ ** Claimant? (Yes /No)  ,  Claimant type/ID    _x000d__x000a_ ** Segment Type (Bill segment, Payment, Allocation) , Segment Category     Segment Subcategory    _x000d__x000a_ ** (as -is) FT Type Category  , Financial Transaction Accounting Date _x000d__x000a_ ** Action (Create . Cancel)_x000d__x000a_ ** Add a no functional logic &quot;Notes&quot; column_x000d__x000a_ * Customers should be able to add their own parameters and get the parameters from FT record._x000d__x000a_ ** Columns for  Custom Parameter A (e.g. Reference year), Custom Parameter B  (e.g. DOY) , Custom Parameter C    (these may be ignored if customers can add their columns if/when needed.  _x000d__x000a_ ** Considerations : Customers may need to add conditions/Parameters on FT details, or Party details, or RTR details and these details may be also captured in data areas.  _x000d__x000a__x000d__x000a_ _x000d__x000a__x000d__x000a_*Correction future proof for multicurrency*_x000d__x000a_Replace the one column GL Account Code for Gain/loss with 2 _x000d__x000a_GL Account Code for Gain/loss/ CREDIT (MAKE IT NULLABLE)    _x000d__x000a_GL Account Code for Gain/loss/ DEBIT (MAKE IT NULLABLE) , leave it null in reference implementation sheet. _x000d__x000a__x000d__x000a_ _x000d__x000a__x000d__x000a_ _x000d__x000a__x000d__x000a_*Documentation*_x000d__x000a_Document all the above adjustments. _x000d__x000a__x000d__x000a_*Non functional requirements*_x000d__x000a_Performance , Security, Accessibility, Usability  DODs should be fulfilled. "/>
    <s v="Introducing additional parametersfor GL account selection will significantly reduce the complexity and size of the GL Decision Table, decrease the number of FT types required, and improve system maintainability. By automatically selecting GL accounts based on these contextual parameters, administrators will spend less time configuring and managing special cases, resulting in faster setup, fewer errors, and improved scalability for handling hundreds of accounting variations."/>
    <s v="*A) Valid From/To columns*_x000d__x000a_ # Add columns Valid from / Valid to (as Data time) in GL Decision Table(s)_x000d__x000a_ # if empty valid from to is empty , consider line as valid._x000d__x000a_ # Rules should consider the validity based on these fields._x000d__x000a_ # Advise in documentation and code the format of the field._x000d__x000a__x000d__x000a_*B) Multilines* _x000d__x000a__x000d__x000a_In several situations one FT may be detailed in several gl accounts i.e., several journal entries lines. _x000d__x000a_Similarly to what is implemented in Assessments calculation lines, because of different cost centers , several gl accounts should be changed in one transaction based on a rule on how to split these amounts.  _x000d__x000a_ # In GL decision spreadsheets, Define of an Accounting rule included many lines to finally define the journal entries needed. _x000d__x000a_ # Add an indication per line like line 1,2,3_x000d__x000a_ # Define the rule on how to split the amount (e.g. per percentage to original FT amount. the total amount should be same as FT amount or an error will block the journal entries creation because of FT validation rules ) ._x000d__x000a__x000d__x000a_*C) Rules logic*_x000d__x000a_ # If the parameter/condition is empty, it should be ignored by the rules. _x000d__x000a_ # Rules should search for all the lines that the conditions are fulfilled and check the valid from to._x000d__x000a_ # GL Account Code for Gain/loss may be null and should be ignored in primary currency mode. _x000d__x000a__x000d__x000a__x000d__x000a__x000d__x000a_*D) Customers may add new parameters as columns in gl decision tabels and use in drools*_x000d__x000a_ # Customers should know based on documented instructions,  how to add their own parameters in the Gl_decision drools sheets and use them in relevant drools rules._x000d__x000a_ #  *Reference implementation* /example columns_x000d__x000a_ ## Revenue Type ,  Tax Category  , Tax Type    _x000d__x000a_ ## Claimant? (Yes /No)  ,  Claimant type/ID    _x000d__x000a_ ## Segment Type (Bill segment, Payment, Allocation) , Segment Category     Segment Subcategory    _x000d__x000a_ ## (as -is) FT Type Category  , Financial Transaction Accounting Date _x000d__x000a_ ## Action (Create . Cancel)_x000d__x000a_ ## Columns for  Custom Parameter A (e.g. Reference year)   , Custom Parameter B  (e.g. DOY) , Custom Parameter B  (these may be ignored if customers can add their columns if/when needed.  _x000d__x000a_ ## Add a no functional logic &quot;Notes&quot; column_x000d__x000a_ # Considerations : Customers may need to add conditions/Parameters on FT details, or Party details, or RTR details and these details may be also captured in data areas.  _x000d__x000a__x000d__x000a_ _x000d__x000a__x000d__x000a_*E) Correction future proof for multicurrency*_x000d__x000a_ # Replace the one column GL Account Code for Gain/loss with 2. Do not add yet rule for this. _x000d__x000a_ # GL Account Code for Gain/loss/ CREDIT (MAKE IT NULLABLE)    _x000d__x000a_ # GL Account Code for Gain/loss/ DEBIT (MAKE IT NULLABLE) , leave it null in reference implementation sheet. _x000d__x000a__x000d__x000a_ "/>
  </r>
  <r>
    <s v="IRM-37825"/>
    <x v="2"/>
    <x v="17"/>
    <s v="Billing &amp; Assessments Enhancements"/>
    <s v="Transfer Amount - Enhancement on configuration of Bill segment types"/>
    <s v="In Design"/>
    <n v="106.7"/>
    <s v="GRC"/>
    <x v="0"/>
    <x v="21"/>
    <s v="p1"/>
    <s v="2026-03-02T22:13:53.000+0200"/>
    <s v="GR,pi28_candidate,pi28_p1"/>
    <m/>
    <s v="Transfer Amount - Enhancement on configuration of Bill segment types"/>
    <s v="As an admin, I need to configure the bill segment types generated by the Transfer Amount process so they align with existing, predefined bill segment configurations used in other relevant procedures (e.g., for the same revenue types and bill segment categories)._x000d__x000a__x000d__x000a_In the as-is, one Bill segment type is defined and be used for source and target bill segments._x000d__x000a__x000d__x000a_ _x000d__x000a__x000d__x000a_*Functional Requirements*_x000d__x000a__x000d__x000a_ _x000d__x000a__x000d__x000a_*A) New Bill Segment Type field, next to existing:* _x000d__x000a_ * Alternative Target Bill segment type _x000d__x000a_Lookup bill segment type and filters may be used to locate proper type._x000d__x000a_ * Optional field_x000d__x000a_ * Add Tooltip: This value applies to the target bill segment if filled. If no filled the default bill segment type will be applied to target bill segment as in source bill segment. _x000d__x000a_ * Add it in search filters._x000d__x000a__x000d__x000a_*B) Existing Bill Segment Type field:*_x000d__x000a_ * New label : Default Bill segment type_x000d__x000a_ * Be able to search by  using fields to locate proper type._x000d__x000a_ * Add Tooltip: This value applies to the source bill segment and will also be applied to the target bill segment unless a different bill segment type is explicitly selected._x000d__x000a__x000d__x000a_Consideration : Bill type should support both bill segment types. _x000d__x000a__x000d__x000a_ _x000d__x000a__x000d__x000a_*C) Mechanism:*_x000d__x000a_ * Default bill segment type is mandatory. _x000d__x000a_ * Default Bill segment type will be used for source bill segment._x000d__x000a_ * Alternative Target Bill segment type  will be used for target bill segment._x000d__x000a_ * If Alternative Target Bill segment type id not filled, then Default Bill segment type will be used for target bill segment._x000d__x000a__x000d__x000a_ _x000d__x000a__x000d__x000a_*Documentation*_x000d__x000a_Document all the above adjustments. _x000d__x000a__x000d__x000a_*Non functional requirements*_x000d__x000a_It is expected that the team is manage to collaborate with specialists and ensure that the solution improves or maintain the product's : _x000d__x000a_Performance , Security, Accessibility, Usability  _x000d__x000a_It is expected that all DODs are fulfilled. "/>
    <s v="By enabling admins to configure separate bill segment types for source and target segments in the Transfer Amount process, we ensure alignment with existing, predefined bill segment configurations used across other procedures. This reduces configuration duplication, minimizes manual corrections, and improves consistency across revenue types and bill segment categories."/>
    <s v="*A) New Bill Segment Type field, next to existing:* _x000d__x000a_ * Alternative Target Bill segment type _x000d__x000a_Lookup bill segment type and filters may be used to locate proper type._x000d__x000a_ * Optional field_x000d__x000a_ * Add Tooltip: This value applies to the target bill segment if filled. If no filled the default bill segment type will be applied to target bill segment as in source bill segment. _x000d__x000a_ * Add it in search filters._x000d__x000a__x000d__x000a_*B) Existing Bill Segment Type field:*_x000d__x000a_ * New label : Default Bill segment type_x000d__x000a_ * Be able to search by  using fields to locate proper type._x000d__x000a_ * Add Tooltip: This value applies to the source bill segment and will also be applied to the target bill segment unless a different bill segment type is explicitly selected._x000d__x000a__x000d__x000a_Consideration : Bill type should support both bill segment types. _x000d__x000a__x000d__x000a_ _x000d__x000a__x000d__x000a_*C) Mechanism:*_x000d__x000a_ * Default bill segment type is mandatory. _x000d__x000a_ * Default Bill segment type will be used for source bill segment._x000d__x000a_ * Alternative Target Bill segment type  will be used for target bill segment._x000d__x000a_ * If Alternative Target Bill segment type id not filled, then Default Bill segment type will be used for target bill segment."/>
  </r>
  <r>
    <s v="IRM-37721"/>
    <x v="2"/>
    <x v="16"/>
    <s v="Registration Enhancements"/>
    <s v="More details availability in Revenue types, searching enhancements in  Fts and RTs"/>
    <s v="HLD"/>
    <n v="320"/>
    <s v="GRC"/>
    <x v="0"/>
    <x v="23"/>
    <s v="p1"/>
    <s v="2026-03-01T16:01:12.000+0200"/>
    <s v="GR,TshirtSize_L,pi28_candidate,pi28_p1"/>
    <m/>
    <s v="More details availability in Revenue types, searching enhancements in  Fts and RTs"/>
    <s v="As a revenue officer I need to describe with more details revenue type and related tax as to be able to use this categorization in decisions in flows and journal entries creation in system. _x000d__x000a__x000d__x000a_*Functional Requirements*_x000d__x000a__x000d__x000a_*A)* New OPTIONAL fields in Revenue Type:  _x000d__x000a_ * Checkbox: Actively used_x000d__x000a_Default value = Checked_x000d__x000a_ * New cl field  : *Revenue Domain*_x000d__x000a_ ** Demo values: _x000d__x000a_VAT _x000d__x000a_Income _x000d__x000a_Direct Taxes_x000d__x000a_Indirect Taxes_x000d__x000a_Withholding_x000d__x000a_Fees_x000d__x000a_Non-tax revenues_x000d__x000a_List_x000d__x000a_Other_x000d__x000a_ ** Examples: All Rts check by default_x000d__x000a_Mark demo values accordinly_x000d__x000a_ _x000d__x000a_ * New cl field  : *Declaration Mechanism*_x000d__x000a_ ** Demo values:_x000d__x000a_Fee_x000d__x000a_Certification_x000d__x000a_Personal Income tax_x000d__x000a_Company Income Tax_x000d__x000a_Other_x000d__x000a_ ** Examples: _x000d__x000a_mark demo values accrondinly_x000d__x000a__x000d__x000a_ * Enable {*}Data Area{*}/ User details characteristics_x000d__x000a_ ** Example:  Comments field_x000d__x000a__x000d__x000a_*B)* User can search Revenue types using (BE &amp; UI) :_x000d__x000a_ * Revenue type: Actively used_x000d__x000a_ * Revenue type: Revenue Category_x000d__x000a_ * Revenue type: Revenue Type class_x000d__x000a_ * Revenue type: Priority_x000d__x000a_ * Revenue type: Revenue Domain  (new field)_x000d__x000a_ * Revenue type: Declaration Mechanism  (new field)_x000d__x000a_ * Search by relevant calendars_x000d__x000a_ * Claimants related (at least one claimant is related) _x000d__x000a__x000d__x000a__x000d__x000a__x000d__x000a_*C)*  Admin/process can get the following info when creating , reading a financial transaction :_x000d__x000a_ * Revenue type: Revenue Category_x000d__x000a_ * Revenue type: Revenue Type class_x000d__x000a_ * Revenue type: Revenue Domain_x000d__x000a_ * Revenue type: Declaration Mechanism_x000d__x000a_ * Revenue type: Revenue Type Registration Data Area_x000d__x000a_ * Revenue type: Bill segment Data Area_x000d__x000a__x000d__x000a_No need to see details in Ui, but in BE processes. The goal is to be able to retrieve this info when drools for GL decision table are generated. _x000d__x000a__x000d__x000a_*Documentation*_x000d__x000a_Document all the above adjustments. _x000d__x000a__x000d__x000a_ _x000d__x000a__x000d__x000a_*Non functional requirements*_x000d__x000a_It is expected team to get aligned with respective teams and reassure that is not creating issues or the related NFRs will be tested :_x000d__x000a_Performance , Security, Accessibility, Usability _x000d__x000a_DODs should be fulfilled."/>
    <s v="More details will support customers to segment revenue types and use these details in flows and gl decision table if needed.  "/>
    <s v="*A)* New OPTIONAL fields in Revenue Type:  _x000d__x000a_ * Checkbox: Actively used_x000d__x000a_Default value = Checked_x000d__x000a_ * New cl field  : *Revenue Domain*_x000d__x000a_ ** Demo values: _x000d__x000a_VAT_x000d__x000a_Income_x000d__x000a_Direct Taxes_x000d__x000a_Indirect Taxes_x000d__x000a_Withholding_x000d__x000a_Fees_x000d__x000a_Non-tax revenues_x000d__x000a_List_x000d__x000a_Other_x000d__x000a_ ** Examples: All Rts check by default_x000d__x000a_Mark demo values accordinly_x000d__x000a_ _x000d__x000a_ * New cl field  : *Declaration Mechanism*_x000d__x000a_ ** Demo values:_x000d__x000a_Fee_x000d__x000a_Certification_x000d__x000a_Personal Income tax_x000d__x000a_Company Income Tax_x000d__x000a_Other_x000d__x000a_ ** Examples: _x000d__x000a_mark demo values accrondinly_x000d__x000a__x000d__x000a_ * Enable {*}Data Area{*}/ User details characteristics_x000d__x000a_ ** Example:  Comments field_x000d__x000a__x000d__x000a_*B) (RTs search)*  User can search Revenue types using (BE &amp; UI) :_x000d__x000a_ * Revenue type: Actively used_x000d__x000a_ * Revenue type: Revenue Category_x000d__x000a_ * Revenue type: Revenue Type class_x000d__x000a_ * Revenue type: Priority_x000d__x000a_ * Revenue type: Revenue Domain  (new field)_x000d__x000a_ * Revenue type: Declaration Mechanism  (new field)_x000d__x000a_ * Search by relevant calendars_x000d__x000a_ * Claimants related (at least one claimant is related) _x000d__x000a__x000d__x000a__x000d__x000a__x000d__x000a_*C)*  *(FTs search)* Admin/process can get the following info when creating , reading a financial transaction :_x000d__x000a_ * Revenue type: Revenue Category_x000d__x000a_ * Revenue type: Revenue Type class_x000d__x000a_ * Revenue type: Revenue Domain_x000d__x000a_ * Revenue type: Declaration Mechanism_x000d__x000a_ * Revenue type: Revenue Type Registration Data Area_x000d__x000a_ * Revenue type: Bill segment Data Area_x000d__x000a__x000d__x000a_No need to see details in Ui, but in BE processes. The goal is to be able to retrieve this info when drools for GL decision table are generated. "/>
  </r>
  <r>
    <s v="IRM-37656"/>
    <x v="5"/>
    <x v="12"/>
    <s v="Form Processing Enhancements"/>
    <s v="Enhanced prefill rules - Separate call from validation logic   (RM &amp;SS)"/>
    <s v="Implemented"/>
    <n v="42.7"/>
    <s v="GRC"/>
    <x v="3"/>
    <x v="24"/>
    <s v="p1"/>
    <s v="2026-02-27T14:41:07.000+0200"/>
    <s v="GR,IRM:PI27S03_start,IRM:PI27S05_end,TshirtSize_S,irm_pd_pdm_agreed,pi27_candidate,pi27_p1"/>
    <s v="3.0.0"/>
    <s v="Enhanced prefill rules - Separate call from validation logic   (RM &amp;SS)"/>
    <s v="As an admin I need to be able to define in which event prefill will run even if I need to make it run when opening a form. _x000d__x000a__x000d__x000a_Related : [https://jira.intrasoft-intl.com/browse/PSD-14744] _x000d__x000a__x000d__x000a_*Background*_x000d__x000a__x000d__x000a_Prefill is not functional by opening the form. User should be able to receive the form prefilled._x000d__x000a_I cannot select if I need to run prefill along with validations or not.  _x000d__x000a__x000d__x000a_*Functional Requirements*_x000d__x000a_ * Be able to execute Drools rules automatically when the form opens, without requiring a button click. (Trigger {{prefill}} without requiring any user input). _x000d__x000a_ * Introduce an optional parameter in the validation endpoint to allow each project to decide whether validation should run independently of prefill, depending on their specific needs._x000d__x000a_This solution would keep the current behavior unchanged by default while providing additional flexibility where required._x000d__x000a__x000d__x000a__x000d__x000a__x000d__x000a_Note in https://jira.intrasoft-intl.com/browse/PSD-15129 _x000d__x000a_Please add an *optional parameter* to the *{{checkForm}}* endpoints (for both *IRM* and {*}ISS{*}) that allows the caller to decide whether the *prefill* logic should be executed or skipped._x000d__x000a__x000d__x000a_ _x000d__x000a__x000d__x000a_*Documentation*_x000d__x000a_Document all the above adjustments. _x000d__x000a__x000d__x000a_*Non functional requirements*_x000d__x000a_It is expected team to get aligned with respective teams and reassure that is not creating issues or the related NFRs will be tested :_x000d__x000a_Performance , Security, Accessibility, Usability _x000d__x000a_DODs should be fulfilled._x000d__x000a__x000d__x000a_ "/>
    <s v="By making this configuration possible we enable customers to use prefill as per their needs. "/>
    <s v="* Introduce an optional parameter in the validation endpoint to allow each project to decide whether validation should run independently of prefill, depending on their specific needs._x000d__x000a_ * Be able to execute Drools rules automatically when the form opens, without requiring a button click._x000d__x000a_ * Applicable in forms in RM and SS"/>
  </r>
  <r>
    <s v="IRM-37610"/>
    <x v="0"/>
    <x v="1"/>
    <s v="Maintainability Enhancements"/>
    <s v="Restructure revenue-management-be-custom to align with Hexagonal Architecture"/>
    <s v="To Do"/>
    <n v="69.3"/>
    <s v="Other"/>
    <x v="2"/>
    <x v="20"/>
    <s v="p3"/>
    <s v="2026-02-26T15:34:43.000+0200"/>
    <s v="pi28_candidate,pi28_p3"/>
    <m/>
    <s v="Restructure revenue-management-be-custom to align with Hexagonal Architecture"/>
    <s v="h3. Problem Statement_x000d__x000a__x000d__x000a_The current module structure of *revenue-management-be-custom* is not aligned with hexagonal architecture principles._x000d__x000a__x000d__x000a_Hexagonal architecture is the architectural foundation of the *SolonTax* and the same principles should consistently apply to {*}be-custom{*}._x000d__x000a__x000d__x000a_At present, the structure does not clearly separate application, domain, and adapter layers, which makes the module harder to maintain, evolve, and use as a proper extension point._x000d__x000a__x000d__x000a_Since *be-custom* is intended to serve clients as a starting point for implementing their own platform customizations, the current structure does not provide a clean and consistent reference model to follow._x000d__x000a_h3. Proposed Solution_x000d__x000a__x000d__x000a_Restructure *revenue-management-be-custom* to follow hexagonal architecture principles and align it with the architectural standards of the main *revenue-management-be* project._x000d__x000a__x000d__x000a_The target modular structure should consist of:_x000d__x000a_ * microservice-adapter_x000d__x000a_ * microservice-app_x000d__x000a_ * microservice-core_x000d__x000a_ * microservice-rest-api_x000d__x000a_ * microservice-dto (optional)_x000d__x000a_ * microservice-domain (optional)_x000d__x000a_ * microservice-business-specific (optional, more than one module possible)_x000d__x000a__x000d__x000a_Module dependencies should follow the structure presented in the attached diagram: _x000d__x000a__x000d__x000a_!image-2026-02-26-14-41-24-169.png!_x000d__x000a_h3. Out of Scope_x000d__x000a_ * Introduction of new business functionality._x000d__x000a_ * Refactoring of unrelated microservices._x000d__x000a_ * Major redesign of existing business logic beyond structural alignment._x000d__x000a_ * Changes in external APIs or contracts unless required by the restructuring._x000d__x000a__x000d__x000a_h3. PPD Maturity Index / Control point: Quality / Maintainability / Modularity"/>
    <s v="If *revenue-management-be-custom* is restructured to follow hexagonal architecture principles and aligned with the main *revenue-management-be* project, then:_x000d__x000a_ * Clients will receive a clear and well-structured reference implementation for their customizations._x000d__x000a_ * The risk of improper architectural extensions by clients will be reduced._x000d__x000a_ * Maintainability and readability of the custom module will improve._x000d__x000a_ * Onboarding time for new developers working on customizations will decrease._x000d__x000a_ * Future enhancements and refactoring efforts will require less effort due to improved modular boundaries._x000d__x000a_ * Architectural consistency across the platform will be strengthened."/>
    <s v="* The module structure of revenue-management-be-custom reflects hexagonal architecture principles._x000d__x000a_ * Dependencies between modules follow the defined diagram._x000d__x000a_ * Clear separation exists between adapter, application, and domain layers._x000d__x000a_ * The project compiles successfully after restructuring._x000d__x000a_ * No functional regression is introduced."/>
  </r>
  <r>
    <s v="IRM-37212"/>
    <x v="2"/>
    <x v="16"/>
    <s v="Registration Enhancements"/>
    <s v="View Organizational structure and taxpayers hierarchy structure – User / Part 2 of 2"/>
    <s v="HLD"/>
    <n v="320"/>
    <s v="GRC"/>
    <x v="0"/>
    <x v="23"/>
    <s v="p1"/>
    <s v="2026-02-19T18:41:57.000+0200"/>
    <s v="GR,ORGANIZATIONAL_STRUCTURE,TshirtSize_L,estimation_inaccuracy_high,pi28_candidate,pi28_p1"/>
    <m/>
    <s v="View Organizational structure and taxpayers hierarchy structure – User / Part 2 of 2"/>
    <s v="cont. [https://jira.intrasoft-intl.com/browse/IRM-11539] _x000d__x000a_As a revenue official, I want to view a graphical representation of the organizational structure, so that I can see what organizational units are part of the organizational structure and see how these organizational units are related to one another._x000d__x000a__x000d__x000a_Similarly for party to party hierarchy, I need to be able to see similar representation. _x000d__x000a_a) Org units : Revenue department itself is structured (e.g., Head Office -&gt; Regional Office -&gt; Local Branch)._x000d__x000a_b) Taxpayers:  relationships between legal entities, such as a Holding Company and its subsidiaries, or a franchisor and franchisees or main brand with branches -WHEN THESE FOR A BUSINESS REASON are not expressed in the system as party roles (that is recommended) _x000d__x000a__x000d__x000a_Dependency:  IRM-36002 _x000d__x000a__x000d__x000a_ _x000d__x000a__x000d__x000a_*SCOPE : List view, searching and party assignment.* _x000d__x000a__x000d__x000a_*Functional Requirements*_x000d__x000a__x000d__x000a_+Organizational Units+_x000d__x000a_ * In Org Units page: User can click a button to see an org. units tree where each node in this tree represents an descendant Org. Unit For each node the user can see information that uniquely identifies an Org. Unit. _x000d__x000a_ * Within the tree the user can select to open an organizational unit to see more details in a new page._x000d__x000a_ * In list page: User may click the Parent Org. unit link to open the parent Org unit. _x000d__x000a_ * Users can search for the immediate parent or any ancestor organizational unit._x000d__x000a__x000d__x000a_+Organizations / Taxpayers (Parties)+_x000d__x000a_ * In Party page history view, the user may assign a parent party._x000d__x000a_ * In Party page as today view it displays a link of the parent Party (if any), which if selected opens the parent Party page._x000d__x000a_ * In list page: User may see any parent party as link. User may click the link to open the parent party in a new page. _x000d__x000a_ * Users can search for the immediate parent or any ancestor party._x000d__x000a__x000d__x000a_+Assets+_x000d__x000a_ * In Asset page: User can click a button see an Asset tree where each node in the tree represents an descendant Asset. For each entity the user can see information that uniquely identifies this Asset._x000d__x000a_ * Within the descendants' tree representation a user can click any node to see more details in a new page._x000d__x000a_ * In Assets page history view, the user may assign a parent asset._x000d__x000a_ * In Assets page as today view it displays a link of the parent asset (if any), which if selected opens the parent Party page._x000d__x000a_ * In list page: User may see any parent Assets as link. User may click the link to open the parent Asset. _x000d__x000a_ * In Asset page: User can click a button to see an tree representation where each node in the tree represents an descendant Asset. For each Asset the user can see information that uniquely identifies an Asset._x000d__x000a_ * In this tree a user can open in a new page any descendant Asset to see more details._x000d__x000a_ * Users can search for the immediate parent or any ancestor asset._x000d__x000a__x000d__x000a_-+Example :+- _x000d__x000a_-A button available in Level 1 Taxpayer  &quot;Show Hierarchy&quot;- _x000d__x000a_-When click a modal with tree format appears:- _x000d__x000a__x000d__x000a_-Level 1 Taxpayer A (Business account/ Brand HQs  &amp; Accounting unit)-_x000d__x000a__x000d__x000a_            -Level 2 TaxpayerA1 (branch)- _x000d__x000a_            -Level 2 TaxpayerA2 (branch)- _x000d__x000a_            -Level 2 TaxpayerA3 (branch)- _x000d__x000a_            -Level 2 TaxpayerA4 (branch)- _x000d__x000a__x000d__x000a_ _x000d__x000a__x000d__x000a_ _x000d__x000a__x000d__x000a_!image-2026-02-15-11-58-59-410.png!_x000d__x000a__x000d__x000a_!image-2026-02-15-12-09-39-450.png!_x000d__x000a__x000d__x000a_ _x000d__x000a__x000d__x000a_!image-2026-02-15-12-23-57-978.png!_x000d__x000a__x000d__x000a_*Documentation*_x000d__x000a_Document all the above adjustments. _x000d__x000a__x000d__x000a_ _x000d__x000a__x000d__x000a_*Non functional requirements*_x000d__x000a_It is expected team to get aligned with respective teams and reassure that is not creating issues or the related NFRs will be tested :_x000d__x000a_Performance , Security, Accessibility, Usability _x000d__x000a_DODs should be fulfilled."/>
    <s v="If revenue officials can view a graphical representation (tree structure) of organizational units they will better understand structural relationships, reporting lines, and operational responsibilities, which will improve navigation efficiency, reduce misrouting  and enhance experience. "/>
    <s v="+A. Organizational Units+_x000d__x000a_ # In Org Units page: User can click a button to see an org. units tree where each node in this tree represents an descendant Org. Unit For each node the user can see information that uniquely identifies an Org. Unit. _x000d__x000a_ # Within the tree the user can select to open an organizational unit to see more details in a new page._x000d__x000a_ # In list page: User may click the Parent Org. unit link to open the parent Org unit. _x000d__x000a_ # Users can search for the immediate parent or any ancestor organizational unit._x000d__x000a__x000d__x000a_+B. Taxpayers (Parties)+_x000d__x000a_ # In Party page history view, the user may assign a parent party._x000d__x000a_ # In Party page as today view it displays a link of the parent Party (if any), which if selected opens the parent Party page._x000d__x000a_ # In list page: User may see any parent party as link. User may click the link to open the parent party in a new page. _x000d__x000a_ # Users can search for the immediate parent or any ancestor party._x000d__x000a__x000d__x000a_+C. Asset+_x000d__x000a_ # In Asset page: User can click a button see an Asset tree where each node in the tree represents an descendant Asset. For each entity the user can see information that uniquely identifies this Asset._x000d__x000a_ # Within the descendants' tree representation a user can click any node to see more details in a new page._x000d__x000a_ # In Assets page history view, the user may assign a parent asset._x000d__x000a_ # In Assets page as today view it displays a link of the parent asset (if any), which if selected opens the parent Party page._x000d__x000a_ # In list page: User may see any parent Assets as link. User may click the link to open the parent Asset. _x000d__x000a_ # In Asset page: User can click a button to see an tree representation where each node in the tree represents an descendant Asset. For each Asset the user can see information that uniquely identifies an Asset._x000d__x000a_ # In this tree a user can open in a new page any descendant Asset to see more details._x000d__x000a_ # Users can search for the immediate parent or any ancestor asset."/>
  </r>
  <r>
    <s v="IRM-36980"/>
    <x v="5"/>
    <x v="14"/>
    <s v="Reference Data Enhancements"/>
    <s v="Update validation for codelist items related to date validity"/>
    <s v="Implemented"/>
    <n v="42.7"/>
    <s v="GRC"/>
    <x v="3"/>
    <x v="24"/>
    <s v="p2"/>
    <s v="2026-02-18T11:07:42.000+0200"/>
    <s v="GR,IRM:PI27S03_start,IRM:PI27S05_end,TshirtSize_S,irm_pd_pdm_agreed,pi27_candidate,pi27_p2"/>
    <s v="3.0.0"/>
    <s v="Update validation for codelist items related to date validity"/>
    <s v="As a user I should be able to update a party, even in case where codelist items related to that paty type have expired, so that I am able to update any party atribute needed. _x000d__x000a__x000d__x000a_*Introduction* _x000d__x000a__x000d__x000a_This feature is a result of a blocking incident followed by a CR from LT Project (both linked to this issue), where updating a party is not feasible when expired codelist items exist. It is identified as an issue in all projects therefore created this issue to provide a solution for all projects. Prefered related solution was discussed and agreed between current projects of LT &amp; GR as well as PD &amp; PDM.  _x000d__x000a__x000d__x000a_*Functional Requirements* _x000d__x000a_ * Disable temporal validation for validity period on codelist items. As a result temporal validation are in scope of respective form rules created and maintained by project teams, to provide flexibility necessary for implementations. _x000d__x000a_ * Only check that codelist item exists_x000d__x000a__x000d__x000a_*Impact Analysis -* *Business Impact*_x000d__x000a_ * Improved User Experience: Users can update party information without being blocked by expired codelist items_x000d__x000a_ * Operational Flexibility: Implementations can manage temporal constraints through business rules rather than system constraints_x000d__x000a_ * Reduced Support Incidents: Eliminates blocking scenarios where valid business operations are prevented by technical validation_x000d__x000a__x000d__x000a_*Areas Requiring Consideration:*_x000d__x000a__x000d__x000a_Form Validation Logic_x000d__x000a_ * Forms that previously relied on codelist date validation must implement custom date checks where business rules require them_x000d__x000a_ * Example: Individual Registration Form, Business Registration Form etc. _x000d__x000a__x000d__x000a_Business Process Rules_x000d__x000a_ * Workflow engines and business rule systems need explicit date validation logic for time-sensitive codelist items_x000d__x000a_ * Process definitions must be updated to include temporal checks where business-critical_x000d__x000a__x000d__x000a_Integration Impact _x000d__x000a_ * Downstream systems expecting only valid (non-expired) codelist items may receive unexpected data_x000d__x000a_ * API consumers need to be informed about the change in validation behavior_x000d__x000a_ * Data exchange formats may need to include validity period information_x000d__x000a__x000d__x000a_*Reference Implementation Impact*_x000d__x000a__x000d__x000a_Based on the analysis on Solon Tax product the following areas are impacted from this requirement implementation:_x000d__x000a__x000d__x000a_Party Management_x000d__x000a_ * Create Party: Party creation and update processes will no longer validate codelist item dates_x000d__x000a_ * Party Types: Classification types, contact types, and identifier types will only check existence_x000d__x000a_ * Address Management: Address type validations will be relaxed_x000d__x000a__x000d__x000a_Form Processing_x000d__x000a_ * Existing Forms: Form validation logic may need updates for temporal requirements_x000d__x000a_ * Party Type Forms: Business &amp; Individual registration forms need careful review of temporal requirements_x000d__x000a__x000d__x000a_Demo Data and Testing_x000d__x000a_ * Demo codelist items with expired dates will still be usable_x000d__x000a_ * Test scenarios need updates to reflect both validation approaches_x000d__x000a__x000d__x000a_*Risk Assessment*_x000d__x000a_ * Regulatory Compliance: Tax and legal processes that depend on temporal validity of codelist items_x000d__x000a_ * Audit Trail: Need to ensure audit processes can track when expired items are used_x000d__x000a_ * Cross-System Integration: Systems expecting temporal validation may need updates_x000d__x000a_ * Data Quality: Without automatic date validation, data quality processes need enhancement_x000d__x000a__x000d__x000a_*Mitigation Strategies*_x000d__x000a__x000d__x000a_Implementation Guidelines - Documentation_x000d__x000a_ * Provide clear documentation on when to use relaxed validation vs. strict date validation_x000d__x000a_ * Create migration guides for existing implementations_x000d__x000a_ * Establish best practices for implementing business-specific temporal validation_x000d__x000a__x000d__x000a_Monitoring and Control_x000d__x000a_ * Implement logging when expired codelist items are used_x000d__x000a_ * Create alerts/warnings for business processes using expired items in critical contexts_x000d__x000a__x000d__x000a_ "/>
    <s v="* Reduced Support Incidents: Eliminate blocking scenarios for valid business operations_x000d__x000a_ * Increased Operational Flexibility: Allow implementations to define temporal validation per business needs_x000d__x000a_ * Improved User Productivity: Users can complete party updates without technical validation barriers_x000d__x000a_ * Enhanced System Reliability: Reduce system failures due to expired codelist items"/>
    <s v="&gt; Codelist item fields are not check for date validity_x000d__x000a__x000d__x000a_&gt; Only check if a codelist item exists "/>
  </r>
  <r>
    <s v="IRM-36862"/>
    <x v="0"/>
    <x v="18"/>
    <s v="Reliability Enhancements"/>
    <s v="Record Locking - Apply logic to  Party record"/>
    <s v="HLD"/>
    <n v="533.29999999999995"/>
    <s v="GRC"/>
    <x v="0"/>
    <x v="8"/>
    <s v="p1"/>
    <s v="2026-02-17T14:00:12.000+0200"/>
    <s v="GR,TshirtSize_XL,pi28_candidate,pi28_p1"/>
    <m/>
    <s v="Record Locking - Apply logic to  Party record"/>
    <s v="The system manages simultaneous record modifications through a  mechanism, ensuring consistent updates and providing users with confirmation on whether their commit was accepted._x000d__x000a__x000d__x000a_As discussed:_x000d__x000a_ * Data integrity is enforced via optimistic locking (version control)._x000d__x000a_ * -UI locking is optional and only improves user experience  to reduce user conflicts. The system may implement a soft UI lock when a user enters edit mode.-_x000d__x000a_ * Conflict handling strategy is required_x000d__x000a_ * Retry policy for batch/BPMN is required_x000d__x000a__x000d__x000a_(Notes _x000d__x000a_ * *Optimistic locking* : no long-lived DB lock. Conflict detected when commit_x000d__x000a__x000d__x000a_ * *Pessimistic locking* : record locked during editing_x000d__x000a_) _x000d__x000a__x000d__x000a_*Suggestion*_x000d__x000a__x000d__x000a_Each Party record shall include a version attribute, incremented automatically upon every successful update. Before committing any update (UI, batch, workflow, or API), the system shall verify that the submitted version matches the current version stored in the database , or  Reject the transaction if the versions do not match._x000d__x000a__x000d__x000a_The system shall verify that the *submitted version matches the current version* in the database._x000d__x000a__x000d__x000a_{*}Mismatch{*}:_x000d__x000a_ * The transaction is {*}rejected{*}. A message appears in Ui or an exception if thrown (for the caller)  explaining the concurrency conflict error._x000d__x000a_{*}Message{*}: “This record was modified by another user. Please reload and review the latest data.”_x000d__x000a__x000d__x000a_ * UI:  User must reload the record _x000d__x000a_ * UI :  User may reapply changes and retry._x000d__x000a__x000d__x000a_ * Batch / BPMN : Retry policy updates  (with a number of attends)_x000d__x000a_ * Batch / BPMN : Reload latest version? _x000d__x000a_ * Batch / BPMN : Log exception_x000d__x000a__x000d__x000a_*Release mismatch*_x000d__x000a_ * The user commits changes_x000d__x000a__x000d__x000a_ * The user cancels editing_x000d__x000a__x000d__x000a_ * The session times out  or by a configurable defined time out _x000d__x000a__x000d__x000a_*Considerations:* _x000d__x000a_Party record may be updated by more than one Forms and a batch process the same time.  (example: A form to update address and meanwhile an older action because of an asynchronous process or a bpmn waiting for an signal to continue to the next step) to update ID was proceeded) _x000d__x000a_How long UI lock is valid? Could this version locked may be renewable after a refresh, cancelation, time  etc? _x000d__x000a_What happens on browser crash?_x000d__x000a__x000d__x000a_ _x000d__x000a__x000d__x000a_!image-2026-02-17-14-08-31-993.png|width=929,height=477!!image-2026-02-17-14-09-26-503.png!_x000d__x000a__x000d__x000a_*Documentation*_x000d__x000a_Document all the above adjustments. _x000d__x000a__x000d__x000a_ _x000d__x000a__x000d__x000a_*Non functional requirements*_x000d__x000a_It is expected to reassure that relevant NFRs (Performance , Security, Accessibility, Usability ) are tested and are not negatively affecting the product.  _x000d__x000a_DODs should be fulfilled. "/>
    <s v="-"/>
    <s v="Implement record locking in Party"/>
  </r>
  <r>
    <s v="IRM-36809"/>
    <x v="0"/>
    <x v="8"/>
    <s v="Security Enhancements"/>
    <s v="SS enhancements -Configure the items that can be publicly available in db level (Part 1/2)"/>
    <s v="Under Verification"/>
    <n v="147.69999999999999"/>
    <s v="GRC"/>
    <x v="3"/>
    <x v="25"/>
    <s v="p2"/>
    <s v="2026-02-17T10:48:53.000+0200"/>
    <s v="GR,GR_Early_D,IATNotTestable,SELF_SERVICE_SERVICES_MANAGEMENT,irm_pd_pdm_agreed,pi27_candidate,pi27_p2"/>
    <s v="3.0.0"/>
    <s v="SS enhancements -Configure the items that can be publicly available in db level (Part 1/2)"/>
    <s v="continuing  and dependent : [https://jira.intrasoft-intl.com/browse/IRM-30785] _x000d__x000a__x000d__x000a_On previous section of the functionality the availability of items publicly was enabled. On top of that we need admin to be able to configure which items can be available publicly. _x000d__x000a__x000d__x000a_*Functional Requirements* _x000d__x000a__x000d__x000a_Configure the items that can be publicly available in db level : _x000d__x000a_ * Admin may define which reference data items can be publicly available._x000d__x000a_Example System parameters cannot be available. Party Classifications can be. _x000d__x000a_ * Admin may define which translation items can be publicly available._x000d__x000a_Example: Party page labels can be available, Exceptions labels may not. _x000d__x000a_ * Admin may define which service items can be publicly available._x000d__x000a_Example: VAT form cannot be publicly available, Registration forms can_x000d__x000a__x000d__x000a_Permissions: _x000d__x000a_ * -Specific rights should be assigned to an admin to be able to configure the above settings.- _x000d__x000a__x000d__x000a_Additional Considerations_x000d__x000a_ * Audit logs capture configuration changes_x000d__x000a_ * Documentation is updated to describe the configuration options and default behavior._x000d__x000a_ * Automated tests validate unauthenticated access and expected responses for each endpoint._x000d__x000a_ * Backward compatibility is preserved for existing operations_x000d__x000a__x000d__x000a_ _x000d__x000a_----_x000d__x000a_*Documentation*_x000d__x000a_Document all the above adjustments. _x000d__x000a__x000d__x000a_ _x000d__x000a__x000d__x000a_*Non functional requirements*_x000d__x000a_It is expected team to get aligned with respective teams and reassure that is not creating issues or the related NFRs will be tested :_x000d__x000a_Performance , Security, Accessibility, Usability _x000d__x000a_DODs should be fulfilled."/>
    <s v="-"/>
    <s v="# Admin may define which reference data items can be publicly available._x000d__x000a_ # Admin may define which translation  items can be publicly available._x000d__x000a_ # Admin may define which service items can be publicly available._x000d__x000a_ # Only the configured items as such can be publicly available._x000d__x000a_Note: It is expected audit logs to capture changes. "/>
  </r>
  <r>
    <s v="IRM-36668"/>
    <x v="5"/>
    <x v="19"/>
    <s v="Document Management Integration Enhancements"/>
    <s v="Digital Signatures - System digital signing of PDF documents generated by bpmn process"/>
    <s v="In Design"/>
    <n v="480"/>
    <s v="GRC"/>
    <x v="0"/>
    <x v="26"/>
    <s v="p1"/>
    <s v="2026-02-16T00:33:24.000+0200"/>
    <s v="GR,TshirtSize_XL,pi28_candidate,pi28_p1"/>
    <m/>
    <s v="Digital Signatures - System digital signing of PDF documents generated by bpmn process"/>
    <s v="As a revenue authority user, when the system generates a document (e.g., operational reports, letters, certificates) and the business process instructs so, I want the document to be digitally signed by the system, with all required visual elements rendered in the PDF, so that I can securely distribute officially signed documents to taxpayers and stakeholders._x000d__x000a__x000d__x000a_This capability must be reusable, configurable, auditable, and resilient to failures._x000d__x000a__x000d__x000a_*Background :*_x000d__x000a_In the current (as-is) systems:_x000d__x000a_Documents are generated via operational reports _x000d__x000a_Documents may be instructed to be generated via BPMN flows._x000d__x000a_Documents may be sent to contacts and/or stored as attachments. _x000d__x000a_Attachments can be linked to a Document Management System (DMS) via integration._x000d__x000a__x000d__x000a_*Assumptions :* _x000d__x000a_*a)* Revenue authority will supplied by an External provider the digital stamp (ψηφιακή σφραγίδα) in ΡΕΜ or PKC#7 files_x000d__x000a_Then the configurations for digital signs and certificate will be used for documents signature. _x000d__x000a_./pdf_sign_pem_multicert &lt;input_pdf&gt; &lt;output_pdf&gt; &lt;cert.pem&gt; &lt;key.pem&gt;_x000d__x000a__x000d__x000a_for our tests we need to use one from CA authority _x000d__x000a_*b)* Any additional elements (document IDs, DMS URLs, QR codes) must be printed on the document via project-specific implementation._x000d__x000a_{*}c){*}Attachments are integrated with a DMS per customer configuration and responsibility._x000d__x000a_*d)* One reference configuration for one digital signature will be only will be available for testing purposes (as demo). If projects needs several signatures, they may be able to configure them in the system.  _x000d__x000a__x000d__x000a_*Out of Scope* (for now)_x000d__x000a_End-user personal digital signatures_x000d__x000a_Non-PDF document formats_x000d__x000a_Additional IDs or other document additional elements other than digital signature. (document ID, qr code)_x000d__x000a__x000d__x000a_ _x000d__x000a__x000d__x000a_ _x000d__x000a__x000d__x000a_*Functional Requirements*_x000d__x000a__x000d__x000a_*Digital Signature service* _x000d__x000a_ * Documents can be digitally signed when instructed by a step in a BPMN flow._x000d__x000a_ * The system must expose an API or internal service or other method  for digital signing that can be called by bpmn processes._x000d__x000a_ * The signing service must support the signature based on customers configurations and certificate._x000d__x000a_ * Admin may configure several signatures.  (May be able to use more than one configurations and certificate / different signatures and bpmn process should decide on which configurations and certificate to be used, but will not be any defaults available in the product).  _x000d__x000a_ * Keep Audit log for the documents' updates._x000d__x000a__x000d__x000a_*PDF* _x000d__x000a_ * The digital signature must be embedded in the PDF according to industry standards (e.g., PAdES)._x000d__x000a_ * The PDF must remain verifiable by standard PDF readers._x000d__x000a__x000d__x000a_*Storage &amp; Metadata*_x000d__x000a_ * Signed documents must be stored as attachments  (expected as per relevant integration to be synchronized with the DMS)._x000d__x000a__x000d__x000a_ * Document generated is expected to be displayed with  the relevant signature stamp and document ID  (by a reserve id method optionally to be used  in the upload  and that may be used if  needed by configurators) _x000d__x000a__x000d__x000a_*Visual Elements on Document*_x000d__x000a_Signed documents must display a visible digital signature stamp._x000d__x000a__x000d__x000a_*Unhappy path :*_x000d__x000a_ * Errors must be logged and be visible.   _x000d__x000a_ ** Exceptions should be thrown if document generation or digital signature process not completed successfully. _x000d__x000a_examples: Document generation fails, Template not found, Missing parameters, Digital signing fails, Timeouts_x000d__x000a__x000d__x000a_ _x000d__x000a__x000d__x000a_*Reference implementation:* _x000d__x000a_ * At the end of the Busreg form, generate a document (operational report)  with all the details filled  per sections same as tabs_x000d__x000a_Document will be digital signed and stored in attachments linked to the form _x000d__x000a_Consideration: Create the signature as a reusable subflow _x000d__x000a__x000d__x000a_*Example*_x000d__x000a__x000d__x000a_!image-2026-02-16-00-37-24-460.png|width=685,height=402!_x000d__x000a__x000d__x000a_*Documentation*_x000d__x000a_Document all the above adjustments. _x000d__x000a__x000d__x000a_ _x000d__x000a__x000d__x000a_*Non functional requirements*_x000d__x000a_It is expected team to get aligned with respective teams and reassure that is not creating issues or the related NFRs will be tested :_x000d__x000a_Performance , Security, Accessibility, Usability _x000d__x000a_DODs should be fulfilled._x000d__x000a__x000d__x000a_+Security+_x000d__x000a_Certificates and private keys must be stored securely (e.g., HSM, secure vault, encrypted storage) or other repository. _x000d__x000a_Access to signing functionality must be restricted and auditable._x000d__x000a__x000d__x000a_+Auditability+_x000d__x000a_Every signing action must be logged:_x000d__x000a_Who/what triggered the signing_x000d__x000a_Timestamp_x000d__x000a_Document ID_x000d__x000a_Certificate used_x000d__x000a__x000d__x000a_+Performance+_x000d__x000a_Signing should not block critical user flows beyond acceptable SLA limits._x000d__x000a_Support async signing for large documents or batch processing._x000d__x000a__x000d__x000a_+Configurability+_x000d__x000a_Be able to select different configurations for digital signs  to be used.  _x000d__x000a__x000d__x000a_ _x000d__x000a__x000d__x000a_*Notes:* _x000d__x000a_In Gr used:  [https://www.harica.gr/el/Products/eSeal] _x000d__x000a_----_x000d__x000a__Την ηλεκτρονική σφραγίδα (πρόκειται για ψηφιακό πιστοποιητικό ηλεκτρονικής υπογραφής) πρέπει να την προμηθευτεί η ΑΑΔΕ από Εγκεκριμένο Πάροχο Υπηρεσιών Εμπιστοσύνης και να μας δώσει το private key και τον κωδικό που το προστατεύει.__x000d__x000a__x000d__x000a__Στην Ελλάδα τέτοιος Πάροχος είναι μόνο η Harica._ [_https://www.harica.gr/el/Products/eSeal_|https://eur02.safelinks.protection.outlook.com/?url=https%3A%2F%2Fwww.harica.gr%2Fel%2FProducts%2FeSeal&amp;data=05%7C02%7CIoannis.SAVVIDIS%40netcompany.com%7C5709551eaa9b478ddf3008de68c7a564%7C8f9b88a73f3e4be3aae42006d4c42306%7C1%7C0%7C639063403886521092%7CUnknown%7CTWFpbGZsb3d8eyJFbXB0eU1hcGkiOnRydWUsIlYiOiIwLjAuMDAwMCIsIlAiOiJXaW4zMiIsIkFOIjoiTWFpbCIsIldUIjoyfQ%3D%3D%7C0%7C%7C%7C&amp;sdata=E8YLZC%2BgXVmRfTecgUZy2SwjnLk2TI1yRtd135CYee8%3D&amp;reserved=0] __ "/>
    <s v="Implementing a *digital signature service integrated with BPMN workflows* will allow documents generated by the system to be *automatically and securely signed using configurations*_x000d__x000a__x000d__x000a_This capability will:_x000d__x000a_ * *Improve compliance and legal validity* of system-generated documents by supporting industry standards such as {*}PAdES for PDF digital signatures{*}._x000d__x000a__x000d__x000a_ * *Increase process automation* by enabling BPMN workflows to trigger document signing without manual intervention._x000d__x000a__x000d__x000a_ * *Enhance auditability and traceability* by maintaining audit logs for document generation, signing, and updates._x000d__x000a__x000d__x000a_ * *Provide flexibility and configurability* by allowing administrators to configure multiple certificates and enabling workflows to dynamically select the appropriate signature._x000d__x000a__x000d__x000a_ * *Improve user trust and document authenticity* by displaying visible digital signature stamps and ensuring documents remain verifiable in standard PDF readers._x000d__x000a__x000d__x000a_ * *Support integration with enterprise document management systems (DMS)* through storage and synchronization of signed documents as attachments._x000d__x000a__x000d__x000a_ * *Reduce operational effort and processing time* by eliminating manual signing steps and embedding signing directly into business processes._x000d__x000a__x000d__x000a_Overall, this capability will *strengthen document governan*"/>
    <s v="*Digital Signature service* _x000d__x000a_ * Documents can be digitally signed when instructed by a step in a BPMN flow._x000d__x000a_ * The system must expose an API or internal service or other method  for digital signing that can be called by bpmn processes._x000d__x000a_ * The signing service must support the signature based on customers configurations and certificate._x000d__x000a_ * Admin may configure several signatures.  (May be able to use more than one configurations and certificate/ different signatures and bpmn process should decide on which configurations and certificate to be used, but will not be any defaults available in the product).  _x000d__x000a_ * Keep Audit log for the documents' updates._x000d__x000a__x000d__x000a_*PDF* _x000d__x000a_ * The digital signature must be embedded in the PDF according to industry standards (e.g., PAdES)._x000d__x000a_ * The PDF must remain verifiable by standard PDF readers._x000d__x000a__x000d__x000a_*Storage &amp; Metadata*_x000d__x000a_ * Signed documents must be stored as attachments  (expected as per relevant integration to be synchronized with the DMS)._x000d__x000a__x000d__x000a_ * Document generated is expected to be displayed with  the relevant signature stamp and document ID  (project will add this id via a reserve id method optionally to be used  in the upload)_x000d__x000a__x000d__x000a_*Visual Elements on Document*_x000d__x000a_Signed documents must display a visible digital signature stamp._x000d__x000a__x000d__x000a_*Unhappy path :*_x000d__x000a_ * Errors must be logged and be visible.   _x000d__x000a_ ** Exceptions should be thrown if document generation or digital signature process not completed successfully. _x000d__x000a_examples: Document generation fails, Template not found, Missing parameters, Digital signing fails, Timeouts_x000d__x000a__x000d__x000a_ _x000d__x000a__x000d__x000a_*Reference implementation:* _x000d__x000a_ * At the end of the Busreg form, generate a document (operational report)  with all the details filled  per sections same as tabs_x000d__x000a_Document will be digital signed and stored in attachments linked to the form _x000d__x000a_Consideration: Create the signature as a reusable subflow "/>
  </r>
  <r>
    <s v="IRM-36667"/>
    <x v="3"/>
    <x v="7"/>
    <s v="User &amp; 3rd Party Access Management Enhancements"/>
    <s v="Representations : Ability to relate attachments to Representations in RM (RM &amp; SS)"/>
    <s v="Waiting Analysis Approval"/>
    <n v="1066.7"/>
    <s v="Other"/>
    <x v="2"/>
    <x v="13"/>
    <s v="p3"/>
    <s v="2026-02-15T22:24:50.000+0200"/>
    <s v="pi29_candidate"/>
    <m/>
    <s v="Representations : Ability to relate attachments to Representations in RM (RM &amp; SS)"/>
    <s v="As an SS or RM user with specific rights or admin, I need to be able to relate attachments with representations as to be able to relate Authorization paperwork with representations. _x000d__x000a_*{color:#ff8b00}CHECK ! Review the LT branch for any implemented functionalities that can be merged into the product.{color}*_x000d__x000a__x000d__x000a_ _x000d__x000a__x000d__x000a_*Functional requirements*_x000d__x000a__x000d__x000a_*Basics:* _x000d__x000a_ * If user via a form or in SS or RM Ui, create a representation, document may be related to _x000d__x000a_Agreement, Party Role relations,  Both Party Roles_x000d__x000a__x000d__x000a_*Versioning*_x000d__x000a_ * Changes should be logged in Audit log._x000d__x000a__x000d__x000a_ _x000d__x000a__x000d__x000a_*Documentation*_x000d__x000a_Document all the above adjustments. _x000d__x000a__x000d__x000a_*Non functional requirements*_x000d__x000a_It is expected team to get aligned with respective teams and reassure that is not creating issues or the related NFRs will be tested :_x000d__x000a_Performance , Security, Accessibility, Usability _x000d__x000a_DODs should be fulfilled._x000d__x000a_----_x000d__x000a_ "/>
    <s v="-"/>
    <s v="-"/>
  </r>
  <r>
    <s v="IRM-36666"/>
    <x v="3"/>
    <x v="7"/>
    <s v="User &amp; 3rd Party Access Management Enhancements"/>
    <s v="Representations : Ability to define and manage Representations in RM (affecting SS users)"/>
    <s v="Waiting Analysis Approval"/>
    <n v="533.29999999999995"/>
    <s v="GRC"/>
    <x v="0"/>
    <x v="8"/>
    <s v="p1"/>
    <s v="2026-02-15T21:33:28.000+0200"/>
    <s v="GR,TshirtSize_XXL,pi28_candidate,pi28_p1"/>
    <m/>
    <s v="Representations : Ability to define and manage Representations in RM (affecting SS users)"/>
    <s v="As an RM user with specific rights or admin, I need to be able to define and manage representations in RM system. _x000d__x000a_The internal tax-authority user must be able to manage the authorizations of the taxpayers. The provided functionality is the same as the one provided in the Self Service portal, with the addition of the possibility to select a Taxpayer to manage._x000d__x000a__x000d__x000a_*{color:#ff8b00}CHECK ! Review the LT branch for any implemented functionalities that can be merged into the product.{color}*_x000d__x000a__x000d__x000a_ _x000d__x000a__x000d__x000a_*Background*_x000d__x000a_Representation = authorization granted by a taxpayer to a representative to act on their behalf for specific services and within a defined validity period._x000d__x000a__x000d__x000a_*Functional requirements*_x000d__x000a__x000d__x000a_*Basics:* _x000d__x000a__x000d__x000a_List of representations available in RM for permitted users to create and manage_x000d__x000a_ * Users with permissions may search for existing representations in a list of SS representations in RM_x000d__x000a_ ** _x000d__x000a_ *** Agreement : From user_x000d__x000a_ *** Agreement : To user_x000d__x000a_ *** Agreement : Start , End date_x000d__x000a_ *** Agreement : Last modified date_x000d__x000a_ *** Agreement : Source system_x000d__x000a_ *** Agreement : Agreement_x000d__x000a_ *** Agreement : Status _x000d__x000a_ *** Agreement : Status Reason  from [https://jira.intrasoft-intl.com/browse/IRM-36665]  _x000d__x000a_ *** other from [https://jira.intrasoft-intl.com/browse/IRM-36665]   , [https://jira.intrasoft-intl.com/browse/IRM-39135] _x000d__x000a_    Agreement :&quot;Purpose&quot; (as in other cases in system) , _x000d__x000a_    Agreement :&quot;External created datetime&quot; (as in parties)_x000d__x000a_    Agreement :&quot;Requested by External system&quot;_x000d__x000a_ *** Agreement service : service_x000d__x000a_ *** Agreement service :  Start , End date_x000d__x000a_ *** Agreement service :  Last modified date_x000d__x000a_ * Lifecycle as in  [https://jira.intrasoft-intl.com/browse/IRM-36665] _x000d__x000a_ * Users with permissions may create representations in RM (via form or RM record)_x000d__x000a_ ** _x000d__x000a_ *** Agreement : select the users _x000d__x000a_From  (Taxpayer)_x000d__x000a_To       (Representative)_x000d__x000a_ *** Agreement : Select period_x000d__x000a_Start_x000d__x000a_End_x000d__x000a_ *** Source should be set as RM system_x000d__x000a_ *** Agreement : Agreement_x000d__x000a_ *** Agreement service : see the list of all services (along with descriptions and included rights) and be able to select the services along the  Start , End date of each_x000d__x000a_ *** Other fields from _x000d__x000a_ *** other from [https://jira.intrasoft-intl.com/browse/IRM-36665]  _x000d__x000a__x000d__x000a_{*}Validatio{*}{*}ns{*}_x000d__x000a_ * Be able to define and validations with configured parameters as in .[https://jira.intrasoft-intl.com/browse/IRM-32343] _x000d__x000a__x000d__x000a_*Levels*_x000d__x000a_ * Levels of hierarchy ability to define and display as in [https://jira.intrasoft-intl.com/browse/IRM-36665]  _x000d__x000a__x000d__x000a_*Functionality*_x000d__x000a_ * Automated expiration enforcement: Deactivation or permissions/representations when End DateTime expires._x000d__x000a_ * Sync RM/SS happens real time_x000d__x000a__x000d__x000a_*Records Locking*_x000d__x000a_ * When edited in SS record cannot be edited in RM.  (as per Solon locking functionality - if not yet implemented you may split in a different feature)_x000d__x000a_Prevent conflicting or overlapping delegations (or require explicit override)._x000d__x000a__x000d__x000a_*Notification* _x000d__x000a_ * When saving new representation or updated representation a notification to both users_x000d__x000a_ ** Taxpayer: A new representative defined for you. See related record. &lt;Link of SS representation record)_x000d__x000a_ ** Representative: A new representation is assigned to your account for Taxpayer &lt;Taxpayer Name/ Identifier primary&gt; . See related record. &lt;Link of SS representation record)_x000d__x000a_ * When saving new representation or updated representation a contact may be sent to both users_x000d__x000a_ ** Title : &quot;New representation&quot; _x000d__x000a_ ** Body :  Representative &lt;Representative (Name , primary ID)&gt;  is assigned to &lt;Taxpayer (Name , primary ID) &gt;_x000d__x000a__x000d__x000a_*Versioning*_x000d__x000a_ * Changes should be logged in Audit log._x000d__x000a__x000d__x000a_ _x000d__x000a__x000d__x000a_*Permissions*_x000d__x000a_ * Admin may assign specific permissions to users that can create/update agreements._x000d__x000a_ * Restriction: Only users with “Representation Management” role can create/update._x000d__x000a__x000d__x000a_ _x000d__x000a__x000d__x000a_*Documentation*_x000d__x000a_Document all the above adjustments. _x000d__x000a__x000d__x000a_*Non functional requirements*_x000d__x000a_It is expected team to get aligned with respective teams and reassure that is not creating issues or the related NFRs will be tested :_x000d__x000a_Performance , Security, Accessibility, Usability _x000d__x000a_DODs should be fulfilled._x000d__x000a_----_x000d__x000a_ "/>
    <s v="If RM users with appropriate permissions can centrally define, manage, and audit taxpayer representations for SS within the RM system, then the tax authority will gain stronger control, transparency, and governance over delegated authorizations, resulting in improved compliance oversight, reduced fraud risk, and more efficient case handling."/>
    <s v="*A. Basics:* _x000d__x000a_ # List of representations available in RM for permitted users to create and manage_x000d__x000a_Users with permissions may search for existing representations in a list of SS representations in RM_x000d__x000a_Agreement : From user_x000d__x000a_Agreement : To user_x000d__x000a_Agreement : Start , End date_x000d__x000a_Agreement : Last modified date_x000d__x000a_Agreement : Source system_x000d__x000a_Agreement : Agreement_x000d__x000a_Agreement : Status_x000d__x000a_Agreement service : service_x000d__x000a_Agreement service :  Start , End date_x000d__x000a_Agreement service :  Last modified date_x000d__x000a_Plus fields from other from [https://jira.intrasoft-intl.com/browse/IRM-36665]   _x000d__x000a_ # Confirm Lifecycle as in  [https://jira.intrasoft-intl.com/browse/IRM-36665]_x000d__x000a_ # Users with permissions may create representations in RM (via form or RM record._x000d__x000a_Agreement : select the users _x000d__x000a_From  (Taxpayer)_x000d__x000a_To       (Representative)_x000d__x000a_Agreement : Select period  : Start, End_x000d__x000a_Source should be set as RM system_x000d__x000a_Agreement : Agreement_x000d__x000a_Agreement service : see the list of all services (along with descriptions and included rights) and be able to select the services along the  Start , End date of each_x000d__x000a_Plus fields from other from [https://jira.intrasoft-intl.com/browse/IRM-36665]   _x000d__x000a_ # {*}{{*}}Automated expiration enforcement: Deactivation or permissions/representations when End DateTime expires._x000d__x000a_ # Sync RM/SS happens real time_x000d__x000a_ # Validations , same as in [https://jira.intrasoft-intl.com/browse/IRM-36665]  _x000d__x000a_ # Levels of hierarchy ability to define and display as in [https://jira.intrasoft-intl.com/browse/IRM-36665]  _x000d__x000a__x000d__x000a_*B. Records Locking*_x000d__x000a_ # When edited in SS record cannot be edited in RM.  (as per Solon locking functionality - if not yet implemented you may split in a different feature)_x000d__x000a_ # Prevent conflicting or overlapping delegations (or require explicit override)._x000d__x000a__x000d__x000a_*C. Notification* _x000d__x000a_ # When saving new representation or updated representation a notification to both users_x000d__x000a_ ## Taxpayer: A new representative defined for you. See related record. &lt;Link of SS representation record)_x000d__x000a_ ## Representative: A new representation is assigned to your account for Taxpayer &lt;Taxpayer Name/ Identifier primary&gt; . See related record. &lt;Link of SS representation record)_x000d__x000a_ # When saving new representation or updated representation a contact may be sent to both users_x000d__x000a_ ## Title : &quot;New representation&quot; _x000d__x000a_ ## Body :  Representative &lt;Representative (Name , primary ID)&gt;  is assigned to &lt;Taxpayer (Name , primary ID) &gt;_x000d__x000a__x000d__x000a_*D. Versioning*_x000d__x000a_ # Changes should be logged in Audit log._x000d__x000a__x000d__x000a_*E. Permissions*_x000d__x000a_ # Admin may assign specific permissions to users that can create/update agreements._x000d__x000a_ # Restriction: Only users with “Representation Management” role can create/update."/>
  </r>
  <r>
    <s v="IRM-36665"/>
    <x v="3"/>
    <x v="7"/>
    <s v="User &amp; 3rd Party Access Management Enhancements"/>
    <s v="Representations : (A) Enhancements, configurability and permissions in Agreements (2ways,multilevels)  /RM &amp; SS  "/>
    <s v="Waiting Analysis Approval"/>
    <n v="160"/>
    <s v="GRC"/>
    <x v="0"/>
    <x v="9"/>
    <s v="p1"/>
    <s v="2026-02-15T21:08:16.000+0200"/>
    <s v="GR,TshirtSize_M,pi28_candidate,pi28_p1"/>
    <m/>
    <s v="Representations : (A) Enhancements, configurability and permissions in Agreements (2ways,multilevels)  /RM &amp; SS  "/>
    <s v="As an admin user, _x000d__x000a_I need to capture the status, source system and integration time of representations defined as to be able to know how the representations were created._x000d__x000a_Representations are 2-ways authorized. _x000d__x000a_Representations are multilevels_x000d__x000a_A lifecycle should be defined to representations forms as to be able to temporally saved, validated and revoked. _x000d__x000a__x000d__x000a_*{color:#ff8b00}CHECK ! Review the LT branch for any implemented functionalities that can be merged into the product. ([https://netcompany.sharepoint.com/sites/NCTMS.GR.LT_TAX/Delte%20dokumenter/Forms/AllItems.aspx?id=%2Fsites%2FNCTMS%2EGR%2ELT%5FTAX%2FDelte%20dokumenter%2F03%2EExecuting%2FImplementation%2FBP03%2FDeliverables&amp;p=true&amp;ga=1)]{color}*    _x000d__x000a__x000d__x000a_{color:#172b4d}_x000d__x000a_*Background*_x000d__x000a__x000d__x000a_Representations are already implemented in the application as . _x000d__x000a_In this features_x000d__x000a_[https://jira.intrasoft-intl.com/browse/IRM-4743] _x000d__x000a_[https://jira.intrasoft-intl.com/browse/IRM-4744]_x000d__x000a_[https://jira.intrasoft-intl.com/browse/IRM-4745] (Subusers)_x000d__x000a_[https://jira.intrasoft-intl.com/browse/IRM-4746]   {color}{+}(Subusers){+}{color:#172b4d}_x000d__x000a_[https://jira.intrasoft-intl.com/browse/IRM-5026] _x000d__x000a_[https://jira.intrasoft-intl.com/browse/IRM-32538]   {color}{color:#172b4d}(data areas and support external systems as in LT branch)_x000d__x000a_Delegations enhancements in [https://jira.intrasoft-intl.com/browse/IRM-38408] {color}_x000d__x000a__x000d__x000a_The purpose of this feature is to validate the current implementation based on new requirements and make small adjustments. _x000d__x000a__x000d__x000a_{color:#172b4d}In this feature will name: _x000d__x000a_*Requester*            : The user asking someone else to represent them_x000d__x000a_*Representative*    : The user who may act on behalf of the requester. This user may also ask to be represented.  _x000d__x000a_2-ways: Both may be initiate a representation request and the other part will reply._x000d__x000a_Multilevel: Many levels of representation should be supported. {color}_x000d__x000a__x000d__x000a_     *Authorization schema* /Multiple levels of authorizations  (see also delegations with sub-users in [https://jira.intrasoft-intl.com/browse/IRM-38408] )_x000d__x000a_ * The authorization scheme support  *2-ways.*   _x000d__x000a_*Requester*  to *Representative*     ,_x000d__x000a_*Representative* to *Requester*   _x000d__x000a_ * The authorization scheme support  *multiple levels* of representations. (see sub users :[https://jira.intrasoft-intl.com/browse/IRM-38408] ) _x000d__x000a_i.e., several levels of sub-users may be able to be defined. _x000d__x000a_{color:#505f79}Examples:  {color}_x000d__x000a_{color:#505f79}1) The (account and user) *Legal Person* to a user of *Company's legal representative*{color}_x000d__x000a_{color:#505f79}2) *Company's legal representative*  to an *Accounting firm*  to manage the accountings  of the company{color}_x000d__x000a_{color:#505f79}3) *Accounting firm* to the user  of  *Accountant employee* to delegate/assign the task{color}_x000d__x000a_{color:#505f79}or{color}_x000d__x000a_{color:#505f79}1) A (account and user) *Natural person* to a user of his/her *Guardian* (e.g. father)_x000d__x000a_2) *Guardian* to an *Accounting firm* _x000d__x000a_3) *Accounting firm*  to the *Accounting firm's legal representative*_x000d__x000a_4) *Accounting firm's legal representative to the*  *Accountant employee*{color}_x000d__x000a_ * {color:#172b4d}If a representation is delegated, then the delegation may happen with the rights assigned to the main representative or less. Cannot add more rights to delegator. (As-is){color}_x000d__x000a_ * Admins should be able to view and track the level of representation per Agreement. _x000d__x000a__x000d__x000a_ _x000d__x000a_----_x000d__x000a_*Functional requirements*_x000d__x000a__x000d__x000a_ _x000d__x000a__x000d__x000a_{color:#172b4d}*Configuration*{color}_x000d__x000a_ * {color:#172b4d}Configurators should be able to define validations for the agreements and levels of agreements (Dependent on [https://jira.intrasoft-intl.com/browse/IRM-38408]  )_x000d__x000a_(Example :  _x000d__x000a_Max_depth :  May delegate for up to 3 levels , if Account to user is not count as representation and first representation is level 0 _x000d__x000a_Non allowed circular representations)  {color}_x000d__x000a_ * {color:#172b4d}Configurators may *define Agreement types* (Agreement cl) e.g. , Legal Representation , Legal Representation{color}_x000d__x000a_ * Configurators may *define their own statuses and lifecycle.*_x000d__x000a_ * Customers may define the default Source system and purpose values (CLs){*}{{*}}_x000d__x000a__x000d__x000a_ _x000d__x000a__x000d__x000a_*Additional Configuration level*_x000d__x000a_ * Configurators may define if in SS they need to capture :  agreements, agreement services (as is ) but also the *agreement service rights*  (see LT implementation with new table in ss schema)  to be able to define the rights per agreement service (see [https://netcompany.sharepoint.com/sites/NCTMS.GR.LT_TAX/Delte%20dokumenter/Forms/AllItems.aspx?id=%2Fsites%2FNCTMS%2EGR%2ELT%5FTAX%2FDelte%20dokumenter%2F03%2EExecuting%2FImplementation%2FBP03%2FDeliverables%2FDD120%20%2D%20Physical%20Datamodel&amp;viewid=9186892f%2Df5b0%2D4a0b%2Da210%2D187a381e18c8&amp;p=true)] _x000d__x000a__x000d__x000a_      Considerations: _x000d__x000a_ * _x000d__x000a_ ** {color:#172b4d}Configurators should be able to define criteria to define the list of allowed representatives_x000d__x000a_(Example  : If Account = Company , Representative id not the legal company representative can be an Accounting firm or employee of a firm with permission of Books category A) {color}_x000d__x000a__x000d__x000a_*Search for users*_x000d__x000a_ * User search users to be selected for representation only by IDs but cannot see other user details _x000d__x000a__x000d__x000a_*Levels*_x000d__x000a_ - As a user I may  delegate the representation to another existing user.  The levels of delegation may be *multiple as noted in examples above* ._x000d__x000a_ - {*}{{*}}{color:#172b4d}As a user  I may see the level of the representation and the representative that assign this to me in the UI.{color} _x000d__x000a_ - Lifecycle is maintained for all representation levels._x000d__x000a__x000d__x000a_*Lifecycle Permissions* _x000d__x000a_ * Admin, Users and Procedures may log *&quot;Change status reason&quot;* , text  (e.g. revoked reason, cancel reason)  in *Agreements.* _x000d__x000a_ * Users and procedures may set the *status* for Agreements. (available field and lifecycle). _x000d__x000a_ * Αdmins should be able to view and track the level of representation per Agreement. _x000d__x000a_ * Delegated permissions are *equal or less that* representation rights from delegator, i.e. permissions inheritance or remove some rights but cannot add more that already assigned to the delegator._x000d__x000a_Representator 1 : Agreement Service 1,  with rights 1,2  -&gt;   Delegated representator 2 : Agreement Service 1,  with rights 1,2 _x000d__x000a_or_x000d__x000a_Representator 1 : Agreement Service 1,  with rights 1,2  -&gt;  Delegated representator 2 : Agreement Service 1,  with right 1_x000d__x000a__x000d__x000a_In case of some representations as sub users, then needs to follow implementation in  [https://jira.intrasoft-intl.com/browse/IRM-38408] _x000d__x000a_ * Permissions on requests forms  may be based on the  Lifecycle. _x000d__x000a_for status change, reason may be filled in Optionally (see above field Change status reason{*}){*}  _x000d__x000a_Status Field is RO  in UI , buttons will manage the flow. _x000d__x000a_(e.g. , as is implemented in product) _x000d__x000a_ ** _x000d__x000a_ *** *Pending* (Temporally save , not applied/committed not considered) -(To avoid incorrect Requester  or representative selected (similar names, wrong identifier).  _x000d__x000a_Created by *Representative* or  *Requester*  (see above 2-ways and multilevel)_x000d__x000a_Set by Admin in SS/RM_x000d__x000a__x000d__x000a_ * _x000d__x000a_ ** _x000d__x000a_ *** {*}Access Proposed{*}: Requested agreement but not processed_x000d__x000a_Set by the process  (that was previously initiated by  Representative  or  Requester )_x000d__x000a_Set by Admin in SS/RM_x000d__x000a__x000d__x000a_ * _x000d__x000a_ ** _x000d__x000a_ *** *Access Denied* :   Agreement is not established_x000d__x000a_ Set by the process/system  because of an error or incorrect selection of representation users or other validation._x000d__x000a_Status Field is RO for the users_x000d__x000a_ Set by Admin in SS/RM_x000d__x000a__x000d__x000a_ * _x000d__x000a_ ** _x000d__x000a_ *** *Access Granted :* agreement/representation is valid. (Configured value as the cl value that provides access)   _x000d__x000a_Set by the process based on what replied  by  Representative  or  Requester (the receiver of the request) _x000d__x000a_Set by Admin in SS/RM_x000d__x000a__x000d__x000a_ * _x000d__x000a_ ** _x000d__x000a_ *** *Access Revoked :* agreement/representation is not valid any more._x000d__x000a_Set by the process based on what replied  by  Representative  or  Requester (the receiver of the request) _x000d__x000a_Revoked by process because of end date reached _x000d__x000a_Revoked by any part of the agreement _x000d__x000a_Set by Admin in SS/RM_x000d__x000a__x000d__x000a_ * _x000d__x000a_ ** _x000d__x000a_ *** *Canceled  :* agreement/representation is not valid_x000d__x000a_Set by the process based on what replied  by  Representative  or  Requester (the receiver of the request) _x000d__x000a_Set by Admin in SS/RM_x000d__x000a__x000d__x000a_ * _x000d__x000a_ ** _x000d__x000a_ *** After cancel and revoke record cannot change any status._x000d__x000a_User need to create a new record to extend this. _x000d__x000a__x000d__x000a_                                     !image-2026-03-10-09-10-29-034.png!_x000d__x000a__x000d__x000a_ _x000d__x000a_ * If in  representation  1-&gt;2-&gt;3-&gt;4  i.e, 1-&gt;2 and  2-&gt;3 and  3-&gt;4  _x000d__x000a_If  1-&gt;2  is canceled then 2-&gt;3 και 3-&gt;4 get canceled _x000d__x000a_If 2-&gt;3  is canceled then 3-&gt;4  is canceled but 1-&gt;2 is not. _x000d__x000a_Same with revokes. _x000d__x000a__x000d__x000a_ * To be accepted a  representation  1 to 4 (1-&gt;2-&gt;3-&gt;4) there should have been accepted the 1-&gt;2 , 2-&gt;3, 3-&gt;4_x000d__x000a__x000d__x000a_ _x000d__x000a__x000d__x000a_*Versioning*_x000d__x000a_ * Changes should be logged in Audit log._x000d__x000a__x000d__x000a_ _x000d__x000a__x000d__x000a_!image-2026-04-06-13-17-11-066.png|width=1025,height=570!_x000d__x000a_!image-2026-03-10-10-34-26-315.png!_x000d__x000a__x000d__x000a_ _x000d__x000a__x000d__x000a_ _x000d__x000a__x000d__x000a_*Documentation*_x000d__x000a_Document all the above adjustments. _x000d__x000a__x000d__x000a_ _x000d__x000a__x000d__x000a_*Non functional requirements*_x000d__x000a_It is expected team to get aligned with respective teams and reassure that is not creating issues or the related NFRs will be tested :_x000d__x000a_Performance , Security, Accessibility, Usability _x000d__x000a_DODs should be fulfilled._x000d__x000a__x000d__x000a_ "/>
    <s v="If the system captures and stores metadata such as Source System, Purpose, Created Datetime, and Last Modified Datetime for agreements, agreement services, user rights, party role relationships, and other representation-defining records, then administrators will gain full visibility into how and where representations were defined, resulting in improved traceability, stronger auditability, better integration governance, and faster issue resolution."/>
    <s v="{color:#172b4d}*Configuration*{color}_x000d__x000a_ * {color:#172b4d}Configurators may *define maximum depth of representations delegations levels* {color}_x000d__x000a_ * {color:#172b4d}Configurators should be able to define validations for the agreements and levels of agreements (Dependent on [https://jira.intrasoft-intl.com/browse/IRM-38408]  )_x000d__x000a_(Example :  _x000d__x000a_Max_depth :  May delegate for up to 3 levels , if Account to user is not count as representation and first representation is level 0 _x000d__x000a_Non allowed circular representations)  {color}**_x000d__x000a_ * {color:#172b4d}Configurators may *define Agreement types* (Agreement cl) e.g. , Legal Representation , Legal Representation{color}_x000d__x000a_ * Configurators may *define their own statuses and lifecycle.*_x000d__x000a_ * Customers may define the default Source system and purpose values (CLs) _x000d__x000a__x000d__x000a_*Search for users*_x000d__x000a_ * User search users to be selected for representation only by IDs but cannot see other user details _x000d__x000a__x000d__x000a_*New schema &amp; Configuration*_x000d__x000a_ * Configurators may define if in SS they need to capture :  agreements, agreement services (as is ) but also the *agreement service rights* _x000d__x000a__x000d__x000a_*Levels*_x000d__x000a_ - As a user I may  delegate the representation to another existing user.  The levels of delegation may be *multiple as noted in examples above* ._x000d__x000a_ - {*}{{*}}{color:#172b4d}As a user  I may see the level of the representation and the representative that assign this to me in the UI.{color} _x000d__x000a_ - Lifecycle is maintained for all representation levels._x000d__x000a__x000d__x000a_*Lifecycle and flow*_x000d__x000a_ # Admin, Users and Procedures may log *&quot;Change status reason&quot;* , text  (e.g. revoked reason, cancel reason)  in *Agreements.* _x000d__x000a_ # Users and procedures may set the *status* for Agreements. (available field and lifecycle). _x000d__x000a_ # Αdmins should be able to view and track the level of representation per Agreement. _x000d__x000a_ # Delegated permissions are *equal or less that* representation rights from delegator, i.e. permissions inheritance or remove some rights but cannot add more that already assigned to the delegator._x000d__x000a_Representator 1 : Agreement Service 1,  with rights 1,2  -&gt;   Delegated representator 2 : Agreement Service 1,  with rights 1,2 _x000d__x000a_or_x000d__x000a_Representator 1 : Agreement Service 1,  with rights 1,2  -&gt;  Delegated representator 2 : Agreement Service 1,  with right 1_x000d__x000a_ # Permissions on requests forms  may be based on the  Lifecycle. _x000d__x000a_for status change, reason may be filled in Optionally (see above field Change status reason{*}){*}  _x000d__x000a_Status Field is RO  in UI , buttons will manage the flow. _x000d__x000a_ # If in  representation  1-&gt;2-&gt;3-&gt;4  i.e, 1-&gt;2 and  2-&gt;3 and  3-&gt;4  _x000d__x000a_If  1-&gt;2  is canceled then 2-&gt;3 και 3-&gt;4 get canceled _x000d__x000a_If 2-&gt;3  is canceled then 3-&gt;4  is canceled but 1-&gt;2 is not. _x000d__x000a_Same with revokes. _x000d__x000a_ # To be accepted a  representation  1 to 4 (1-&gt;2-&gt;3-&gt;4) there should have been accepted the 1-&gt;2 , 2-&gt;3, 3-&gt;4_x000d__x000a_In case of some representations as sub users, then needs to follow implementation in  [https://jira.intrasoft-intl.com/browse/IRM-38408] _x000d__x000a__x000d__x000a_*Audit log*_x000d__x000a_ # Changes of  {*}Agreements{*},  *Agreements services* , *user rights* should be logged in Audit log."/>
  </r>
  <r>
    <s v="IRM-36664"/>
    <x v="3"/>
    <x v="7"/>
    <s v="User &amp; 3rd Party Access Management Enhancements"/>
    <s v="Representations : Define Date time and timezone for Representations and user rights /RM &amp;SS"/>
    <s v="Waiting Analysis Approval"/>
    <n v="160"/>
    <s v="GRC"/>
    <x v="0"/>
    <x v="9"/>
    <s v="p1"/>
    <s v="2026-02-15T21:01:18.000+0200"/>
    <s v="GR,TshirtSize_M,pi28_candidate,pi28_p1"/>
    <m/>
    <s v="Representations : Define Date time and timezone for Representations and user rights /RM &amp;SS"/>
    <s v="As an admin user, I need to capture and manage Start Date and End Date fields in the system that define the validity period of granted permissions, so that access rights can be controlled accurately and limited to specific timeframes._x000d__x000a__x000d__x000a_*{color:#ff8b00}CHECK ! Review the LT branch for any implemented functionalities that can be merged into the product.{color}*_x000d__x000a__x000d__x000a_*Functional requirements*_x000d__x000a__x000d__x000a_*Basics:* _x000d__x000a_ * Start and End date are captured as datetime and properly defined time zone in Agreements._x000d__x000a_ * Start and End date are captured as datetime and properly defined time zone in Agreements services._x000d__x000a_ * Start and End date are captured as datetime and properly defined time zone in user rights._x000d__x000a_ * The permissions should be enforced or recalled in datetime level.  (along status define in [https://jira.intrasoft-intl.com/browse/IRM-36665]) _x000d__x000a_ * If no end date is defined the system should clearly flag in UI  &quot;No End Date”_x000d__x000a__x000d__x000a_Note: Already available fields in Party role relationship._x000d__x000a__x000d__x000a_*Timezone* _x000d__x000a_ * Display datetime in the user’s configured timezone._x000d__x000a_ * Validity must be calculated based on stored system time (not client browser time)._x000d__x000a_ * Daylight Saving Time (DST) transitions must not cause early expiration or extended validity._x000d__x000a__x000d__x000a_*Versioning*_x000d__x000a_ * Changes should be logged in Audit log._x000d__x000a__x000d__x000a_*Validations* _x000d__x000a_ * End Date cannot be earlier than Start Date._x000d__x000a_ * Start Date is mandatory._x000d__x000a__x000d__x000a_*Documentation*_x000d__x000a_Document all the above adjustments. _x000d__x000a__x000d__x000a_*Non functional requirements*_x000d__x000a_It is expected team to get aligned with respective teams and reassure that is not creating issues or the related NFRs will be tested :_x000d__x000a_Performance , Security, Accessibility, Usability _x000d__x000a_DODs should be fulfilled._x000d__x000a__x000d__x000a_ "/>
    <s v="If the system allows administrators to define and manage precise Start and End datetime values (with timezone control) for user rights and agreements, then access to system functionalities will be automatically aligned with authorized validity periods, resulting in improved security control, reduced unauthorized access risk, stronger audit compliance, and lower manual administration effort."/>
    <s v="*A) Basics:* _x000d__x000a_ # Start and End date are captured as datetime and properly defined time zone in Agreements._x000d__x000a_ # Start and End date are captured as datetime and properly defined time zone in Agreements services._x000d__x000a_ # Start and End date are captured as datetime and properly defined time zone in user rights._x000d__x000a_ # The permissions should be enforced or recalled in datetime level. _x000d__x000a_ # If no end date is defined the system should clearly flag in UI  &quot;No End Date”_x000d__x000a__x000d__x000a_*B) Timezone* _x000d__x000a_ # Display datetime in the user’s configured timezone._x000d__x000a_ # Validity must be calculated based on stored system time (not client browser time)._x000d__x000a_ # Daylight Saving Time (DST) transitions must not cause early expiration or extended validity._x000d__x000a__x000d__x000a_*C) Versioning*_x000d__x000a_ # Changes should be logged in Audit log._x000d__x000a__x000d__x000a_*D) Validations* _x000d__x000a_ # End Date cannot be earlier than Start Date._x000d__x000a_ # Start Date is mandatory."/>
  </r>
  <r>
    <s v="IRM-36660"/>
    <x v="3"/>
    <x v="20"/>
    <s v="Self Service Services Management Enhancements"/>
    <s v="Attachments in Forms - Document Uploads enhancements before and after saving the form / RM &amp; SS"/>
    <s v="In Design"/>
    <n v="264"/>
    <s v="GRC"/>
    <x v="0"/>
    <x v="27"/>
    <s v="p1"/>
    <s v="2026-02-15T10:15:28.000+0200"/>
    <s v="GR,TshirtSize_L,UX,pi28_candidate,pi28_p1"/>
    <m/>
    <s v="Attachments in Forms - Document Uploads enhancements before and after saving the form / RM &amp; SS"/>
    <s v="As a taxpayer or revenue authority user, I want to upload and manage required attachments while filling in a form (even before saving it), including during registration forms where the relevant party is not yet created, so that I can complete the submission process without unnecessary interruptions. _x000d__x000a__x000d__x000a_*Background*_x000d__x000a_In as-is system the form should be saved in order to be able to upload documents._x000d__x000a__x000d__x000a_*Functional Requirements*_x000d__x000a_ * Users (revenue officer or taxpayer) can upload attachments with permitted metadata while filling the form, before saving._x000d__x000a__x000d__x000a_ * Users can view the list of uploaded attachments while filling the form (before saving)._x000d__x000a__x000d__x000a_ * Before and After saving, users can:_x000d__x000a_View attachments_x000d__x000a_Add new attachments_x000d__x000a_Remove attachments_x000d__x000a_Edit metadata_x000d__x000a_ * In RM , users can link attachments to additional system records (e.g., case file) while managing form attachments._x000d__x000a__x000d__x000a_ * If attachment upload fails:_x000d__x000a_The user is clearly informed by a message that attachment was not successfully uploaded. _x000d__x000a_Form saving/submission is not blocked._x000d__x000a_Successfully uploaded files remain attached. (Orphan issue).  _x000d__x000a__x000d__x000a_ * Attachments modifications after saving are stored in audit log_x000d__x000a__x000d__x000a_ _x000d__x000a__x000d__x000a_*Documentation*_x000d__x000a_Document all the above adjustments. _x000d__x000a__x000d__x000a_*Non functional requirements*_x000d__x000a_It is expected team to get aligned with respective teams and reassure that is not creating issues or the related NFRs will be tested :_x000d__x000a_Performance , Security, Accessibility, Usability _x000d__x000a_DODs should be fulfilled."/>
    <s v="We believe that allowing users to upload and manage attachments during the form-filling process (pre-save)_x000d__x000a_will result in a better UX as it provides form filing steps clarity,  fewer &quot;incomplete&quot; submissions, delays because of missing attachments, and higher data integrity by ensuring documents are linked directly to the relevant parties/roles at the point of entry._x000d__x000a_A measurement of filling form decrease time may be useful. "/>
    <s v="# Upload Before Save : User is  able to upload an attachments filling all applicable metadata while creating a form._x000d__x000a_ # View and Manage Attachments Before and After Save:  user is able to see and manage attachments before and after saving form. After saving in RM user may additional link attachments to other records._x000d__x000a_ # Failure Handling : Message appears if upload is failed without interrupting the form saving._x000d__x000a_ # Post-Save Management: user shall have the ability to add new attachments or update the metadata of existing ones, with all changes logged in the system audit trail._x000d__x000a__x000d__x000a_ "/>
  </r>
  <r>
    <s v="IRM-36280"/>
    <x v="0"/>
    <x v="2"/>
    <s v="Usability Enhancements"/>
    <s v="UI/UX Improvements: Registry List views - Display search results respecting governance limit in new UX / Part 1"/>
    <s v="Waiting Analysis Approval"/>
    <m/>
    <s v="GRC"/>
    <x v="0"/>
    <x v="0"/>
    <s v="p1"/>
    <s v="2026-02-09T19:11:24.000+0200"/>
    <s v="GR,UI/UX_Improvement,pi28_candidate,pi28_p1"/>
    <m/>
    <s v="UI/UX Improvements: Registry List views - Display search results respecting governance limit in new UX / Part 1"/>
    <s v="As a user I need to be able to see the results of my search of registry records in relevant UI pages, as it is important locate the proper party /party role record.  _x000d__x000a_The results should be either displayed in list or system should display a message on what needs to be done to get the results I need (e.g.  add more criteria to limit on the records in searching dataset).  _x000d__x000a__x000d__x000a_System should hep me understand what I am seeing._x000d__x000a_ - Easy to find widgets_x000d__x000a_ - Always Surface _Some_ Results First &amp; keep it responsive  : No empty list views but show something without waiting for the whole query_x000d__x000a_ - Clear Messaging on Limits and Encourage  Filtering  :  Limits enforceable server-side (10,000 query) ,  Show a clear message with what is it displayed and the limits reached  &amp; Message when No Records Show_x000d__x000a_ - Alternative via Export flexibility ([https://jira.intrasoft-intl.com/browse/IRM-29306]) _x000d__x000a_ - Create more filters for registry_x000d__x000a__x000d__x000a_*Out of scope :* _x000d__x000a_ - Modification in Search results (to be depicted in another ticket) _x000d__x000a_ - Theming (to be depicted in another ticket)_x000d__x000a_ _x000d__x000a__x000d__x000a_*Background*_x000d__x000a__x000d__x000a_Because of limit set by RLS, the dataset to search data in , i.e. the dataset returned by selected criteria, should not be more than 10000 records. This dataset will be further filtered based on user RLS meaning the results appear may be less or even 0._x000d__x000a__x000d__x000a_ _x000d__x000a__x000d__x000a_*Functional Requirements*_x000d__x000a__x000d__x000a_*1) New filter :*_x000d__x000a_Based on party type filter parties Person or  Legal Entity_x000d__x000a_+Party Type Natural Person+_x000d__x000a_Category = Party _x000d__x000a_Legal Entity = False _x000d__x000a_e.g.,: Individual: PERSONDM1 _x000d__x000a__x000d__x000a_*2) Parameters:* _x000d__x000a_Set default identifier for search for : _x000d__x000a_ * Party , Party Role_x000d__x000a_ * Asset_x000d__x000a_ * Organization Unit_x000d__x000a_ * Claimants_x000d__x000a__x000d__x000a_+Note : this requirement may be ignored if search may happen by any identification type and one search identifier container for any identification (as is now in party search)+ _x000d__x000a__x000d__x000a_*3) Default list view party :*_x000d__x000a_ * Section *a)* Header similarly to as suggested by UX team adapted with the existing Solon functionality _x000d__x000a_{*}Considerations{*}:  Export to spreadsheet buttons, select columns , save filter or use existing filter._x000d__x000a__x000d__x000a_ * (widget) Section *b)* *Search by ID*_x000d__x000a_Identifier Type  | Identifier ID _x000d__x000a_One Identifier type will be the default (see paragraph 2 and check if may be ignored) .  The default Identifier type may be configured by customers as mentioned above  *(paragraph 2)* (e.g. for Greece their AFM ) (!) _x000d__x000a_Note:  This widget may be used in home page, searching for Parties only by any identifier. _x000d__x000a__x000d__x000a_ * Section *c)* Search if Natural *Person* or *Legal* entity _x000d__x000a_ * Section *d)* Search by {*}criteria{*}. - Similar to what we have now with new UI . Separate filter as the filters are separated per tab now. (Need to improve in later stage)   _x000d__x000a_ ** Results are filters per criteria in section c)_x000d__x000a_ ** If query gathers more than the system limit (10000) records_x000d__x000a_Message appears in the search criteria page when click to save criteria _x000d__x000a_Your search criteria returns more than 10000 records. Try refine your filters to narrow this view. _x000d__x000a_ * Section *e)* *Search Results*_x000d__x000a_ **  Pagination, select columns, sorting , number of records shown, action buttons similarly to as is now. _x000d__x000a_ ** If the dataset after RLS filtering results in zero records, the system shall display:_x000d__x000a_&quot;No records found. Results may be restricted based on your access rights.&quot;_x000d__x000a_ ** If Results = 0 , show “No records found” message_x000d__x000a_ ** Search results section appears only if here is no error and there are returned results (search results are less than 10000, no error and more than 0) _x000d__x000a_ ** User may export results  ([https://jira.intrasoft-intl.com/browse/IRM-29306]) _x000d__x000a__x000d__x000a_*4)* *Default list view Party Role :* _x000d__x000a_Similarly, adding relevant filters and without section c) _x000d__x000a__x000d__x000a_*5)*  *Default list view Asset* _x000d__x000a_Similarly, adding relevant filters and without section c) _x000d__x000a__x000d__x000a_*6)*  *Default list view Organizational Units* _x000d__x000a__x000d__x000a_Similarly, adding relevant filters and without section c) _x000d__x000a__x000d__x000a_*7)*  {*}Default list view Claimants{*}{*}{{*}}{*}{{*}}_x000d__x000a__x000d__x000a_Similarly, adding relevant filters and without section c) _x000d__x000a__x000d__x000a_ _x000d__x000a__x000d__x000a_ _x000d__x000a__x000d__x000a_ _x000d__x000a__x000d__x000a_*UX:* _x000d__x000a__x000d__x000a_[https://www.figma.com/make/1wLo5Uy0Qet6TYNcEBSvug/Search-Results-Page-with-Filters?p=f&amp;fullscreen=1]_x000d__x000a__x000d__x000a_!image-2026-02-26-19-11-25-010.png!_x000d__x000a__x000d__x000a_!image-2026-02-26-19-12-09-440.png!_x000d__x000a__x000d__x000a_ _x000d__x000a__x000d__x000a_*Documentation*_x000d__x000a_Document all the above adjustments. _x000d__x000a__x000d__x000a_ _x000d__x000a__x000d__x000a_*Non functional requirements*_x000d__x000a_It is expected team to get aligned with respective teams and reassure that is not creating issues or the related NFRs will be tested :_x000d__x000a_Performance , Security, Accessibility, Usability _x000d__x000a_DODs should be fulfilled._x000d__x000a_----_x000d__x000a_*Notes:* _x000d__x000a_-General Web UI Pattern_x000d__x000a_Modern list components (whether in enterprise UIs like Microsoft Fluent, Salesforce-style grids, or custom apps) use techniques like:_x000d__x000a_Virtualized rendering (only render what’s visible in the viewport, not all records). This helps handle very large lists without freezing the UI._x000d__x000a_Indexed filters and query limits to constrain what gets pulled from the server._x000d__x000a__x000d__x000a_-Progressive Load with Early Results_x000d__x000a_Perform a lightweight server query that fetches the top N records (e.g., 2,000)._x000d__x000a_Display those instantly as the “preview” of the full list._x000d__x000a_Meanwhile, the system in the background can continue gathering metadata about total matches._x000d__x000a_This gives users a quick answer — they feel in control and the app feels fast._x000d__x000a__x000d__x000a_-Use Virtualization_x000d__x000a_Only render rows that are visible on screen (plus a buffer)._x000d__x000a_As the user scrolls, dynamically load/render more items._x000d__x000a_This improves performance for very large lists_x000d__x000a__x000d__x000a_ "/>
    <s v="If customers can configure a {*}default identifier per entity type{*}, users will rely on familiar, local identifiers and complete searches faster with fewer errors._x000d__x000a_A dedicated *Search by ID widget* will support “expert users” who already know the identifier, reducing time-to-record to seconds._x000d__x000a_Separating search intent early (person vs legal entity) will prevent broad queries and mismatched results._x000d__x000a_A modern criteria builder with feedback on result size will prevent “system overload” queries and guide users toward effective filtering._x000d__x000a_The new UX will make it easier for the customers to work with the environment. "/>
    <s v="*1) New filter  Person / Legal Entity*_x000d__x000a__x000d__x000a_*2) Parameters:*_x000d__x000a_Set default identifier for search for : _x000d__x000a_ * Party , Party Role_x000d__x000a_ * Asset_x000d__x000a_ * Organization Unit_x000d__x000a_ * Claimants_x000d__x000a_+Note : this requirement may be ignored if search may happen by any identification type and one search identifier container for any identification (as is now in party search)+ _x000d__x000a__x000d__x000a_*3) Default list view party :*_x000d__x000a_ * Section *a)* Header similarly to as suggested by UX team adapted with the existing Solon functionality _x000d__x000a_{*}Considerations{*}:  Export to spreadsheet buttons, select columns , save filter or use existing filter._x000d__x000a__x000d__x000a_ * (widget) Section *b)* *Search by ID*_x000d__x000a_Identifier Type  | Identifier ID _x000d__x000a_If applicable , The default Identifier type may be configured by customers as mentioned above  *(paragraph 2)* (e.g. for Greece their AFM ) _x000d__x000a_Note:  This widget may be used in home page, searching for Parties only. _x000d__x000a__x000d__x000a_ * Section *c)* Search if Natural *Person* or *Legal* entity _x000d__x000a_ * Section *d)* Search by {*}criteria{*}. - Similar to what we have now with new UI . Separate filter as the filters are separated per tab now. (Need to improve in later stage)   _x000d__x000a_ ** Results are filters per criteria in section c)_x000d__x000a_ ** If query gathers more than the system limit (10000) records_x000d__x000a_Message appears in the search criteria page when click to save criteria _x000d__x000a_Your search criteria returns more than 10000 records. Try refine your filters to narrow this view. _x000d__x000a_ * Section *e)* *Search Results*_x000d__x000a_ **  Pagination, select columns, sorting , number of records shown, action buttons similarly to as is now. _x000d__x000a_ ** If the dataset after RLS filtering results in zero records, the system shall display:_x000d__x000a_&quot;No records found. Results may be restricted based on your access rights.&quot;_x000d__x000a_ ** If Results = 0 , show “No records found” message_x000d__x000a_ ** Search results section appears only if here is no error and there are returned results (search results are less than 10000, no error and more than 0) _x000d__x000a_ ** User may export results  ([https://jira.intrasoft-intl.com/browse/IRM-29306]) _x000d__x000a__x000d__x000a_*4)* *Default list view Party Role :* _x000d__x000a_Similarly, adding relevant filters and without section c) _x000d__x000a__x000d__x000a_*5)*  *Default list view Asset* _x000d__x000a_Similarly, adding relevant filters and without section c) _x000d__x000a__x000d__x000a_*6)*  *Default list view Organizational Units* _x000d__x000a__x000d__x000a_Similarly, adding relevant filters and without section c) _x000d__x000a__x000d__x000a_*7)*  {*}Default list view Claimants{*}{*}{{*}}{*}{{*}}_x000d__x000a__x000d__x000a_Similarly, adding relevant filters and without section c) "/>
  </r>
  <r>
    <s v="IRM-36279"/>
    <x v="5"/>
    <x v="14"/>
    <s v="Reference Data Enhancements"/>
    <s v="Addition of validitiy period on relationships between codelist items"/>
    <s v="Under Analysis"/>
    <n v="266.7"/>
    <s v="Other"/>
    <x v="1"/>
    <x v="12"/>
    <s v="p3"/>
    <s v="2026-02-09T18:46:23.000+0200"/>
    <s v="LT_BRANCH"/>
    <m/>
    <s v="Addition of validitiy period on relationships between codelist items"/>
    <s v="Codelist item relationship need to be enhanced and include date range for which the relationship applies."/>
    <s v="Enable migration activities for projects"/>
    <s v="Codelist item relationships include date range for which the relationship is valid"/>
  </r>
  <r>
    <s v="IRM-36179"/>
    <x v="2"/>
    <x v="5"/>
    <s v="Taxpayer Accounting Enhancements"/>
    <s v="Search gl accounts by Category and Owner"/>
    <s v="Under Validation"/>
    <n v="37.299999999999997"/>
    <s v="GRC"/>
    <x v="3"/>
    <x v="28"/>
    <s v="p2"/>
    <s v="2026-02-09T09:59:34.000+0200"/>
    <s v="GR,IRM:PI27S03_end,IRM:PI27S03_start,No_Doc,irm_pd_pdm_agreed,pi27_candidate,pi27_p2"/>
    <s v="3.0.0"/>
    <s v="Search gl accounts by Category and Owner"/>
    <s v="As an admin I need to be able to search for gl accounts using Category and owner fields_x000d__x000a__x000d__x000a_*Functional Requirements*_x000d__x000a_ - Admin or users may search and filter {{GL Accounts using  Category and owner fields in all relevant lists}}_x000d__x000a__x000d__x000a_ _x000d__x000a__x000d__x000a_*Documentation*_x000d__x000a_Document all the above adjustments. _x000d__x000a__x000d__x000a_ _x000d__x000a__x000d__x000a_*Non functional requirements*_x000d__x000a_It is expected team to get aligned with respective teams and reassure that is not creating issues or the related NFRs will be tested : _x000d__x000a_Performance , Security, Accessibility, Usability  _x000d__x000a_DODs should be fulfilled._x000d__x000a__x000d__x000a_ _x000d__x000a__x000d__x000a_Notes:_x000d__x000a_!image-2026-02-09-10-05-44-210.png!"/>
    <s v="-"/>
    <s v="# Search/filter {{GL Accounts by Category and owner}}"/>
  </r>
  <r>
    <s v="IRM-36002"/>
    <x v="2"/>
    <x v="16"/>
    <s v="Registration Enhancements"/>
    <s v="Define and monitor the hierarchy of parties using parent child party relationship"/>
    <s v="Under Verification"/>
    <n v="136"/>
    <s v="GRC"/>
    <x v="3"/>
    <x v="29"/>
    <s v="p2"/>
    <s v="2026-02-06T10:24:17.000+0200"/>
    <s v="GR,IRM:PI27S03_start,IRM:PI27S04_end,No_Doc,irm_pd_pdm_agreed,pi27_candidate,pi27_p2"/>
    <s v="3.0.0"/>
    <s v="Define and monitor the hierarchy of parties using parent child party relationship"/>
    <s v="As an admin/user I need to be able to set an hierarchy relation between parties (as it is now available in Organizational Units) in order to be able to gather several parties under one parent party._x000d__x000a__x000d__x000a_*Functional Requirements*_x000d__x000a_ - Admin may optionally assign a Parent Party to a Party._x000d__x000a_(Enable the usage of Parent party for taxpayers, similarly as now available for Organizational units) _x000d__x000a_ -- A party may be related to one parent party._x000d__x000a_ -- A party may have several child parties._x000d__x000a_ -- Circular hierarchies must be prevented (A&gt;B&gt;A)_x000d__x000a_ -- Multi-level hierarchies are supported (Parent &gt;Child &gt; Grandchild)_x000d__x000a_ -- No limit on the depth_x000d__x000a_ -- Existing Parties without a Parent remain unchanged_x000d__x000a_ - Search_x000d__x000a_ -- Users may search for parties based on parent party 1st hierarchy (Parent -Child)_x000d__x000a_ -- Users may search for parties based on parent party in any hierarchy  (Parent &gt;Child &gt; Grandchild&gt; ... )_x000d__x000a_ -- Users may search for party roles based on relevant party's parent party._x000d__x000a_ - UI (more ui enchancements in [https://jira.intrasoft-intl.com/browse/IRM-11539]) _x000d__x000a_ -- -On the Party Details page, users may view:-_x000d__x000a_ --- -The assigned Parent Party (if any)-_x000d__x000a_ --- -A list of Child Parties :  IL, stage- _x000d__x000a_ --- -Navigate from Child&gt;Parent and Parent&gt; Child &gt;child ...- _x000d__x000a_ -- -In list page I can optionally see the column of parent party-_x000d__x000a_ - Deleting a Parent Party:_x000d__x000a_ -- Must be blocked if Child Parties exist, or_x000d__x000a_ -- Must require reassignment of Child Parties first_x000d__x000a__x000d__x000a_ - Security &amp; Permissions_x000d__x000a_ -- Specific users may create or modify Parent Party relationships_x000d__x000a_ -- All readability of parent and child records respect row level security _x000d__x000a__x000d__x000a_ _x000d__x000a__x000d__x000a_!image-2026-02-19-13-37-06-177.png|width=632,height=378!_x000d__x000a__x000d__x000a_*Documentation*_x000d__x000a_Document all the above adjustments. _x000d__x000a__x000d__x000a_ _x000d__x000a__x000d__x000a_*Non functional requirements*_x000d__x000a_It is expected team to get aligned with respective teams and reassure that is not creating issues or the related NFRs will be tested : _x000d__x000a_Performance , Security, Accessibility, Usability  _x000d__x000a_DODs should be fulfilled. _x000d__x000a__x000d__x000a_ "/>
    <s v="-"/>
    <s v="# Admin may optionally assign a Parent Party to a Party._x000d__x000a_(Enable the usage of Parent party for taxpayers, similarly as now available for Organizational units) _x000d__x000a_ ## A party may be related to one parent party._x000d__x000a_ ## A party may have several child parties._x000d__x000a_ ## Circular hierarchies must be prevented (A&gt;B&gt;A)_x000d__x000a_ ## Multi-level hierarchies are supported (Parent &gt;Child &gt; Grandchild)_x000d__x000a_ ## No limit on the depth_x000d__x000a_ ## Existing Parties without a Parent remain unchanged_x000d__x000a_ # Search_x000d__x000a_ ## Users may search for parties based on parent party 1st hierarchy (Parent -Child)_x000d__x000a_ ## Users may search for parties based on parent party in any hierarchy  (Parent &gt;Child &gt; Grandchild)_x000d__x000a_ ## Users may search for party roles based on relevant party's parent party._x000d__x000a_ # Deleting a Parent Party:_x000d__x000a_ ## Must be blocked if Child Parties exist, or_x000d__x000a_ ## Must require reassignment of Child Parties first_x000d__x000a_ # Security &amp; Permissions_x000d__x000a__x000d__x000a_ # _x000d__x000a_ ## Specific users may create or modify Parent Party relationships_x000d__x000a_ ## All readability of parent and child records respect row level security "/>
  </r>
  <r>
    <s v="IRM-35519"/>
    <x v="1"/>
    <x v="3"/>
    <s v="DevOps"/>
    <s v="PI27 DBA Activities and Environment Support"/>
    <s v="To Do"/>
    <m/>
    <s v="Other"/>
    <x v="1"/>
    <x v="0"/>
    <s v="p3"/>
    <s v="2026-02-02T12:26:16.000+0200"/>
    <s v=""/>
    <m/>
    <m/>
    <m/>
    <m/>
    <m/>
  </r>
  <r>
    <s v="IRM-35283"/>
    <x v="1"/>
    <x v="3"/>
    <s v="DevOps"/>
    <s v="Pi27 DevOps Evolution"/>
    <s v="To Do"/>
    <m/>
    <s v="Other"/>
    <x v="1"/>
    <x v="0"/>
    <s v="p3"/>
    <s v="2026-01-29T11:37:25.000+0200"/>
    <s v=""/>
    <m/>
    <m/>
    <m/>
    <m/>
    <m/>
  </r>
  <r>
    <s v="IRM-35282"/>
    <x v="1"/>
    <x v="3"/>
    <s v="DevOps"/>
    <s v="PI27 DevOps Cluster Upgrades"/>
    <s v="To Do"/>
    <m/>
    <s v="Other"/>
    <x v="1"/>
    <x v="0"/>
    <s v="p3"/>
    <s v="2026-01-29T11:35:53.000+0200"/>
    <s v=""/>
    <m/>
    <m/>
    <m/>
    <m/>
    <m/>
  </r>
  <r>
    <s v="IRM-35281"/>
    <x v="1"/>
    <x v="3"/>
    <s v="DevOps"/>
    <s v="PI27 DevOps - Infrastructure and Maintenance activities"/>
    <s v="To Do"/>
    <m/>
    <s v="Other"/>
    <x v="1"/>
    <x v="0"/>
    <s v="p3"/>
    <s v="2026-01-29T11:29:31.000+0200"/>
    <s v=""/>
    <m/>
    <m/>
    <m/>
    <m/>
    <m/>
  </r>
  <r>
    <s v="IRM-35280"/>
    <x v="1"/>
    <x v="3"/>
    <s v="DevOps"/>
    <s v="PI27 DevOPs Meetings and Training"/>
    <s v="To Do"/>
    <m/>
    <s v="Other"/>
    <x v="1"/>
    <x v="0"/>
    <s v="p3"/>
    <s v="2026-01-29T11:10:57.000+0200"/>
    <s v=""/>
    <m/>
    <m/>
    <m/>
    <m/>
    <m/>
  </r>
  <r>
    <s v="IRM-34706"/>
    <x v="1"/>
    <x v="3"/>
    <s v="DevOps"/>
    <s v="PI27 DevOps Release and Environment Support"/>
    <s v="To Do"/>
    <m/>
    <s v="Other"/>
    <x v="3"/>
    <x v="0"/>
    <s v="p1"/>
    <s v="2026-01-22T09:50:27.000+0200"/>
    <s v="FATnottestable,IATnottestable,No_Doc,pi27_candidate,pi27_p1"/>
    <s v="3.0.0"/>
    <m/>
    <m/>
    <m/>
    <m/>
  </r>
  <r>
    <s v="IRM-34684"/>
    <x v="0"/>
    <x v="4"/>
    <s v="Extensibility Enhancements"/>
    <s v="Enable user-defined characteristics (Data Area) for c_gl_account"/>
    <s v="Implemented"/>
    <n v="66.7"/>
    <s v="GRC"/>
    <x v="3"/>
    <x v="30"/>
    <s v="p2"/>
    <s v="2026-01-21T12:20:00.000+0200"/>
    <s v="GR,GR_Early_D,IRM:PI27S01_start,IRM:PI27S05_end,pi27_candidate,pi27_p2"/>
    <s v="3.0.0"/>
    <s v="Enable user-defined characteristics (Data Area) for c_gl_account"/>
    <s v="As a revenue authority admin , I need to have the ability to extend the data schema of GL Account configuration object, as commonly provided in the application by a data Area field. There are several details need to be added that cannot be supported by product. _x000d__x000a__x000d__x000a_*Functional Requirement*_x000d__x000a_ - Need to be able to add custom information in Gl Account config page  (Taxpayer accounting ,c_gl_account) _x000d__x000a__x000d__x000a__x000d__x000a__x000d__x000a_Examples: _x000d__x000a__x000d__x000a_Related a different GL account of higher level , eg. field name &quot;Higher Level GL Account&quot; , lookup GL accounts. _x000d__x000a__x000d__x000a_Notes: _x000d__x000a_ - Add optional column data_area to c_gl_account_x000d__x000a_ - Update Party APIs to support new dataArea field _x000d__x000a_ - Add CustomValidationService _x000d__x000a_ - General User data characteristics details https://jira.intrasoft-intl.com/browse/IRM-29295"/>
    <s v="-"/>
    <s v="* Need to be able to add custom information in Gl Account config page  (Taxpayer accounting ,c_gl_account) "/>
  </r>
  <r>
    <s v="IRM-34678"/>
    <x v="1"/>
    <x v="3"/>
    <s v="Batch Processing Enhancements"/>
    <s v="Amplio Batch improvements"/>
    <s v="In Progress"/>
    <n v="160"/>
    <s v="GRC"/>
    <x v="3"/>
    <x v="9"/>
    <s v="p2"/>
    <s v="2026-01-21T09:22:53.000+0200"/>
    <s v="DATnottestable,GR_Early_D,IATNotTestable,No_Doc,pi27_candidate,pi27_p2"/>
    <s v="3.0.0"/>
    <s v="Amplio Batch improvements"/>
    <s v="The goal of the feature is to ensure the revenue-management-batch and revenue-management-batch-custom, is properly ready to be used as the default and sole solution for batch processing within Solon Tax._x000d__x000a__x000d__x000a_The feature should ensure that the custom application is fully ready for projects to extend, that reference batch job implementations follow best-practice, to properly function as guidance and that it behaves fully as a Solon Tax application._x000d__x000a__x000d__x000a_Contents:_x000d__x000a__x000d__x000a_1. The migrated batch jobs all function as separate modules, but are compiled as one applications. During the migrations most dependencies has been kept as is, instead of taking into consideration that many of these come from the main application. It's therefore needed to go through all the batch jobs in both revenue-management-batch and revenue-management-batch-custom _x000d__x000a__x000d__x000a_2. Revenue-management-batch should utilize Solons shared libraries, to ensure it functions and integrates into the product as a native service. This task focuses on using the shared logging library, which also sets up aspects, that ensure default logging of REST requests, database access and more._x000d__x000a__x000d__x000a_3. It has been noted that some batch jobs do not utilize common properties when they should, e.g. penalty interest, and obligation maintenance (registration) use their own keycloak secrets and client ids and such. This should be resolved by ensuring that all batch jobs use common properties when they can, and the code should be adapted to reflect this._x000d__x000a__x000d__x000a_4. Ensure that revenue-management-batch is build using final dependencies, currently it is being build using RC builds of foundation, which should not be the case for a release._x000d__x000a__x000d__x000a_5. Because of the dependency towards foundation, the default local properties for configuring the database connection, is controlled by the local properties in revenue-management-batch. It is therefore necessary to ensure that these properties can be configured from the revenue-management-batch-custom project."/>
    <s v="More robust solution"/>
    <s v="TBD"/>
  </r>
  <r>
    <s v="IRM-34598"/>
    <x v="5"/>
    <x v="19"/>
    <s v="Document Management Integration Enhancements"/>
    <s v="Digital Signatures - Validate signatures in attachments RM &amp; SS/ Reference Implementation"/>
    <s v="In Design"/>
    <n v="266.7"/>
    <s v="GRC"/>
    <x v="0"/>
    <x v="12"/>
    <s v="p1"/>
    <s v="2026-01-16T09:39:34.000+0200"/>
    <s v="GR,TshirtSize_L,pi28_candidate,pi28_p1"/>
    <m/>
    <s v="Digital Signatures - Validate signatures in attachments RM &amp; SS/ Reference Implementation"/>
    <s v="As a revenue authority users and SS users, I need to be able to validate digital signatures of documents that I am attaching in entities in system (e.g. form) _x000d__x000a__x000d__x000a_*Out of scope  :* _x000d__x000a_The maintenance of trusted lists are part of the configurator resposibilities_x000d__x000a__x000d__x000a_ _x000d__x000a__x000d__x000a_*Functional requirements*_x000d__x000a_ * Show case that user can validate documents that are attached in system entities digital signature. _x000d__x000a_ * Admin should be able to define the trusted list of digital signatures providers and the apis needed to verify signatures. _x000d__x000a_ * A visual sign is displayed when document is signed._x000d__x000a_ * A visual sign is displayed when document is verified._x000d__x000a__x000d__x000a_Reference implementation : _x000d__x000a_ * While working with a form in SS and in RM  user may upload document and check to verify signature._x000d__x000a_upload a document,  try to verify the document's digital signature , trusted lists , check checksum in the body ) _x000d__x000a__x000d__x000a_ _x000d__x000a__x000d__x000a_*Notes:* _x000d__x000a_Need list of trusted providers and then check checksum in the body_x000d__x000a__x000d__x000a_ "/>
    <s v="Reference implementation for additional steps of user journey , when working with digital signed docuements."/>
    <s v="* Show case that user can validate documents that are attached in system entities digital signature. _x000d__x000a_ * Admin should be able to define the trusted list of digital signatures providers and the apis needed to verify signatures. _x000d__x000a_ * A visual sign is displayed when document is verified._x000d__x000a_ * A Reference implementation to verify the above functionality (for at least one demo digital signature provider)  "/>
  </r>
  <r>
    <s v="IRM-34563"/>
    <x v="5"/>
    <x v="12"/>
    <s v="Form Processing Enhancements"/>
    <s v="Make filingObligationAction optional on forms/operate endpoint"/>
    <s v="Under Validation"/>
    <n v="10.7"/>
    <s v="GRC"/>
    <x v="3"/>
    <x v="31"/>
    <s v="p1"/>
    <s v="2026-01-15T19:24:09.000+0200"/>
    <s v="GR,GR_Early_B,IATNotTestable,IRM:PI27S01_end,IRM:PI27S01_start,LT_BRANCH,No_Doc,pi27_candidate,pi27_p1"/>
    <s v="3.0.0"/>
    <s v="Make filingObligationAction optional on forms/operate endpoint"/>
    <s v="As a Self Service user I need to submit a form with no filing obligation action prior existing, so that I can submit various types of forms such as registration, application etc._x000d__x000a__x000d__x000a_*Introduction*_x000d__x000a__x000d__x000a_Similar to [IRM-34562|https://jira.intrasoft-intl.com/browse/LTX-6888] this feature is a result of LT project where currently, the endpoint *POST* {{/ss-service-management/forms/operate}} requires the parameter {{{}filingObligationAction{}}}. This requirement is too restrictive because there are form cases where a filing obligation action ID is not applicable._x000d__x000a__x000d__x000a_Example: _x000d__x000a_trying to submit this payload _x000d__x000a_{code:java}_x000d__x000a_{&quot;operation&quot;:&quot;SUBMIT&quot;,&quot;form&quot;:{&quot;id&quot;:&quot;48e22b40-6eae-4c20-9cf3-dfcf87852d88&quot;,&quot;party&quot;:{&quot;id&quot;:&quot;1f0bb9b9-7d73-427b-9fd2-8e8c44b6e605&quot;,&quot;identificationLabel&quot;:null},&quot;formTypeCode&quot;:&quot;EXCISE_REG&quot;,&quot;referenceNumber&quot;:null,&quot;sourceCL&quot;:&quot;7&quot;,&quot;sourceCLDescription&quot;:&quot;Self Service&quot;,&quot;receiveDate&quot;:&quot;2026-01-13&quot;,&quot;filingTypeCL&quot;:&quot;ORIGINAL&quot;,&quot;filingTypeCLDescription&quot;:&quot;Original&quot;,&quot;creationTimestamp&quot;:&quot;2026-01-13T10:42:46Z&quot;,&quot;statusCL&quot;:&quot;DRAFT&quot;,&quot;statusCLDescription&quot;:null,&quot;changeReasonCL&quot;:null,&quot;changeReasonCLDescription&quot;:null,&quot;formChangeComment&quot;:null,&quot;adjustReasonCL&quot;:null,&quot;adjustReasonCLDescription&quot;:null,&quot;adjustComment&quot;:null,&quot;lastUpdateTimestamp&quot;:null,&quot;violationsData&quot;:[],&quot;formData&quot;:&quot;{\&quot;generalData\&quot;:{\&quot;purposeCL\&quot;:\&quot;1\&quot;,\&quot;registrationType\&quot;:\&quot;5\&quot;,\&quot;validityPeriod\&quot;:\&quot;2026\&quot;,\&quot;registrationClassCL\&quot;:\&quot;N\&quot;,\&quot;registrationValidFrom\&quot;:\&quot;2026-01-13\&quot;,\&quot;registrationValidTo\&quot;:\&quot;2027-01-12\&quot;,\&quot;notifyTaxPayer\&quot;:true,\&quot;validityTypeCode\&quot;:\&quot;4\&quot;},\&quot;locationDetails\&quot;:{\&quot;fullAddress\&quot;:{\&quot;id\&quot;:\&quot;6e4ba29f-9499-441f-b3a8-58acd508cff0\&quot;}},\&quot;heatingDevicesDetails\&quot;:{\&quot;heatingDevices\&quot;:[{\&quot;deviceName\&quot;:\&quot;tet\&quot;,\&quot;intendedUseCL\&quot;:\&quot;1\&quot;,\&quot;fuelConsumption\&quot;:1,\&quot;requestedQuantity\&quot;:1}],\&quot;allowedQuantity\&quot;:1},\&quot;attachments\&quot;:[{\&quot;attachmentCategoryCL\&quot;:\&quot;1\&quot;,\&quot;file\&quot;:{\&quot;attachmentId\&quot;:\&quot;444b7c04-90a9-4f36-bc9d-6b596c3456d9\&quot;,\&quot;fileName\&quot;:\&quot;excise (1).txt\&quot;,\&quot;sizeInBytes\&quot;:70451}}],\&quot;serviceTypeCL\&quot;:\&quot;2\&quot;,\&quot;formTypeCL\&quot;:\&quot;AKC001-1\&quot;,\&quot;initiationTypeCL\&quot;:\&quot;5\&quot;,\&quot;partyRole\&quot;:{\&quot;id\&quot;:\&quot;addb7489-812e-4fed-946b-65759f5e4a6f\&quot;,\&quot;identificationLabel\&quot;:\&quot;\&quot;},\&quot;skipValidation\&quot;:false,\&quot;taxpayerDetails\&quot;:{\&quot;fullName\&quot;:\&quot;Melina Mar Melina Mar\&quot;,\&quot;partyTypeCode\&quot;:\&quot;FA\&quot;,\&quot;address\&quot;:{\&quot;identificationLabel\&quot;:\&quot;C10 13 13E11 LOC10 LOC10-S0 2 YB2 VT2 LT-1234 A_KOM 41730772269\&quot;,\&quot;id\&quot;:\&quot;6e4ba29f-9499-441f-b3a8-58acd508cff0\&quot;}}}&quot;,&quot;reportedFormData&quot;:null,&quot;processInstanceId&quot;:null,&quot;relatedEntities&quot;:null,&quot;attachmentDetails&quot;:[],&quot;formCorrections&quot;:{},&quot;formCorrectionFields&quot;:[],&quot;selfServiceReferenceNumber&quot;:null}} {code}_x000d__x000a_where filingObligation object is not present, we get the following error:_x000d__x000a_{code:java}_x000d__x000a_{_x000d__x000a_    &quot;message&quot;: &quot;Validation failed&quot;,_x000d__x000a_    &quot;status&quot;: 400,_x000d__x000a_    &quot;timestamp&quot;: null,_x000d__x000a_    &quot;path&quot;: &quot;/api-gateway-ss/iss-service-management/forms/operate&quot;,_x000d__x000a_    &quot;errorCode&quot;: &quot;ST-E0110&quot;,_x000d__x000a_    &quot;violations&quot;: [_x000d__x000a_        {_x000d__x000a_            &quot;fieldName&quot;: &quot;filingObligationAction.id&quot;,_x000d__x000a_            &quot;rejectedValue&quot;: null,_x000d__x000a_            &quot;message&quot;: &quot;must not be null&quot;,_x000d__x000a_            &quot;errorCode&quot;: null_x000d__x000a_        }_x000d__x000a_    ],_x000d__x000a_    &quot;innerViolations&quot;: [_x000d__x000a_        {_x000d__x000a_            &quot;fieldName&quot;: &quot;filingObligationAction.id&quot;,_x000d__x000a_            &quot;rejectedValue&quot;: null,_x000d__x000a_            &quot;message&quot;: &quot;must not be null&quot;,_x000d__x000a_            &quot;errorCode&quot;: &quot;ST-COM-V0028&quot;_x000d__x000a_        }_x000d__x000a_    ]_x000d__x000a_} {code}"/>
    <s v="Ability to submit forms via Self Service without having filing obligation action"/>
    <s v="* Forms without {{filingObligationAction.id}} can be submitted successfully._x000d__x000a_ * Forms with {{filingObligationAction.id}} continue to work as expected._x000d__x000a_ * API documentation is updated to reflect that the parameter is optional."/>
  </r>
  <r>
    <s v="IRM-34562"/>
    <x v="5"/>
    <x v="12"/>
    <s v="Form Processing Enhancements"/>
    <s v="Make filingObligationAction.id Optional in POST /self-service-forms Endpoint"/>
    <s v="Under Verification"/>
    <n v="10.7"/>
    <s v="GRC"/>
    <x v="3"/>
    <x v="31"/>
    <s v="p1"/>
    <s v="2026-01-15T19:14:41.000+0200"/>
    <s v="GR,GR_Early_B,IATNotTestable,IRM:PI27S01_end,IRM:PI27S01_start,LT_BRANCH,No_Doc,pi27_candidate,pi27_p1"/>
    <s v="3.0.0"/>
    <s v="Make filingObligationAction.id Optional in POST /self-service-forms Endpoint"/>
    <s v="As a Self Service user I need to submit a form with no filing obligation action prior existing, so that I can submit various types of forms such as registration, application etc._x000d__x000a__x000d__x000a_*Introduction* _x000d__x000a__x000d__x000a_This feature is a result of LT project where currently, the endpoint *POST* {{/self-service-forms}} in the *ui-configuration of self-service* requires the parameter {{{}filingObligationAction.id{}}}. This requirement is too restrictive because there are form cases where a filing obligation action ID is not applicable._x000d__x000a__x000d__x000a_Problem:_x000d__x000a_ * The parameter {{filingObligationAction.id}} is enforced as required._x000d__x000a__x000d__x000a_ * Some forms do not need to include a filing obligation action ID._x000d__x000a_ * This leads to unnecessary validation errors and prevents certain forms from being submitted successfully._x000d__x000a__x000d__x000a_*Funtional Requirement*_x000d__x000a_ * Forms without {{filingObligationAction.id}} can be submitted successfully._x000d__x000a__x000d__x000a_ * Forms with {{filingObligationAction.id}} continue to work as expected._x000d__x000a__x000d__x000a_ * API documentation is updated to reflect that the parameter is optional."/>
    <s v="Ability to submit forms via Self Service without having filing obligation action "/>
    <s v="* Forms without {{filingObligationAction.id}} can be submitted successfully._x000d__x000a__x000d__x000a_ * Forms with {{filingObligationAction.id}} continue to work as expected._x000d__x000a__x000d__x000a_ * API documentation is updated to reflect that the parameter is optional."/>
  </r>
  <r>
    <s v="IRM-34522"/>
    <x v="2"/>
    <x v="16"/>
    <s v="Registration Enhancements"/>
    <s v="Support longer strings in Name Elements and the new name standard elements  RM/SS"/>
    <s v="Under Verification"/>
    <n v="58.7"/>
    <s v="GRC"/>
    <x v="3"/>
    <x v="32"/>
    <s v="p1"/>
    <s v="2026-01-15T12:08:10.000+0200"/>
    <s v="GR,GR_Early_B,IRM:PI27S01_end,IRM:PI27S01_start,LT,LT_BRANCH,MVP,breaking_change,pi27_candidate,pi27_p1"/>
    <s v="3.0.0"/>
    <s v="Support longer strings in Name Elements and the new name standard elements  RM/SS"/>
    <s v="As an Admin I need to be able to use longer strings in Name related containers and use the new created name standards._x000d__x000a_This should be depicted in RM and SS. _x000d__x000a__x000d__x000a_*Functional Requirements*_x000d__x000a_ * Update the supported characters for Party Name fields _x000d__x000a_full_name varchar(255)  -&gt; varchar(2500)_x000d__x000a_first_name varchar(50)  -&gt; varchar(300)_x000d__x000a_middle_name varchar(50)   -&gt; varchar(300)_x000d__x000a_last_name varchar(50)   -&gt; varchar(300)_x000d__x000a_name_prefix varchar(50)   -&gt; varchar(300)_x000d__x000a_name_suffix varchar(50)   -&gt; varchar(300)_x000d__x000a_custom_name1 varchar(50)   -&gt; varchar(300)_x000d__x000a_custom_name2 varchar(50)   -&gt; varchar(300)_x000d__x000a_custom_name3 varchar(50)   -&gt; varchar(300)_x000d__x000a__x000d__x000a_ * Additional 5 elements as per name standards to available in Party Name and in relevant apis as other name standards (?) _x000d__x000a__x000d__x000a_Custom Name 4  , 300 characters_x000d__x000a_Custom Name 5 , 300 characters_x000d__x000a_Custom Name 6 , 300 characters_x000d__x000a_Custom Name 7 , 300 characters_x000d__x000a_Custom Name 8 , 300 characters_x000d__x000a__x000d__x000a_ _x000d__x000a__x000d__x000a_(relevant [https://jira.intrasoft-intl.com/browse/IRM-30371] ) _x000d__x000a__x000d__x000a_*Documentation*_x000d__x000a__x000d__x000a_Document all the above adjustments"/>
    <s v="-"/>
    <s v="* Update the supported characters for Party Name fields _x000d__x000a_full_name varchar(255)  -&gt; varchar(2500)_x000d__x000a_first_name varchar(50)  -&gt; varchar(300)_x000d__x000a_middle_name varchar(50)   -&gt; varchar(300)_x000d__x000a_last_name varchar(50)   -&gt; varchar(300)_x000d__x000a_name_prefix varchar(50)   -&gt; varchar(300)_x000d__x000a_name_suffix varchar(50)   -&gt; varchar(300)_x000d__x000a_custom_name1 varchar(50)   -&gt; varchar(300)_x000d__x000a_custom_name2 varchar(50)   -&gt; varchar(300)_x000d__x000a_custom_name3 varchar(50)   -&gt; varchar(300)_x000d__x000a__x000d__x000a_ * Additional 5 elements as per name standards to available in Party Name and in relevant apis as other name standards _x000d__x000a__x000d__x000a_Custom Name 4  , 300 characters_x000d__x000a_Custom Name 5 , 300 characters_x000d__x000a_Custom Name 6 , 300 characters_x000d__x000a_Custom Name 7 , 300 characters_x000d__x000a_Custom Name 8 , 300 characters"/>
  </r>
  <r>
    <s v="IRM-34521"/>
    <x v="0"/>
    <x v="6"/>
    <s v="Performance Efficiency Enhancements"/>
    <s v="Enrich performance suite ( Part 2 )"/>
    <s v="In Progress"/>
    <n v="213.3"/>
    <s v="Other"/>
    <x v="3"/>
    <x v="1"/>
    <s v="p1"/>
    <s v="2026-01-15T11:45:40.000+0200"/>
    <s v="FATnottestable,IATNotTestable,No_Doc,pi27_candidate,pi27_p1"/>
    <s v="3.0.0"/>
    <s v="Enrich performance suite ( Part 2 )"/>
    <s v="*Performance Suite Enhancements - Phase 2 ( Phase 1 leftovers from LT project  +* *new requirements coming from GR project)* _x000d__x000a__x000d__x000a_*Not implemented scenarios from Phase 1 [Test - Performance - SOLON TAX - netcompany intrasoft - Confluence|https://confluence.intrasoft-intl.com/pages/viewpage.action?pageId=92045727&amp;spaceKey=IC&amp;title=Test%2B-%2BPerformance] :* _x000d__x000a_ * Enrich the performance suite with Bill Segments, Human Tasks chains based on the volumes from LT project_x000d__x000a_ ** Create scenarios for bill segment processing_x000d__x000a_ ** Create test scenarios for human task workflows with resource calendar interaction scenarios_x000d__x000a_ ** Establish appropriate performance limits for these new entity types_x000d__x000a__x000d__x000a_ * UI Performance Automation _x000d__x000a_ ** Complete tool evaluation for UI performance testing_x000d__x000a_ ** Define performance limits for UI interactions_x000d__x000a_ ** Determine scope: define whether to include all pages or select indicative pages_x000d__x000a_ ** Create and execute UI performance test scenarios_x000d__x000a__x000d__x000a_ * Performance Report Comprehension _x000d__x000a_ ** Finalize and implement improvements to report structure and clarity_x000d__x000a_ ** Ensure all metrics include proper units of measure (ms)_x000d__x000a_ ** Complete organization framework (by business area, microservice, or other logical grouping)_x000d__x000a_ ** Define and document what &quot;Average&quot; represents in measurements_x000d__x000a__x000d__x000a_ _x000d__x000a__x000d__x000a_*Extend performance testing to support GR project p1 operations :* _x000d__x000a__x000d__x000a_[GatheringDetailsForPerformanceSystemChecks.xlsx|https://netcompany-my.sharepoint.com/:x:/p/isiampou/IQA4n6p5ju_OSJPMQSdgPr9rASk4o6y4x0Gx8ze82IJxL9o?e=t7Zi5V] , GR  - ASSUMPTIONS _tests_x000d__x000a__x000d__x000a_Test to run from [https://confluence.intrasoft-intl.com/spaces/IC/pages/224720421/Test+Scenarios] _x000d__x000a_ * GR Project Test Data and Scenarios_x000d__x000a_ ** Create comprehensive test data for GR Project Registration Form scenarios_x000d__x000a_ ** Develop test scenarios for GR Project Tax Form (aligned with VAT form approach from Self-Service)_x000d__x000a_ ** Define and implement Change Request scenarios (specification to be finalized)_x000d__x000a_ ** Implement SS Forms ( 4 SP )_x000d__x000a__x000d__x000a_ * Throttle Scenarios with Extended Test Data_x000d__x000a_ ** Implement throttle scenarios as described in IRM-34169 _x000d__x000a_ ** Expand test data volumes for throttle testing scenarios_x000d__x000a_ ** Define performance expectations under throttled conditions_x000d__x000a_ ** Validate system behavior and response times within resource constraints"/>
    <s v="-"/>
    <s v="-"/>
  </r>
  <r>
    <s v="IRM-34509"/>
    <x v="0"/>
    <x v="1"/>
    <s v="Maintainability Enhancements"/>
    <s v="Decommission Camunda 8 support from Solon Tax"/>
    <s v="Implemented"/>
    <n v="26.7"/>
    <s v="Other"/>
    <x v="3"/>
    <x v="15"/>
    <s v="p1"/>
    <s v="2026-01-14T17:25:18.000+0200"/>
    <s v="FATnottestable,IATNotTestable,IRM:PI2705_end,IRM:PI2705_start,TshirtSize_S,irm_pd_pdm_agreed,pi27_candidate,pi27_p1"/>
    <s v="3.0.0"/>
    <s v="Decommission Camunda 8 support from Solon Tax"/>
    <s v="Scope of this task is the decommission of Camunda 8 from solon tax bundle. This include:_x000d__x000a_ * Removing process engine zeebe module from solon tax adapters and the respective deployment on helm charts_x000d__x000a_ * Remove the respective module from core-bpm repo_x000d__x000a_ ** In general, zeebe dependencies should be eliminated from solon tax deliverables_x000d__x000a_ ** Take care to only remove elements not affecting solontax-amplio process engine integration as it utilizes the same event publication protocol. Leave intact in case of regression risk._x000d__x000a_ * Archive the respective Camunda 8 charts_x000d__x000a_ * Remove Camunda 8 deployments across 3.0.0 environments_x000d__x000a_ * Clean up process management configuration entries referring to camunda 8/zeebe_x000d__x000a_ * Remove product documentation references"/>
    <s v="-"/>
    <s v="As per description"/>
  </r>
  <r>
    <s v="IRM-34224"/>
    <x v="0"/>
    <x v="8"/>
    <s v="Security Enhancements"/>
    <s v="SS Enhancements - Authorization Support"/>
    <s v="Implemented"/>
    <n v="320"/>
    <s v="GRC"/>
    <x v="3"/>
    <x v="23"/>
    <s v="p1"/>
    <s v="2026-01-09T10:21:00.000+0200"/>
    <s v="GR,GR_Early_D,IATNotTestable,IRM:PI27S05_end,MVP,SELF_SERVICE_SERVICES_MANAGEMENT,TshirtSize_L,pi27_candidate,pi27_p1,ready"/>
    <s v="3.0.0"/>
    <s v="SS Enhancements - Authorization Support"/>
    <s v="In SS we need to be able to full process orchestration of the form processes and rules.  As some of the tasks to succeed that are already implemented the remaining are the items from [https://jira.intrasoft-intl.com/browse/IRM-24421]  (Authorization management) _x000d__x000a__x000d__x000a_ _x000d__x000a_ * *SS Authorization Management*_x000d__x000a_ **  Includes API-level security only (no row-level)._x000d__x000a_ ** Covers function-level security (e.g. API access by user role)._x000d__x000a_ ** Needs to incorporate securable objects, user structure, etc._x000d__x000a_ ** No row-level security expected._x000d__x000a__x000d__x000a__x000d__x000a_Notes : see also https://jira.intrasoft-intl.com/browse/IRM-15101 _x000d__x000a_----_x000d__x000a_ "/>
    <s v="-"/>
    <s v="* Authorization Management- full capabilities in SS_x000d__x000a_ ** Includes API-level security only (no row-level)._x000d__x000a_ ** Covers function-level security (e.g. API access by user role)._x000d__x000a_ ** Needs to incorporate securable objects, user structure, etc._x000d__x000a_ ** No row-level security expected."/>
  </r>
  <r>
    <s v="IRM-34169"/>
    <x v="0"/>
    <x v="6"/>
    <s v="Performance Efficiency Enhancements"/>
    <s v="System Performance Enhancements for GR project / P1"/>
    <s v="Under Validation"/>
    <n v="34.700000000000003"/>
    <s v="GRC"/>
    <x v="3"/>
    <x v="33"/>
    <s v="p1"/>
    <s v="2026-01-07T16:51:30.000+0200"/>
    <s v="GR,IATNotTestable,MVP,No_Doc,PERFORMANCE_EFFICIENCY,TshirtSize_XL,pi27_candidate,pi27_p1"/>
    <s v="3.0.0"/>
    <s v="System Performance Enhancements for GR project / P1"/>
    <s v="*Extend performance testing to support GR project p1 operations :* _x000d__x000a__x000d__x000a_[GatheringDetailsForPerformanceSystemChecks.xlsx|https://netcompany-my.sharepoint.com/:x:/p/isiampou/IQA4n6p5ju_OSJPMQSdgPr9rASk4o6y4x0Gx8ze82IJxL9o?e=t7Zi5V] , GR  - ASSUMPTIONS _tests_x000d__x000a__x000d__x000a_Test to run from [https://confluence.intrasoft-intl.com/spaces/IC/pages/224720421/Test+Scenarios] _x000d__x000a_ * *Scenarios:*_x000d__x000a_ ** *R-001  - Registration Form - Natural person*_x000d__x000a_ ** *R-003  -  Registration Form - Change Requests  (i.e. update an existing party with a new child detail like new name or ID plus we may expire an old value and add start date to the new record)*_x000d__x000a_ ** *T-010  - Tax Form Posted*_x000d__x000a__x000d__x000a_ * *In Parallel stress tests*_x000d__x000a_ ** *Reference Data*_x000d__x000a_ ** *GL Decisions*_x000d__x000a_ ** *Bill Segments*_x000d__x000a_ ** *Payment Segments*"/>
    <s v="-"/>
    <s v="Priority 1 : Develop the indicated test scenarios and run them with purpose to pass or to log the issues identified."/>
  </r>
  <r>
    <s v="IRM-34159"/>
    <x v="3"/>
    <x v="20"/>
    <s v="Self Service Services Management Enhancements"/>
    <s v="SS Enhancements - Contacts, Operational Reports"/>
    <s v="To Do"/>
    <n v="320"/>
    <s v="Other"/>
    <x v="2"/>
    <x v="23"/>
    <s v="p3"/>
    <s v="2026-01-07T14:04:36.000+0200"/>
    <s v="SELF_SERVICE_SERVICES_MANAGEMENT,TshirtSize_L,pi28_candidate,pi28_p3,ready"/>
    <m/>
    <s v="SS Enhancements - Contacts, Operational Reports"/>
    <s v=" _x000d__x000a_ * *SS operational reports/contacts -Jasper*_x000d__x000a_ ** I can generate and run Operational reports and contacts in SS._x000d__x000a__x000d__x000a_ _x000d__x000a__x000d__x000a_Note: This was defined as needed for Digital signature related api calls. _x000d__x000a__x000d__x000a_ _x000d__x000a_----_x000d__x000a_ "/>
    <s v="-"/>
    <s v="* I can generate and run Operational reports and contacts in SS."/>
  </r>
  <r>
    <s v="IRM-33642"/>
    <x v="5"/>
    <x v="21"/>
    <s v="Contact Management Enhancements"/>
    <s v="Change EmailContactSender parameters"/>
    <s v="Implemented"/>
    <n v="2.7"/>
    <s v="GRC"/>
    <x v="3"/>
    <x v="34"/>
    <s v="p2"/>
    <s v="2025-12-22T13:26:43.000+0200"/>
    <s v="DATnottestable,GR,GR_Early_D,IRM:PI26S03_start,IRM:PI27S05_end,LT_BRANCH,pi27_candidate,pi27_p2"/>
    <s v="3.0.0"/>
    <s v="Change EmailContactSender parameters"/>
    <s v="As an Admin, I need to be able to configure contact types for a party / party role (not hardcoded), so that the system can provide flexibility to implementations.  _x000d__x000a__x000d__x000a_*Introduction* _x000d__x000a__x000d__x000a_During LT project the following finding related to configuration of contact types for a party / party role need to be addressed to the product. _x000d__x000a__x000d__x000a_*Functional Requirements*_x000d__x000a__x000d__x000a_&gt; Value in the EmailContactSender class shoulld be configured. ie remove hardcoded reference to PartyContactTypes.EMAIL. _x000d__x000a__x000d__x000a_&gt; A new switch option should be added in the application properties so that the party contact of the configured type to be used. ie Remove hardcoded logic finding the party role eligible contact of type EMAIL for the given party role id."/>
    <s v="Enable Admins to configure contact types to Party/ Party Role."/>
    <s v="* Value in the EmailContactSender class shoulld be configured. ie remove hardcoded reference to PartyContactTypes.EMAIL. _x000d__x000a__x000d__x000a_ * A new switch option should be added in the application properties so that the party contact of the configured type to be used. ie Remove hardcoded logic finding the party role eligible contact of type EMAIL for the given party role id."/>
  </r>
  <r>
    <s v="IRM-33637"/>
    <x v="0"/>
    <x v="1"/>
    <s v="Maintainability Enhancements"/>
    <s v="Extend Length in Comment Fields Across Entities"/>
    <s v="Waiting Analysis Approval"/>
    <n v="69.3"/>
    <s v="Other"/>
    <x v="2"/>
    <x v="20"/>
    <s v="p2"/>
    <s v="2025-12-22T11:41:16.000+0200"/>
    <s v="LT_BRANCH,pi27_candidate,pi29_candidate,pi29_p2"/>
    <m/>
    <s v="Extend Length in Comment Fields Across Entities"/>
    <s v="As a revenue officer, I need to provide comments with wider description, as to be able to explain the reason of this item and keep track of them. _x000d__x000a__x000d__x000a_*Introduction* _x000d__x000a__x000d__x000a_To support the requirements of LT, we need to expand the maximum character length of the Comment fields across all system items. Currently, the character limits are insufficient for example in Human Tak entity where the user is requested to comment on a task and this requires more than 255 characters that is currently available. _x000d__x000a__x000d__x000a_*Functional Requirements*_x000d__x000a__x000d__x000a_For all comment field items: _x000d__x000a_ * Extend Comment fields to accept length of 2000 characters_x000d__x000a_ * Visible in Ui in record page "/>
    <s v="Enable Users to provide a  coherent explanation in Comment fileds."/>
    <s v="* Extend Comment fields to accept length of 2000 characters_x000d__x000a_ * Visible in Ui in record pages"/>
  </r>
  <r>
    <s v="IRM-33555"/>
    <x v="0"/>
    <x v="1"/>
    <s v="Maintainability Enhancements"/>
    <s v="Technology Management - Upgrade SOLON Tax Spring Boot Version to 4.x.x"/>
    <s v="In Progress"/>
    <n v="42.7"/>
    <s v="Other"/>
    <x v="3"/>
    <x v="24"/>
    <s v="p1"/>
    <s v="2025-12-19T14:34:29.000+0200"/>
    <s v="FATnottestable,IATNotTestable,pi27_candidate,pi27_p1"/>
    <s v="3.0.0"/>
    <s v="Technology Management - Upgrade SOLON Tax Spring Boot Version to 4.x.x"/>
    <s v="Upgrade of the application platform from Spring Boot 3.x to Spring Boot 4.x in order to stay aligned with the Spring ecosystem roadmap, benefit from long-term support, and prepare the codebase for upcoming framework and dependency changes._x000d__x000a__x000d__x000a_Spring Boot 4 introduces breaking changes, updated baselines, and dependency upgrades which require coordinated changes across build configuration, application code, and infrastructure._x000d__x000a__x000d__x000a_The activity includes:_x000d__x000a_ * Upgrade Spring Boot parent/BOM to Spring Boot 4.x_x000d__x000a__x000d__x000a_ * Coordinate upgrade to Java version to Java 25, covered by IRM-30464_x000d__x000a__x000d__x000a_ * Review and update third-party dependencies affected by the upgrade_x000d__x000a__x000d__x000a_ * Adapt application code to API removals or behavior changes_x000d__x000a_ * Handle compatibility with solution's Elasticsearch version(8 or 9) _x000d__x000a__x000d__x000a_ * Migrate code deprecations and handle spring boot/framework API removals introduced by the upgrade _x000d__x000a__x000d__x000a_ * Update configuration properties that have changed or been deprecated_x000d__x000a__x000d__x000a_ * Ensure build, tests, and local startup succeed after the upgrade_x000d__x000a__x000d__x000a_ * Evaluate application performance benefits_x000d__x000a_ * Ensure no breakage of SOLON Tax APIs and cross-cutting concern functionality_x000d__x000a__x000d__x000a_{+}Considerations{+}:_x000d__x000a__x000d__x000a_Identify microservices that cannot be upgraded due to lack of support for Spring boot 4 from dependent libraries. These microservices can be excluded by the upgrade. Potential candidates are:_x000d__x000a_ * Camunda 7 adapters_x000d__x000a_ * Amplio adapters_x000d__x000a__x000d__x000a_{+}References{+}:_x000d__x000a__x000d__x000a_Spring boot migration guide: [https://github.com/spring-projects/spring-boot/wiki/Spring-Boot-4.0-Migration-Guide]_x000d__x000a__x000d__x000a_ "/>
    <s v="* Keeps the platform up-to-date and supported_x000d__x000a__x000d__x000a_ * Reduces technical debt and future upgrade effort_x000d__x000a__x000d__x000a_ * Enables adoption of new Spring features and improvements_x000d__x000a__x000d__x000a_ * Improves long-term maintainability and security posture"/>
    <s v="* Applications builds successfully with *Spring Boot 4.x*_x000d__x000a__x000d__x000a_ * Applications starts successfully in test environments_x000d__x000a__x000d__x000a_ * Existing automated tests pass (or failures are justified and fixed)_x000d__x000a__x000d__x000a_ * No critical runtime errors related to framework incompatibilities_x000d__x000a__x000d__x000a_ * Key runtime flows (startup, health checks, security, messaging) are verified_x000d__x000a__x000d__x000a_ * Upgrade-related changes are documented (breaking changes, required follow-ups"/>
  </r>
  <r>
    <s v="IRM-33531"/>
    <x v="0"/>
    <x v="1"/>
    <s v="Maintainability Enhancements"/>
    <s v="Support Oracle 26ai"/>
    <s v="Under Validation"/>
    <n v="53.3"/>
    <s v="GRC"/>
    <x v="3"/>
    <x v="2"/>
    <s v="p1"/>
    <s v="2025-12-19T13:18:41.000+0200"/>
    <s v="EXTENSIBILITY,FATnottestable,GR,GR_Early_C,IATNotTestable,pi27_candidate,pi27_p1"/>
    <s v="3.0.0"/>
    <s v="Support Oracle 26ai"/>
    <s v="As a developer, I want to update our application and database schema to support Oracle 26ai. This involves migrating columns currently using {{CLOB}} for JSON storage to Oracle's native {{JSON}} data type to leverage performance and feature improvements._x000d__x000a__x000d__x000a_A preliminary task [https://jira.intrasoft-intl.com/browse/IRM-32830] is a prerequisite to determine the feasibility of supporting both Oracle 19c and 26ai simultaneously (Scope B) versus dropping support for 19c (Scope A). The final implementation will follow one of these two approaches._x000d__x000a__x000d__x000a_-*Scope A: Support Oracle 26ai Only*-_x000d__x000a_ * -*Goal:* Fully transition to Oracle 26ai.-_x000d__x000a_ * -*ACs:*-_x000d__x000a_ ** -The application must be compatible with and run on Oracle 26ai.-_x000d__x000a_ ** -Database columns of type {{CLOB}} storing JSON data must be changed to the native {{JSON}} type.-_x000d__x000a_ ** -ORM mappings and native queries must be updated to correctly handle the new {{JSON}} type.-_x000d__x000a_ ** -Support for Oracle 19c will be deprecated and removed.-_x000d__x000a__x000d__x000a_*Scope B: Support Oracle 26ai and 19c*_x000d__x000a_ * *Goal:* Introduce Oracle 26ai support while maintaining backward compatibility with 19c._x000d__x000a_ * *ACs:*_x000d__x000a_ ** The application must be compatible with and run on both Oracle 26ai and Oracle 19c._x000d__x000a_ ** -A database migration (e.g., using Liquibase) must be created to convert {{CLOB}} columns to the {{JSON}} type when running on Oracle 26ai.-_x000d__x000a_ ** -ORM mappings and queries must be adapted to function correctly with both {{CLOB}} (on 19c) and {{JSON}} (on 26ai) types.-_x000d__x000a_ ** Separate Liquibase change sets or conditional logic will be required for DDL and configuration to manage the differences between Oracle 19c and 26ai environments._x000d__x000a__x000d__x000a_*Out of Scope*_x000d__x000a_ * Implementing new features exclusive to Oracle 26ai beyond the {{JSON}} type migration."/>
    <s v="* In description"/>
    <s v="Depending on Outcome of IRM-32830:_x000d__x000a_ * Support oracle 26ai_x000d__x000a_ * Support for oracle 19c is retained_x000d__x000a_ * -Introduce a migration set where CLOB column types holding JSON data are converted to Oracle's JSON type-_x000d__x000a_ * -ORM and queries should be adjusted accordingly to support both Versions and both CLOB and JSON-_x000d__x000a_ * It's expected that liquibase migrations for DDL and configuration will require a different set for Oracle 19 and 26"/>
  </r>
  <r>
    <s v="IRM-33448"/>
    <x v="2"/>
    <x v="16"/>
    <s v="Registration Enhancements"/>
    <s v="Party Identifiers - Related Documents"/>
    <s v="Implemented"/>
    <n v="106.7"/>
    <s v="GRC"/>
    <x v="3"/>
    <x v="21"/>
    <s v="p1"/>
    <s v="2025-12-18T10:24:35.000+0200"/>
    <s v="GR,GR_Early_C,IRM:PI27S04_end,MVP,REGISTRATION,TshirtSize_M,pi26_candidate,pi27_candidate,pi27_p1"/>
    <s v="3.0.0"/>
    <s v="Party Identifiers - Related Documents"/>
    <s v="As a revenue officer to be able to upload attachments related to party identifiers.  _x000d__x000a__x000d__x000a_*Functional Requirements*_x000d__x000a_ * Documents/Attachments for Party Identifiers table (not party role)_x000d__x000a_ ** User can relate attachments to Identifier records._x000d__x000a_ ** User can see/search for these documents under Party via Document management module_x000d__x000a_ ** User can see/search for these documents under Party Role if eligible identifier via Document management module. _x000d__x000a__x000d__x000a__x000d__x000a_Notes: _x000d__x000a_Manage the relation of party identifier via new schema of document management introduced in IRM-28301 , IRM-28302_x000d__x000a__x000d__x000a__x000d__x000a__x000d__x000a_*Documentation*_x000d__x000a_Document all the above adjustments. _x000d__x000a__x000d__x000a_ _x000d__x000a__x000d__x000a_*Non functional requirements*_x000d__x000a_Performance , Security, Accessibility, Usability  DODs should be fulfilled. "/>
    <s v="-"/>
    <s v="# User can relate attachments to Identifier records._x000d__x000a_ # User can see/search for these documents under Party via Document management module_x000d__x000a_ # User can see/search for these documents under Party Role if eligible identifier via Document management module. "/>
  </r>
  <r>
    <s v="IRM-33429"/>
    <x v="5"/>
    <x v="12"/>
    <s v="Form Processing Enhancements"/>
    <s v="Form rule code, 50 characters"/>
    <s v="Under Validation"/>
    <n v="26.7"/>
    <s v="GRC"/>
    <x v="3"/>
    <x v="15"/>
    <s v="p2"/>
    <s v="2025-12-17T15:05:19.000+0200"/>
    <s v="GR,GR_Early_B,IATNotTestable,IRM:PI27S02_end,IRM:PI27S02_start,No_Doc,breaking_change,pi27_candidate,pi27_p2"/>
    <s v="3.0.0"/>
    <s v="Form rule code, 50 characters"/>
    <s v="As a solon system implementor I need to be able to add code with more that 10 characters in form rules as to have more characters to create unique descriptive codes_x000d__x000a__x000d__x000a_ _x000d__x000a__x000d__x000a_*Functional requirements*_x000d__x000a__x000d__x000a_I can create forms rule using code with 50 characters."/>
    <s v="-"/>
    <s v="I can create forms rule using code with 50 characters."/>
  </r>
  <r>
    <s v="IRM-33406"/>
    <x v="0"/>
    <x v="1"/>
    <s v="Maintainability Enhancements"/>
    <s v="Integrate Self-Contained Documentation Portal into Solon Tax Deliverable"/>
    <s v="To Do"/>
    <n v="160"/>
    <s v="Other"/>
    <x v="2"/>
    <x v="9"/>
    <s v="p3"/>
    <s v="2025-12-17T11:00:20.000+0200"/>
    <s v="TshirtSize_M,not_ready,pi28_candidate,pi28_p3"/>
    <m/>
    <s v="Integrate Self-Contained Documentation Portal into Solon Tax Deliverable"/>
    <s v="As a Solon Tax user on a customer-hosted environment, I want to access relevant help documentation directly from the Solon Tax hosted environment, so that I can get assistance without needing seperate access to connect to {{[https://docs.netcompany.com/]}} site_x000d__x000a__x000d__x000a_*Description:*_x000d__x000a__x000d__x000a_Currently, the Solon Tax UI integrates with the internal documentation portal at {{{}[https://docs.netcompany.com/]{}}}. This setup is not desired for customer-premise deployments which are often in isolated environments._x000d__x000a__x000d__x000a_This story covers the work required to package, deploy, and integrate a self-contained version of the Solon Tax documentation portal within the standard Solon Tax product deliverables._x000d__x000a__x000d__x000a_*Acceptance Criteria:*_x000d__x000a_ # A new process exists to build a stripped-down Docker image of the documentation portal, containing only the Solon Tax documentation._x000d__x000a_ # A new Helm chart is created to deploy this documentation Docker image as part of the standard Solon Tax vanilla deployment._x000d__x000a_ # The Solon Tax UI is reconfigured to retrieve help pages from the newly deployed, in-cluster documentation service instead of the external {{{}docs.netcompany.com{}}}._x000d__x000a_ # Access to the bundled documentation site is secured; users must be authenticated and authorized through the existing Solon Tax access control mechanisms._x000d__x000a_ # Unauthenticated users are prevented from accessing the documentation content._x000d__x000a_ # Documentation on installation deliverables, installation procedure and architecture are updated accordingly."/>
    <s v="-"/>
    <s v="AC1: As per description"/>
  </r>
  <r>
    <s v="IRM-33364"/>
    <x v="5"/>
    <x v="14"/>
    <s v="Reference Data Enhancements"/>
    <s v="Codelists : New Attributes types Ui improvements"/>
    <s v="Under Verification"/>
    <n v="160"/>
    <s v="GRC"/>
    <x v="3"/>
    <x v="9"/>
    <s v="p2"/>
    <s v="2025-12-16T15:55:36.000+0200"/>
    <s v="GR,GR_Early_D,IRM:PI27S01_start,IRM:PI27S04_end,MVP,REFERENCE_DATA,irm_pd_pdm_agreed,pi26_candidate,pi26_p3,pi27_candidate,pi27_p2,ready"/>
    <s v="3.0.0"/>
    <s v="Codelists : New Attributes types Ui improvements"/>
    <s v="As an admin I need to be able to  use a friendly UI  and the attributes to be able to be reported along with codelist items with proper localized where applicable details._x000d__x000a_Ui part of [https://jira.intrasoft-intl.com/browse/IRM-29344] _x000d__x000a__x000d__x000a_ _x000d__x000a__x000d__x000a_*Functional Requirements*_x000d__x000a_ * Codelists and Codelist items will be supported by a *user-friendly UI* that allows Admins to define the attribute value types described below. Depending on user language preferences, attributes'  *localized* values will be displayed where applicable. _x000d__x000a__x000d__x000a_*A) Boolean Values* _x000d__x000a_ A radio button appears, user can choose YES or NO_x000d__x000a_ _x000d__x000a__x000d__x000a_E{_}xample:{_}  _x000d__x000a_{_}C{_}{_}odelist e.g.  &quot;PartyOriginType&quot;,  with codelist values  : A, B, C{_}  _x000d__x000a__Metadata /Attribute:_     _EN: Members exist/ GR: Ύπαρξη Μελών_  _x000d__x000a__Finally  :_  {_}PartyOriginType{_}{_}, item = A, attribute{_} _Members exist_  _= Yes/True -&gt; choose value on radio button__x000d__x000a__x000d__x000a_ _x000d__x000a__x000d__x000a_*B)* Attribute Values via a *Codelist*  _x000d__x000a__x000d__x000a_a)  Codelist  may be selected in Metadata page when item is of the relevant type.  _x000d__x000a_b)  Codelist items will be selected when admin defines the attribute under a codelist item.   _x000d__x000a_c) Admin may display in Ui or in a report the localized values of attributes as per localized codelist items of the supported codelist_x000d__x000a__x000d__x000a__Example:_ _x000d__x000a_{_}C{_}{_}odelist e.g.  &quot;PartyOriginType&quot;,  with codelist values  : A, B, C{_} _x000d__x000a__Supportive_  _Codelist = Supportive_DSourceA , values_  _: Interfaces, Manual Data Entry, other External ...__x000d__x000a__Metadata /Attribute: EN: Data source /GR: Προέλευση Δεδομένου  , linked  Codelist = Supportive_DSourceA__x000d__x000a__x000d__x000a_ {_}when setting the attribute &quot;{_}{_}Registration source&quot;{_}  _, for item &quot;A&quot; admin may select one the values of the       Reg_sourceA  codelist._ _x000d__x000a_ _Finally  :_  {_}PartyOriginType{_}{_}, item = A, attribute Registration source  = Manual Data Entry{_}_x000d__x000a__x000d__x000a_ _x000d__x000a__x000d__x000a_ _x000d__x000a__x000d__x000a_*C)* Attribute Values sourced from a *translatable  label/string*_x000d__x000a__x000d__x000a_a)  Metadata of this type may be created. _x000d__x000a_b)  When adding values  in the attribute , translations can be added and displayed. _x000d__x000a__x000d__x000a_        _x000d__x000a__x000d__x000a__Example:_ _x000d__x000a_{_}C{_}{_}odelist e.g.  &quot;PartyOriginType&quot;,  with codelist values  : A, B, C{_} _x000d__x000a_{_}Metadata /Attribute{_}{_}: EN: UI Text  /GR: Κείμενο διεπαφής χρήστη    , values taken from new/existing labels or string that can be translated{_}  _x000d__x000a_  _x000d__x000a_{_}when setting the attribute &quot;{_}UI Text{_}{{_}}{_}&quot;{_}  _, for item &quot;A&quot; admin may  add a string in all the available languages or use an existing label from the system ._ _x000d__x000a__x000d__x000a_ _x000d__x000a__x000d__x000a_*Consideration* : Customers may be advised to clear unused labels from the system. _x000d__x000a__x000d__x000a_ _x000d__x000a__x000d__x000a_             !image-2025-09-02-21-17-47-147.png|width=319,height=361!_x000d__x000a__x000d__x000a_ _x000d__x000a__x000d__x000a_ _x000d__x000a__x000d__x000a_*Documentation*_x000d__x000a_Document all the above adjustments. _x000d__x000a__x000d__x000a_ _x000d__x000a__x000d__x000a_*Non functional requirements*_x000d__x000a_Performance , Security, Accessibility, Usability  DODs should be fulfilled. **_x000d__x000a__x000d__x000a_ "/>
    <s v="By standardizing attribute values across Boolean fields, linked codelists, and translatable labels, we will ensure consistency, usability, and localization in both the UI and reporting."/>
    <s v="# Boolean Values_x000d__x000a_ ## Boolean attributes must store values as 1/0, true/false, or yes/no in a consistent way across UI and reports.  The same representation must be used for all related attributes._x000d__x000a_ ## Boolean attributes must display in the UI as a radio button with 2 options YES and NO_x000d__x000a_ #  Attribute Values via a Codelist_x000d__x000a_ ## Admins must be able to link metadata items to an existing supportive codelist._x000d__x000a_ ## In the Metadata page, Admins must be able to select the supportive codelist when creating an item._x000d__x000a_ ## When assigning attributes to a codelist item, Admins must be able to select from the supportive codelist’s items._x000d__x000a_ ## Localized values of supportive codelist items must be displayed in the UI based on user language preference._x000d__x000a_ # Attribute Values from a Translatable Label/String_x000d__x000a_ ## Metadata items of this type must support translations in all available languages. (see point 3 below)_x000d__x000a_ ## Admins must be able to create metadata items of this type._x000d__x000a_ ## Admins must be able to:  Enter a new string with translations in all available languages, or Reuse an existing system label._x000d__x000a_ ## Attribute values must display in the UI  according to the user’s selected UI language."/>
  </r>
  <r>
    <s v="IRM-33159"/>
    <x v="0"/>
    <x v="2"/>
    <s v="Usability Enhancements"/>
    <s v="UI Improvements / Initiatives (Current PI27)"/>
    <s v="To Do"/>
    <n v="160"/>
    <s v="Other"/>
    <x v="3"/>
    <x v="9"/>
    <s v="p1"/>
    <s v="2025-12-12T14:59:58.000+0200"/>
    <s v="ACCESSIBILITY,IATNotTestable,No_Doc,pi27_candidate,pi27_p1"/>
    <s v="3.0.0"/>
    <s v="UI Improvements / Initiatives (Current PI27)"/>
    <s v="As an ICARUS team member, I want the technical debt to be addressed right from the start in order to avoid implications and reduce the efforts in the future, so that the product is evolving organically. Additionally, I want to resolve any technical challenges that has risen up, so that methodologies are defined and can be followed. This Enabler gathers up all the technical debt and challenges generated/identified during previous PIs._x000d__x000a__x000d__x000a_!image-2025-12-12-15-03-55-976.png!_x000d__x000a__x000d__x000a_Plus, UI Improvements based on this presentation [https://netcompany-my.sharepoint.com/:p:/r/personal/kspontou_netcompany_com/_layouts/15/Doc.aspx?sourcedoc=%7B8B5942CC-A77D-4DCC-BE94-6E161D8A514C%7D&amp;file=SOLON%20UI.pptx&amp;action=edit&amp;mobileredirect=true]"/>
    <s v="* Proper UI_x000d__x000a_ * Continuous improvement"/>
    <s v="TBD"/>
  </r>
  <r>
    <s v="IRM-33155"/>
    <x v="0"/>
    <x v="1"/>
    <s v="Maintainability Enhancements"/>
    <s v="Improvements / Challenges - Bucket (Current PI27)"/>
    <s v="To Do"/>
    <n v="266.7"/>
    <s v="Other"/>
    <x v="3"/>
    <x v="12"/>
    <s v="p1"/>
    <s v="2025-12-12T13:51:19.000+0200"/>
    <s v="IATNotTestable,No_Doc,pi27_candidate,pi27_p1"/>
    <s v="3.0.0"/>
    <s v="Improvements / Challenges - Bucket (Current PI27)"/>
    <s v="As an ICARUS team member, I want the technical debt to be addressed right from the start in order to avoid implications and reduce the efforts in the future, so that the product is evolving organically. Additionally, I want to resolve any technical challenges that has risen up, so that methodologies are defined and can be followed. This Enabler gathers up all the technical debt and challenges generated/identified during previous PIs._x000d__x000a__x000d__x000a_!image-2025-12-12-14-57-47-598.png!"/>
    <s v="TBD"/>
    <s v="TBD"/>
  </r>
  <r>
    <s v="IRM-33149"/>
    <x v="0"/>
    <x v="6"/>
    <s v="Performance Efficiency Enhancements"/>
    <s v="Performance improvements (Current PI27)"/>
    <s v="In Progress"/>
    <n v="160"/>
    <s v="Other"/>
    <x v="3"/>
    <x v="9"/>
    <s v="p1"/>
    <s v="2025-12-12T13:37:26.000+0200"/>
    <s v="IATNotTestable,No_Doc,PERFORMANCE_EFFICIENCY,pi27_candidate,pi27_p1"/>
    <s v="3.0.0"/>
    <s v="Performance improvements (Current PI27)"/>
    <s v="As an ICARUS team member and/or user, I want the application to have a good performance, so that I can do my work without hassle and the system be able to process the actions of all users."/>
    <s v="-"/>
    <s v="-"/>
  </r>
  <r>
    <s v="IRM-33100"/>
    <x v="0"/>
    <x v="1"/>
    <s v="Maintainability Enhancements"/>
    <s v="Long Description Field Across Configuration Entities"/>
    <s v="Under Verification"/>
    <n v="186.7"/>
    <s v="GRC"/>
    <x v="3"/>
    <x v="10"/>
    <s v="p1"/>
    <s v="2025-12-11T18:56:48.000+0200"/>
    <s v="EXTENSIBILITY,GR,GR_Early_B,IRM:PI27S01_start,IRM:PI27S03_end,IRM:PI27S04_end,LT_BRANCH,MVP_new,breaking_change,pi27_candidate,pi27_p1"/>
    <s v="3.0.0"/>
    <s v="Long Description Field Across Configuration Entities"/>
    <s v="As a revenue authority user , I need to be able to create configuration items with wider description, as to be able to explain the reason of this item and keep track of them. _x000d__x000a__x000d__x000a_*Introduction* _x000d__x000a__x000d__x000a_To support the requirements of AADE and the increased complexity of configuration entities migrating from TAXIS, SOLON TAX must expand the maximum character length of the Code and Description fields across all system configuration items. Currently, the character limits are insufficient for several entities whose descriptions are significantly longer in TAXIS. The current character limits on Code and Description fields in SOLON TAX are restrictive. During the configuration of GL Accounts, Revenue Types, and Bill Segment Types, it became clear that many items originating from TAXIS use extended textual descriptions that exceed the system’s current capabilities_x000d__x000a__x000d__x000a_ _x000d__x000a__x000d__x000a_*Functional Requirements*_x000d__x000a__x000d__x000a_For all configuration items: _x000d__x000a_ * Long  Description field , length 3000 characters (translatable if possible , but plain text)_x000d__x000a_ * Visible in Ui in record page , optional in list views_x000d__x000a_ * This field is Searchable_x000d__x000a_ * Be able to display the long description in the UI (e.g. revenue type when selecting to create a form)_x000d__x000a_ ** Change Codelist widget to the config list widget *only* for GL accounts, Bill segment types, revenue types (revenue type registration , forms, Bill segment creation, Ft types) _x000d__x000a_ * Field names in UI / Rename_x000d__x000a_*Name* (Short description now called as Description or Label) _x000d__x000a_*Description* (Long Description - current field implemented) _x000d__x000a_ * (Be only) Configurator may be able to add in Ui schema the long descriptions of  GL accounts, Bill segment types, revenue types ( in revenue type registration , forms, Bill segment creation, Ft types pages , in cases where  the dropdown appears as a config list widget and user can see long description). _x000d__x000a__x000d__x000a_Documentation Note: _x000d__x000a_Please update the instructions on updating the translations for this long Description_x000d__x000a__x000d__x000a_ _x000d__x000a__x000d__x000a_Notes: _x000d__x000a_This change must be applied firstly in GL accounts, Bill segment types, revenue types and secondly across all configuration entities, not only those that have already demonstrated the need._x000d__x000a__x000d__x000a_ "/>
    <s v="-"/>
    <s v="For all (* to be defined later - see comments below) configuration items: _x000d__x000a_ * Long  Description field (plain text , translatable) , length 3000 characters_x000d__x000a_ * Visible in Ui in record page , optional  filed in list views (wrap 3 lines truncate with tooltip)_x000d__x000a_ * Made this field Searchable _x000d__x000a_ * Field names in UI _x000d__x000a_Name (Short description now called as Description or Label) _x000d__x000a_Description (Long Description - current field implemented) _x000d__x000a_ * (Be only) Configurator may be able to add in Ui schema the long descriptions of  revenue types  and Bill segment types in RTR , forms when selecting RT and Bill segments when Bill segmen type is selected.  (Configurators need to add in UI)"/>
  </r>
  <r>
    <s v="IRM-32912"/>
    <x v="0"/>
    <x v="18"/>
    <s v="Reliability Enhancements"/>
    <s v="Data Integrity improvements. Error handling in synchronous operations that involve distributed transactions / Registry, Taxpayer"/>
    <s v="HLD"/>
    <n v="533.29999999999995"/>
    <s v="Other"/>
    <x v="0"/>
    <x v="8"/>
    <s v="p1"/>
    <s v="2025-12-09T15:57:04.000+0200"/>
    <s v="Generic,RELIABILITY,TshirtSize_XXL,pi28_candidate,pi28_p1"/>
    <m/>
    <s v="Data Integrity improvements. Error handling in synchronous operations that involve distributed transactions / Registry, Taxpayer"/>
    <s v="cont.  :https://jira.intrasoft-intl.com/browse/IRM-25038 _x000d__x000a__x000d__x000a_ _x000d__x000a__x000d__x000a_Solon Tax microservices have domain boundaries that also encapsulate the corresponding transactional boundaries. I.e. most API operations result in ACID transactions as the updates are handled within the owning microservice's database._x000d__x000a__x000d__x000a_ _x000d__x000a__x000d__x000a_However there are some APIs of the system that the owning service also issues PUT/POST requests to different services. For these cases, strong error handling should be introduced._x000d__x000a__x000d__x000a_ _x000d__x000a__x000d__x000a_Syncronous operations refer to:_x000d__x000a_ * HTTP api invocation. A distributed transaction there involves data updates to more than one microservices in the lifecycle of the HTTP request_x000d__x000a_ * Kafka message consumption. A distributed transaction there involves data updates to more than one microservices in the lifecycle of the kafka message under consuption._x000d__x000a__x000d__x000a_In cases were an operation invokes one or more published messages that are subsequently causing other updates, these are considere eventually consistent transactions and are not in the scope of this enabler._x000d__x000a__x000d__x000a_ _x000d__x000a__x000d__x000a_Scope of this enabler is to :_x000d__x000a__x000d__x000a_Decide and introduce appropriate error handling for Taxpayer cases as listed in [https://netcompany.sharepoint.com/:x:/s/ICARUSProductTeam/IQDDvVCJsRcQR5si6csRQX4UASFBtrUfVPMWEu6yVXFAQ6w?e=6ZruVa] _x000d__x000a_*for &quot; taxpayer&quot;, &quot;registration&quot;* _x000d__x000a__x000d__x000a_Consider any patterns to the flows implemented already_x000d__x000a__x000d__x000a_Note that the [https://confluence.intrasoft-intl.com/spaces/IC/pages/224722770/Data+integrity+improvements]  _x000d__x000a__x000d__x000a_1. Assign worker to a human task._x000d__x000a_2. Claim a human task_x000d__x000a__x000d__x000a_ "/>
    <s v="Solon Tax should ensure data integrity"/>
    <s v="-"/>
  </r>
  <r>
    <s v="IRM-32830"/>
    <x v="0"/>
    <x v="1"/>
    <s v="Maintainability Enhancements"/>
    <s v="Feasibility check and support of Oracle 26ai"/>
    <s v="Closed"/>
    <n v="42.7"/>
    <s v="GRC"/>
    <x v="3"/>
    <x v="24"/>
    <s v="p1"/>
    <s v="2025-12-08T09:24:43.000+0200"/>
    <s v="EXTENSIBILITY,FATnottestable,GR,GR_Early_A,IATNotTestable,No_Doc,pi27_candidate,pi27_p1"/>
    <s v="3.0.0"/>
    <s v="Feasibility check and support of Oracle 26ai"/>
    <s v="SOLON Tax makes good use of JSON data areas to hold data related with the entities that are not part of the standard data schemas._x000d__x000a__x000d__x000a_In GR and LT Tax project, they use data areas to cover operational requirements and allow the default model to be extended to support customer requirements. As such, a database that understands and can process JSON data natively is required to allow fast accesses to the data area fields._x000d__x000a__x000d__x000a_Oracle, since version 21, introduced native JSON support which was further extended in Oracle 26ai that is also LTS version._x000d__x000a__x000d__x000a_So, it required from the product to add support for Oracle 26ai and make use of its advanced features._x000d__x000a__x000d__x000a_Additional to the requirement, it must be noted that Oracle, as the database vendor for the GR government entities strongly recommended to use Oracle 23ai for the GR TAX project as its lifetime exceeds the termination of Oracle 19c and they would need to do a costly migration during the project delivery timelines._x000d__x000a__x000d__x000a_Given that the Oracle 19c reaches EOL at 2029, it is recommended to migrate our product to Oracle 26ai and *+maybe+* drop support for 19c, as this will benefit both performance, support and longevity._x000d__x000a__x000d__x000a_Native JSON support is offered also in PostgreSQL so a common approach on the product supported databases to allow native JSON handling will be highly beneficial._x000d__x000a__x000d__x000a_Part of the Enabler are:_x000d__x000a_A)_x000d__x000a_ * Effort estimation and ongoing maintenance cost of in parallel support of the two versions_x000d__x000a_ * Effort estimation supporting Oracle 26ai_x000d__x000a_ * Feasibility check  of supporting Oracle 19c and Oracle 26ai_x000d__x000a_ * Decision from PDM on how we move fw (drop support of Oracle 19c and only support 26ai or provide in parallel support for both versions, 26ai and 19c  or do nothing and leave only 19c  or support only 26 and have a plan to support 19 in a later stage) _x000d__x000a_ * Initiate a parallel  low prio discussion Can we have a way to make easier these upgrades?  _x000d__x000a__x000d__x000a_B) _x000d__x000a_ * Support of Oracle 26ai_x000d__x000a_ * Based on the decision: drop support of Oracle 19c or provide in parallel support for both versions, 26ai and 19c (or do nothing, or get ready to support 19 in a later stage). "/>
    <s v="* In description"/>
    <s v="Part A :_x000d__x000a_Estimations and Decisions as described in description section_x000d__x000a__x000d__x000a_Part B: _x000d__x000a_ * SOLON TAX supports Oracle 26ai_x000d__x000a_ * SOLON TAX continues working without any issues introduced by this migration_x000d__x000a_ * Based on decisions _x000d__x000a_ ** SOLON TAX support properly the versions decided_x000d__x000a_ ** SOLON TAX supports optimal CRUD operations of data held in JSON data areas for Oracle database"/>
  </r>
  <r>
    <s v="IRM-32746"/>
    <x v="0"/>
    <x v="13"/>
    <s v="Traceability Enhancements"/>
    <s v="Audit Log - Ability to keep Audit trail for authorization /LEFTOVER"/>
    <s v="Waiting Analysis Approval"/>
    <n v="264"/>
    <s v="GRC"/>
    <x v="0"/>
    <x v="27"/>
    <s v="p2"/>
    <s v="2025-12-04T12:11:40.000+0200"/>
    <s v="AuditLog,GR,LT,TRACEBILITY,TshirtSize_L,pi26_leftover,pi28_candidate,pi28_p2"/>
    <m/>
    <s v="Audit Log - Ability to keep Audit trail for authorization /LEFTOVER"/>
    <s v="Leftover from [https://jira.intrasoft-intl.com/browse/IRM-29504] _x000d__x000a__x000d__x000a_In some situations (no parent child relationship) , the audit log entries don’t include the information needed to display them in a single, unified list under the parent item or under each related entity._x000d__x000a_Example: _x000d__x000a_In practice, this means that a codelist can have multiple versions, and each codelist item can also have multiple versions. However, the audit log records for a codelist item are not grouped under one codelist version (or live record). Instead, they are distributed across the various versions, depending on when (version of codelist)  each event was logged._x000d__x000a__x000d__x000a_This affects the following: _x000d__x000a__x000d__x000a_*authorization-management MS*_x000d__x000a_    c_object_access_group_included_entity_x000d__x000a_    c_role_securable_object _x000d__x000a_    c_role_user _x000d__x000a_    c_skill_user_x000d__x000a_    c_user_access_group_user  _x000d__x000a__x000d__x000a_ _x000d__x000a__x000d__x000a_*Functional Requirements*_x000d__x000a_1) I can display all Audit log of the related items under the live record of parent items for the areas: _x000d__x000a_ * Authorization management    (Under securable objects)_x000d__x000a__x000d__x000a_2) I can see in the UI the related details_x000d__x000a__x000d__x000a__x000d__x000a__x000d__x000a_*Documentation*_x000d__x000a_Document all the above adjustments. _x000d__x000a__x000d__x000a_ _x000d__x000a__x000d__x000a_*Non functional requirements*_x000d__x000a_Performance , Security, Accessibility, DODs should be fulfilled. "/>
    <s v="-"/>
    <s v="1) I can display all Audit log of the related items under the live record of parent items for the areas: _x000d__x000a_ * Authorization management objects _x000d__x000a__x000d__x000a_2) I can see in the UI the related details"/>
  </r>
  <r>
    <s v="IRM-32538"/>
    <x v="3"/>
    <x v="7"/>
    <s v="User &amp; 3rd Party Access Management Enhancements"/>
    <s v="Extend Rights and Relationships to Support 3rd party systems"/>
    <s v="Implemented"/>
    <n v="192"/>
    <s v="GRC"/>
    <x v="3"/>
    <x v="35"/>
    <s v="p1"/>
    <s v="2025-11-27T16:47:10.000+0200"/>
    <s v="GR,GR_Early_D,IRM:PI27S01_start,IRM:PI27S05_end,LT,LT_BRANCH,OldForLTpi27_p1,SELF_SERVICE_SERVICES_MANAGEMENT,pi27_candidate,pi27_p2"/>
    <s v="3.0.0"/>
    <s v="Extend Rights and Relationships to Support 3rd party systems"/>
    <s v="*As a* System Administrator,_x000d__x000a__x000d__x000a_*I want to* extend the data model for representations and authorizations,_x000d__x000a__x000d__x000a_*So that* we can support integrations with external systems, (LT project)._x000d__x000a_h3. *Functional Requirements*_x000d__x000a_ * *Irm Admin Interface:* An IRM administrator must be able to navigate to the &quot;Self Service Rights&quot; configuration menu and see new, optional fields to specify a {{System}} (from a code list) and a {{Purpose}} (text field) when creating or editing a right. If left blank, the system should behave as it currently does._x000d__x000a_ * {*}Self Service Interface{*}: In the Outbound/Inbound Agreements screens, the systemCL of the Right should be visible wherever Rights are displayed, _x000d__x000a__x000d__x000a_h3. *Non-Functional Requirements* _x000d__x000a_ *  *DDL Changes (Registration):*_x000d__x000a_ ** *c_right:*_x000d__x000a_ *** *systemCL :* Codelist Item (Optional)_x000d__x000a_ *** {*}externalSystemRightCode{*}: External System Code (Optional) _x000d__x000a_ *** {*}dataArea{*}: JSON (optional)    _x000d__x000a_ ** *party_role_relationship:*_x000d__x000a_ *** *partyRoleRelationshipStatusCL:* Codelist Item (Optional)_x000d__x000a_ ** *user_right:*_x000d__x000a_ *** {*}dataArea{*}: JSON (optional)    _x000d__x000a_ * {*}Self Service Registry Adapter APIs{*}:_x000d__x000a_ ** Self Service Registry adapter APIs should be extended to expose the new information included in c_right and party_role_relationship from IRM. New information added in user_right is internal and should not be exposed via Self Service Regisry Adapter APIs"/>
    <s v="-"/>
    <s v="# The {{c_right}} table must be extended to include a {{systemCL and externalSystemRightCode}} column to identify the source system and a {{dataArea}} column to store additional fields, like purpose._x000d__x000a_ # The {{party_role_relationship}} table must be extended with a {{partyRoleRelationshipStatusCL}} column to manage the lifecycle of the representation for extenral systems (Will not be used for Solon Tax rights)._x000d__x000a_ # The {{user_right}} table must be extended with a {{dataArea}} column to store external system identifiers like {{{}savedMark{}}}, {{{}eskisId{}}}, and {{{}extSystemId{}}}._x000d__x000a_ # The &quot;Self Service Rights&quot; configuration screen in the IRM admin interface must be updated to include optional fields for {{System}} and {{{}Purpose{}}}._x000d__x000a_ # The system must remain fully backward compatible, ensuring existing Self Service representations and authorizations continue to function without change."/>
  </r>
  <r>
    <s v="IRM-32503"/>
    <x v="0"/>
    <x v="1"/>
    <s v="Maintainability Enhancements"/>
    <s v=" Expansion of Character Limits for Code Across Configuration Entities"/>
    <s v="Under Validation"/>
    <n v="237.3"/>
    <s v="GRC"/>
    <x v="3"/>
    <x v="36"/>
    <s v="p1"/>
    <s v="2025-11-27T08:01:49.000+0200"/>
    <s v="EXTENSIBILITY,GR,GR_Early_B,IRM:PI27S01_start,IRM:PI27S02_end,MVP_new,breaking_change,pi27_candidate,pi27_p1"/>
    <s v="3.0.0"/>
    <s v=" Expansion of Character Limits for Code Across Configuration Entities"/>
    <s v="As a revenue authority user , I need to be able to create configuration items with wider code and description, as to be able to explain the reason of this item and keep track of them. _x000d__x000a__x000d__x000a_*Introduction* _x000d__x000a__x000d__x000a_To support the requirements of AADE and the increased complexity of configuration entities migrating from TAXIS, SOLON TAX must expand the maximum character length of the Code and Description fields across all system configuration items. Currently, the character limits are insufficient for several entities whose descriptions are significantly longer in TAXIS. The current character limits on Code and Description fields in SOLON TAX are restrictive. During the configuration of GL Accounts, Revenue Types, and Bill Segment Types, it became clear that many items originating from TAXIS use extended textual descriptions that exceed the system’s current capabilities_x000d__x000a__x000d__x000a_ _x000d__x000a__x000d__x000a_*Functional Requirements*_x000d__x000a__x000d__x000a_For all configuration items: _x000d__x000a_ * Increase Code field length  from current limit to 50 characters_x000d__x000a__x000d__x000a_ * -NOT VALID: -Description field length → from current limit to 1000 characters- (depicted in [https://jira.intrasoft-intl.com/browse/IRM-33100)-] _x000d__x000a__x000d__x000a_Note : _x000d__x000a_Configuration items contains all the related types, oags , uags , calendars, rates, rules, schemas, menus, queries, skills, roles, standards,  codelists and other admin used entities used to configure transactional data and grand permissions. _x000d__x000a__x000d__x000a_ _x000d__x000a__x000d__x000a_-Notes:- _x000d__x000a_-This change must be applied firstly in GL accounts, Bill segment types, revenue types and secondly across all configuration entities, not only those that have already demonstrated the need.-_x000d__x000a__x000d__x000a_ "/>
    <s v="-"/>
    <s v="Increase Code field length  from current limit to 50 characters"/>
  </r>
  <r>
    <s v="IRM-32464"/>
    <x v="0"/>
    <x v="22"/>
    <s v="Operability Enhancements"/>
    <s v="Call proxy services  /RM &amp; SS - Documentation"/>
    <s v="Ready for Dev"/>
    <n v="21.3"/>
    <s v="GRC"/>
    <x v="0"/>
    <x v="37"/>
    <s v="p1"/>
    <s v="2025-11-26T15:20:30.000+0200"/>
    <s v="Documentation-Only,GR,MVP_new,TshirtSize_XS,pi27_candidate,pi27_p3,pi28_candidate,pi28_p1"/>
    <m/>
    <s v="Call proxy services  /RM &amp; SS - Documentation"/>
    <s v="W{-}e need the following improvements in self service:{-}_x000d__x000a_ * -Ability to call backend apis as operations in a generic way-_x000d__x000a_ * -Ability to call operations that create entities other than forms-_x000d__x000a_ * -Call services without token validation This is handled by different Feature IRM-30785-_x000d__x000a__x000d__x000a_ * {*}RM &amp;SS , Call proxy service{*}s_x000d__x000a_ ** Call proxy services from SS to RM or to 3rd parties (validation from RM or from 3rd parties details in SS) _x000d__x000a_ ** Call proxy services from RM or to 3rd parties (validation from SS or from 3rd parties details in RM) _x000d__x000a_(e.g. ask validations and input from external systems during forms creation, calls on behalf)"/>
    <s v="Facilitator / Accelarator for Implementation Teams"/>
    <s v="Documentation clarifications on how implementors can do. _x000d__x000a__x000d__x000a_-Improvements in self service:-_x000d__x000a_ * -Ability to call backend apis as operations in a generic way-_x000d__x000a_ * -Ability to call operations that create entities other than forms-_x000d__x000a_ * -Apply security in forms operation api-_x000d__x000a_ * -Call services without token validation-_x000d__x000a__x000d__x000a_ * Call proxy services from SS to RM or to 3rd parties (validation from RM or from 3rd parties details in SS) _x000d__x000a_ * Call proxy services from RM or to 3rd parties (validation from SS or from 3rd parties details in RM) "/>
  </r>
  <r>
    <s v="IRM-32237"/>
    <x v="5"/>
    <x v="11"/>
    <s v="UI Configuration Enhancements"/>
    <s v="UI/UX Improvements: Visual cues : Add Visual Indicator for Required Fields"/>
    <s v="In Design"/>
    <n v="45.3"/>
    <s v="GRC"/>
    <x v="0"/>
    <x v="16"/>
    <s v="p1"/>
    <s v="2025-11-20T16:11:38.000+0200"/>
    <s v="Contractual,GR,LT,MVP_new,TshirtSize_S,UI/UX_Improvement,pi28_candidate,pi28_p1"/>
    <m/>
    <s v="UI/UX Improvements: Visual cues : Add Visual Indicator for Required Fields"/>
    <s v="As a configurator, I can define in UI schemas whether to highlight required or optional fields in Solon Tax Revenue Management, so that I can provide flexibility to projects to use as needed._x000d__x000a__x000d__x000a_*Introduction*_x000d__x000a__x000d__x000a_This feature is the result of a request from LT Project, however similar request exists from GR project since Tax officers currently can see highlighted required fields.  _x000d__x000a__x000d__x000a_*Functional Requirements*_x000d__x000a_Enhance the UI configuration to support a visual indicator for specific fields. Example use case:_x000d__x000a_ * Configurator may set the required items to be displayed with {color:#ff0000}*{color} ({color:#ff0000}red asterisk{color})._x000d__x000a_ * Optional items displayed in normal text. No (Optional) label needed next to each field. _x000d__x000a_ * Styling approach could be configurable to support different use cases (e.g., icons, color)._x000d__x000a_ * This change should be generic so it can be reused across forms and modules. _x000d__x000a_ * Existing functionality should be maintained as an option for *projects .* I.e., highlight Optional with text next to the fields. _x000d__x000a__x000d__x000a__x000d__x000a__x000d__x000a__x000d__x000a__x000d__x000a_*Notes:* _x000d__x000a_Requirement from AADE_x000d__x000a_ * Σε όλες τις φόρμες συμπλήρωσης, θα πρέπει να επισημαίνονται με σαφή και διακριτό τρόπο (π.χ. μέσω χρωματικής διαφοροποίησης ή έντονου πλαισίου/bold) τα πεδία που είναι υποχρεωτικά προς συμπλήρωση. Ο διαχωρισμός των υποχρεωτικών από τα προαιρετικά πεδία δεν θα πρέπει να γίνεται με λεκτική περιγραφή."/>
    <s v="UX Enhancement for required fields "/>
    <s v="&gt; Required items are visually distinguished from optional ones (example: ({color:#ff0000}*Red{color}) for {color:#FF0000}required{color}, normal text for optional)._x000d__x000a__x000d__x000a_&gt; Visual styling is consistent across all modules using the dropdown widget._x000d__x000a__x000d__x000a_&gt; The change is implemented in a configurable way, allowing an implementation to select *either* to highlight optional fields *or* highlight required fields (Not both). ie keep existing functionality.  "/>
  </r>
  <r>
    <s v="IRM-31937"/>
    <x v="5"/>
    <x v="11"/>
    <s v="UI Configuration Enhancements"/>
    <s v="Map input values from modal to a card's fields"/>
    <s v="Closed"/>
    <n v="26.7"/>
    <s v="Other"/>
    <x v="4"/>
    <x v="15"/>
    <s v="p3"/>
    <s v="2025-11-14T16:58:46.000+0200"/>
    <s v="No_Doc,UI"/>
    <s v="2.2.0"/>
    <s v="Map input values from modal to a card's fields"/>
    <s v="We would like as a user to click on a card's button to open a modal._x000d__x000a_From this modal, as we will fill specific input fields and clicking on a corresponding &quot;CONFIRM&quot; button (and modal closes), the values of these filled inputs needs to be displayed on specific fields on the card."/>
    <s v="TBD"/>
    <s v="Values from a modal input fields correctly rendered on equivalent card's fields."/>
  </r>
  <r>
    <s v="IRM-31854"/>
    <x v="5"/>
    <x v="11"/>
    <s v="UI Configuration Enhancements"/>
    <s v="LT_UI_Support customObjectField to always present the label"/>
    <s v="Waiting Analysis Approval"/>
    <n v="133.30000000000001"/>
    <s v="Other"/>
    <x v="2"/>
    <x v="4"/>
    <s v="p1"/>
    <s v="2025-11-12T17:52:14.000+0200"/>
    <s v="Contractual,LT,pi26_candidate,pi26_p1+,pi29_candidate,pi29_p3"/>
    <m/>
    <s v="LT_UI_Support customObjectField to always present the label"/>
    <s v="When using CustomObjectField, we want the UI to display the description of the object rather than the internal code, based on the backend response and the configuration attributes available._x000d__x000a__x000d__x000a_Currently, we have set isFlat = true in order to display the object data correctly. However, this configuration seems to interfere with how the label is rendered — instead of showing the user-friendly description, it displays the raw code. This is not the expected behavior and leads to a poor user experience."/>
    <s v="TBD"/>
    <s v="When CustomObjectField is configured with isFlat = true and entityFields includes description, the UI must render the description for the selected value._x000d__x000a__x000d__x000a_The code value is used only internally or for submission, but never shown in the visible label when description is specified._x000d__x000a__x000d__x000a_Behavior must remain consistent across create, edit, and view modes._x000d__x000a__x000d__x000a_Must support rollback without data loss or schema modification._x000d__x000a__x000d__x000a_Must be compatible with existing back-end responses (no schema change required)._x000d__x000a__x000d__x000a_Should not affect unrelated forms or widgets."/>
  </r>
  <r>
    <s v="IRM-31810"/>
    <x v="2"/>
    <x v="16"/>
    <s v="Registration Enhancements"/>
    <s v="Support searching by source_cl from api-gateway-registration-parties API (Get Parties by criteria and pagination)"/>
    <s v="Closed"/>
    <n v="10.7"/>
    <s v="Other"/>
    <x v="4"/>
    <x v="31"/>
    <s v="p1"/>
    <s v="2025-11-11T16:45:12.000+0200"/>
    <s v="IATNotTestable,LT,MVP_new,No_Doc,REGISTRATION,pi26_candidate,pi26_p1+"/>
    <s v="2.2.0"/>
    <s v="Support searching by source_cl from api-gateway-registration-parties API (Get Parties by criteria and pagination)"/>
    <s v="The get API api-gateway/registration/parties (Get Parties by criteria and pagination) doesn't support search with source_cl field. _x000d__x000a__x000d__x000a_This criterion is mandatory in order to retrieve parties created by each source._x000d__x000a__x000d__x000a_This functionality is critical for highly critical for LT project and needs to be delivered within November release i.e 2.2_x000d__x000a__x000d__x000a_This criterion is needed in order the tax officers to be able to search and retrieve parties created by external systems. "/>
    <s v="Enable searching Parties by criterion of source_cl provides flexibility to implementatiion teams."/>
    <s v="The get API api-gateway/registration/parties (Get Parties by criteria and pagination) should support search with source_cl field. "/>
  </r>
  <r>
    <s v="IRM-31771"/>
    <x v="3"/>
    <x v="20"/>
    <s v="Self Service Services Management Enhancements"/>
    <s v="SS Enhancements - Party/Party Role details available in SS (BE availability)"/>
    <s v="Under Verification"/>
    <n v="80"/>
    <s v="GRC"/>
    <x v="3"/>
    <x v="7"/>
    <s v="p1"/>
    <s v="2025-11-10T22:32:10.000+0200"/>
    <s v="GR,GR_Early_B,IATNotTestable,IRM:PI27S01_start,IRM:PI27S03_end,MVP_new,No_Doc,SELF_SERVICE_SERVICES_MANAGEMENT,TshirtSize_M,pi27_candidate,pi27_p1"/>
    <s v="3.0.0"/>
    <s v="SS Enhancements - Party/Party Role details available in SS (BE availability)"/>
    <s v="As a revenue officer and admin I need the service to be used in SS portal UI,  to be able to display details on the party that is related to selected Account. _x000d__x000a_ - Latest valid details (related  [https://jira.intrasoft-intl.com/browse/IRM-31650] ) _x000d__x000a_ - -All documents of Party-_x000d__x000a_ - No need to include this in ISS UI in Solon tax. UI not in scope. _x000d__x000a__x000d__x000a_*Functional Requirements*_x000d__x000a_ * Taxpayer be able to access in SS details of the Party accounts (along party role details) related_x000d__x000a_ (It is assumed that relevant agreements are applied).  _x000d__x000a_No need to include this in ISS UI in Solon tax._x000d__x000a_Notes : This is needed for Party and Party Role only (not Assets and claimants in SS) _x000d__x000a_ * -Taxpayer can view in SS all documents of  Party accounts (along party role details) related.-_x000d__x000a_ -(It is assumed that relevant agreements are applied and with the security as defined by functionality of [https://jira.intrasoft-intl.com/browse/IRM-28301] [https://jira.intrasoft-intl.com/browse/IRM-28302]  &quot;Restricted to SS&quot; ).- "/>
    <s v="-"/>
    <s v="* Taxpayer can view in SS details of the Party accounts (along party role details) related_x000d__x000a_ (It is assumed that relevant agreements are applied).  _x000d__x000a_No need to include this in ISS UI in Solon tax._x000d__x000a__x000d__x000a_Notes : This is needed for Party and Party Role only"/>
  </r>
  <r>
    <s v="IRM-31650"/>
    <x v="2"/>
    <x v="16"/>
    <s v="Registration Enhancements"/>
    <s v="View Party and Party Role: as Today and Details in Time (list Backdated changes based on Valid from-to period)/RM"/>
    <s v="Under Verification"/>
    <n v="213.3"/>
    <s v="GRC"/>
    <x v="3"/>
    <x v="1"/>
    <s v="p1"/>
    <s v="2025-11-07T17:45:46.000+0200"/>
    <s v="GR,GR_Early_D,IRM:PI27S01_start,IRM:PI27S04_end,MVP,REGISTRATION,TshirtSize_L,pi27_candidate,pi27_p1,ready"/>
    <s v="3.0.0"/>
    <s v="View Party and Party Role: as Today and Details in Time (list Backdated changes based on Valid from-to period)/RM"/>
    <s v="As a Revenue Officer, I need the ability to view Party and Party Role information in two different ways, depending on the situation I am handling. To support this, the system must provide two distinct viewing modes:_x000d__x000a__x000d__x000a_*1. Default View -&gt; “Party as Today” (current)*_x000d__x000a_This screen shows only the information that is valid right now._x000d__x000a_It includes all Party and Party Role details (and their child objects) where the valid-from / valid-to date range includes today._x000d__x000a_This allows me to quickly see the latest, active, and legally applicable data for a Party at this moment in time._x000d__x000a_-The need should be applicable to data areas as well.- This should be further extended by customers' when need to add additional custom entities and fields. _x000d__x000a__x000d__x000a_*2. History View -&gt; “Party Details in Time”*_x000d__x000a_This screen shows the complete historical record, regardless of whether the data is still valid._x000d__x000a_It includes all past versions, with any valid-from and valid-to values._x000d__x000a_This allows me to review how Party and Party Role information has changed over time, which is necessary for auditing, investigations, and supporting different operational needs._x000d__x000a_-The need should be applicable to data areas as well.- This should be further extended by customers' when need to add additional custom entities and fields. _x000d__x000a__x000d__x000a_   *a)* Show them all in chronological order_x000d__x000a_   *b)* Select the date of from to to be displayed.  _x000d__x000a__x000d__x000a_ _x000d__x000a__x000d__x000a_*Introduction*_x000d__x000a__x000d__x000a_This ticket is based on a requirement from GR AADE Solon project. _x000d__x000a_AADE when mention history means all the details of Party and Party roles (plus child objects) that may have any valid from, values. _x000d__x000a_Current values are the values that are valid today i.e. From-To duration includes today. _x000d__x000a__x000d__x000a_(This feature will be enriched with the details after the implementation of declaration id links to detail the reason of change).  _x000d__x000a__x000d__x000a_ _x000d__x000a_----_x000d__x000a_*Functional Requirements*_x000d__x000a__x000d__x000a_*A)* User can toggle UI to show me  *only the Valid for today* items :_x000d__x000a_{*}“Party as Today” , &quot;{*}{*}Party Role as Today”{*}_x000d__x000a_ * See The Party page as is today with only the valid items. _x000d__x000a_ * See The Party Role page as is today with only the valid items. _x000d__x000a_ * In Party Role, we implying the Valid-from, Valid-to dates of the of Party related items (except stage). (Relevant : [https://jira.intrasoft-intl.com/browse/IRM-31560] )_x000d__x000a_ * View will be RO_x000d__x000a__x000d__x000a_*B)* User can toggle UI to show me all the valid items *historically* / *“Party Details in Time” ,* *“Party Role Details in Time”*_x000d__x000a_ * User can select to see all history data or select a date_x000d__x000a_ * Items are listed in chronological order per child item list (sorted)_x000d__x000a_ * When previewing a past date the record page will be RO. The page will be Editable only when viewing the whole history.  _x000d__x000a__x000d__x000a_*C)* The default view for the customer when opening a party (today or history)  will be parametrized_x000d__x000a__x000d__x000a_*D)* Apply toggle view to *Claimants*_x000d__x000a__x000d__x000a_ _x000d__x000a__x000d__x000a_*Considerations:* _x000d__x000a_The logic  on filtering and displaying items, should be able to be followed by customers as well, applying same filters in party and party role pages for their custom objects.  The &quot;&lt;&gt;as {*}today{*}&quot; details as well as &quot;&lt;&gt;{*}Details in Time&quot;{*}  may be produced in Operational reports along with other filters._x000d__x000a__x000d__x000a_The views filtering as today and history or selected date will not be applied to data areas. _x000d__x000a__x000d__x000a_ _x000d__x000a__x000d__x000a_*Documentation*_x000d__x000a_Document all the above adjustments. _x000d__x000a__x000d__x000a_ _x000d__x000a__x000d__x000a_*Non functional requirements*_x000d__x000a_Performance , Security, Accessibility, Usability  DODs should be fulfilled. _x000d__x000a__x000d__x000a_ _x000d__x000a_----_x000d__x000a_ _x000d__x000a__x000d__x000a_*How details are logged:* _x000d__x000a_Valid From To fields are available in :_x000d__x000a_|*Address*| | | |_x000d__x000a_|*Party*| |*Party_role*| |_x000d__x000a_|-{color:#505f79}*Party Data Area*{color}-| |-{color:#505f79}*Party Role Data Area*{color}-| |_x000d__x000a_|{color:#4c9aff}_Party child objects :_{color}| |{color:#4c9aff}_Party role , child objects_{color}| |_x000d__x000a_|Party Details - Party Data Area| |-Party Role Details - Party Role Data Area-| |_x000d__x000a_|Individual| |Party role relationship | |_x000d__x000a_|Party state| |{color:#c1c7d0}_Party role eligible address (indirectly)_{color}| |_x000d__x000a_|Party Address| |{color:#c1c7d0}_Party role eligible bank account (indirectly)_{color}| |_x000d__x000a_|Party Identifier| |{color:#c1c7d0}_Party role eligible contact (indirectly)_{color}| |_x000d__x000a_|Party Name| |Party role eligible identifier| |_x000d__x000a_|Party Bank Account| |Party role state| |_x000d__x000a_|Party Classification| |Bank account included action type| |_x000d__x000a_|Party Contact, Party Contact label| |Bank account included entity| |_x000d__x000a_|Party preference| |Organizational unit member| |_x000d__x000a_|Asset to Asset relationship| | | |_x000d__x000a_|Asset to party role relationship, | | | |_x000d__x000a_|user right| | | |_x000d__x000a_|Valuation| | | |_x000d__x000a_| | | | |_x000d__x000a__x000d__x000a_ _x000d__x000a_|Other type of valid from to are available in : |_x000d__x000a_| |_x000d__x000a_|Revenue type registration, |_x000d__x000a_|RTR Calendar,  RTR relationship , RTR reconciliation calendar|_x000d__x000a_|Obligation, Obligation action, |_x000d__x000a_|resource_calendar_assignment|_x000d__x000a__x000d__x000a_Not available in :_x000d__x000a_party_x000d__x000a_individual (will not be used in GR) _x000d__x000a_Valuation detail  (it is dependent to Valuation)_x000d__x000a_ RTR reconciliation period (dependent) _x000d__x000a_party role_x000d__x000a_Obligation calendar (depended on registrations)_x000d__x000a_For Party roles: _x000d__x000a_bank_account_included_action_type_x000d__x000a_bank_account_included_entity_x000d__x000a_party_role_eligible_address (expected to inheriting party details)_x000d__x000a_party_role_eligible_bank_account_x000d__x000a_party_role_eligible_contact_x000d__x000a_party_role_eligible_identifier_x000d__x000a__x000d__x000a_and expected to be visible as well directly for party roles ([https://jira.intrasoft-intl.com/browse/IRM-31560]) _x000d__x000a__x000d__x000a_[Registration_BackdateChanges_Discussion.pptx|https://netcompany-my.sharepoint.com/:p:/p/isiampou/EXlqNWTYvCVLs1O7V7SM4BUBLp_7Sp_MWQN-ETyKClVp1w?e=9zR46V]"/>
    <s v="Different tasks require different types of information. Sometimes I need only what is effective today; other times I need the full change history. By providing a simple toggle between:_x000d__x000a_ * {*}A) Party as Today{*}, and_x000d__x000a__x000d__x000a_ * {*}B) Party Details in Time{*},_x000d__x000a__x000d__x000a_the system ensures that I can quickly switch to the view that supports the task I'm performing at that moment."/>
    <s v="*A)* I can toggle UI to show me  *only the Valid today* items.  / {*}“Party as Today” , &quot;{*}{*}Party Role as Today”{*}{*}{{*}}_x000d__x000a_ # See The Party page as is today with only the valid items. _x000d__x000a_ # See The Party Role page as is today with only the valid items._x000d__x000a_ # In Party Role, we implying the Valid-from, Valid-to dates of the of Party related items (except stage). (Relevant : [https://jira.intrasoft-intl.com/browse/IRM-31560] )_x000d__x000a_ # View will be RO_x000d__x000a__x000d__x000a_*B)*  I can toggle UI to show me all the valid items *historically* / *“Party Details in Time” ,* {*}“Party Role Details in Time”{*}{*}{{*}}_x000d__x000a_ # User can select to see all history data or select a date_x000d__x000a_ # Items are listed in chronological order._x000d__x000a_ # When previewing a past date the record page will be RO. The page will be Editable only when viewing the whole history.  _x000d__x000a__x000d__x000a_*C)* The default view for the customer when opening a party (today or history)  will be parametrized_x000d__x000a_*D)* Apply toggle view to *claimants* "/>
  </r>
  <r>
    <s v="IRM-31569"/>
    <x v="0"/>
    <x v="8"/>
    <s v="Security Enhancements"/>
    <s v="Need to use  keycloak in active cluster mode "/>
    <s v="Under Validation"/>
    <n v="186.7"/>
    <s v="GRC"/>
    <x v="3"/>
    <x v="10"/>
    <s v="p2"/>
    <s v="2025-11-07T04:07:43.000+0200"/>
    <s v="GR,GR_Early_D,IATNotTestable,MVP_new,RELIABILITY,TshirtSize_M,pi27_candidate,pi27_p2"/>
    <s v="3.0.0"/>
    <s v="Need to use  keycloak in active cluster mode "/>
    <s v="Be able to use Keycloak in an active cluster mode means setting it up so that multiple Keycloak instances (nodes) run simultaneously, share the same data, and handle requests in parallel — ensuring high availability, scalability, and fault tolerance._x000d__x000a__x000d__x000a_Each node can:_x000d__x000a_ * Serve login requests_x000d__x000a__x000d__x000a_ * Handle admin actions_x000d__x000a__x000d__x000a_ * Process tokens and sessions_x000d__x000a__x000d__x000a_Keycloak in HA clustering mode: anti-affinity/topology spread constraints/disruption budgets_x000d__x000a_----_x000d__x000a_Note:_x000d__x000a_GR: 24096 users which 10009 are active_x000d__x000a__x000d__x000a_ _x000d__x000a__x000d__x000a_*Documentation*_x000d__x000a_Document all the above adjustments. _x000d__x000a__x000d__x000a_*Non functional requirements*_x000d__x000a__x000d__x000a_Performance: Run performance tests assuming 20000 active users _x000d__x000a_Security: _x000d__x000a_Need to be compliant L3 Owasp :  [https://confluence.intrasoft-intl.com/spaces/IC/pages/224700513/_Summary+of+security+requirements+m…|https://confluence.intrasoft-intl.com/spaces/IC/pages/224700513/_Summary+of+security+requirements+mapped+with+features+and+ASVs+WIP]_x000d__x000a_DODs should be fulfilled. _x000d__x000a_Accessibility, Usability : The existing system is not affected in a way that needs to be reviewed. If so _x000d__x000a_[https://confluence.intrasoft-intl.com/spaces/IC/pages/46038068/Accessibility] , WCAG 2.1 Level A"/>
    <s v="Ensure high availability, scalability, and fault tolerance when high amount of users are using the system (RM + SS) _x000d__x000a_Keycloak in HA clustering mode: anti-affinity/topology spread constraints/disruption budgets"/>
    <s v="Ensure high availability, scalability, and fault tolerance when high amount of users are using the system (RM + SS) _x000d__x000a_Keycloak in HA clustering mode: anti-affinity/topology spread constraints/disruption budgets"/>
  </r>
  <r>
    <s v="IRM-31562"/>
    <x v="0"/>
    <x v="6"/>
    <s v="Performance Efficiency Enhancements"/>
    <s v="Solution - Partitioning db for Volume management and Performance reasons"/>
    <s v="Waiting Solution Approval"/>
    <n v="64"/>
    <s v="GRC"/>
    <x v="3"/>
    <x v="38"/>
    <s v="p1"/>
    <s v="2025-11-06T19:48:14.000+0200"/>
    <s v="FATnottestable,GR,GR_Early_D,IATNotTestable,MVP_new,PERFORMANCE_EFFICIENCY,TshirtSize_L,pi27_candidate,pi27_p1"/>
    <s v="3.0.0"/>
    <s v="Solution - Partitioning db for Volume management and Performance reasons"/>
    <s v="* -Need to prepare the Partitioning db for Performance reasons.- _x000d__x000a_-It is assumed that each year and for the previous year a new partition will be created.-_x000d__x000a_ * -We should be based not only in examples from customers but also on Product understanding on Solon schema.- _x000d__x000a__x000d__x000a_ * In scope: volume tests to assess if, how and when DB partitioning can be used to improve performance; document strategies on how and when to use DB partitioning in product documentation. No product enhancements in scope of this feature. Implementing DB partitioning needs to be done by projects._x000d__x000a__x000d__x000a_ _x000d__x000a__x000d__x000a__In Solon the tables that expect the most volumes are the below :_ _x000d__x000a__Audit logs__x000d__x000a__Context (new table not yet implemented)_ _x000d__x000a__Party , Party Child objects e.g. IDs, Names,  classifications__x000d__x000a__Party Roles , Party Roles Child objects__x000d__x000a__RTR, Obligations, Obligation Actions__x000d__x000a__Liabilities , Scope, balances__x000d__x000a__Bill Segments,__x000d__x000a__Payment segments,_ _x000d__x000a__Allocation segments_ _x000d__x000a__Allocation Links_ _x000d__x000a__Fts ,_ _x000d__x000a__Journal entries__x000d__x000a__Transfer amounts__x000d__x000a__Human Tasks,_ _x000d__x000a__Exceptions__x000d__x000a__Forms__x000d__x000a__Attachments__x000d__x000a__Notifications__x000d__x000a__Parties to Object access groups__x000d__x000a__x000d__x000a__On this list PD should also consult with the expected high volumes in the system._ _x000d__x000a__x000d__x000a_ "/>
    <s v="-"/>
    <s v="Partitioning db for Volume management and Performance reasons"/>
  </r>
  <r>
    <s v="IRM-31561"/>
    <x v="0"/>
    <x v="4"/>
    <s v="Extensibility Enhancements"/>
    <s v="Enable user-define characteristics , Data Area for Party Address, State, Name,  Org unit member, Obligation"/>
    <s v="Under Validation"/>
    <n v="50.7"/>
    <s v="GRC"/>
    <x v="3"/>
    <x v="39"/>
    <s v="p1"/>
    <s v="2025-11-06T19:39:34.000+0200"/>
    <s v="GR,GR_Early_B,IRM:PI26IP_start,IRM:PI27S02_end,LT_BRANCH,MVP_new,REGISTRATION,TshirtSize_M,pi27_candidate,pi27_p1,ready"/>
    <s v="3.0.0"/>
    <s v="Enable user-define characteristics , Data Area for Party Address, State, Name,  Org unit member, Obligation"/>
    <s v="As a revenue admin I need to have available data area and user define characteristics for : _x000d__x000a_ * Party Address,_x000d__x000a_ * Party State,_x000d__x000a_ * Party Name_x000d__x000a_ * Organizational_unit_x000d__x000a_ * Obligation_x000d__x000a__x000d__x000a_+*Functional Requirements*+_x000d__x000a__x000d__x000a_ Have available *Data Area and enable user define characteristics, per party type*_x000d__x000a_ * Party Address, (Example : Comments , free text) _x000d__x000a_ * Party State, (Example : Comments , free text) _x000d__x000a_ * Party Name (Example : Comments , free text) _x000d__x000a_ * Organizational_unitr (Example : Comments , free text) _x000d__x000a_ * Obligation (Example : Revenue Year , free text) _x000d__x000a__x000d__x000a_ _x000d__x000a__x000d__x000a_*Documentation*_x000d__x000a_Document all the above adjustments. _x000d__x000a__x000d__x000a_*Non functional requirements*_x000d__x000a_Performance , Security, Accessibility, Usability  DODs should be fulfilled. "/>
    <s v="-"/>
    <s v="Data Area available (and enable user define characteristics), per party type for: ** _x000d__x000a_ * Party Address,_x000d__x000a_ * Party State,_x000d__x000a_ * Party Name_x000d__x000a_ * Organizational_unit_x000d__x000a_ * Obligation"/>
  </r>
  <r>
    <s v="IRM-31560"/>
    <x v="2"/>
    <x v="16"/>
    <s v="Registration Enhancements"/>
    <s v="Party Role Eligible details - Enhancements"/>
    <s v="Ready for Release"/>
    <n v="112"/>
    <s v="GRC"/>
    <x v="3"/>
    <x v="40"/>
    <s v="p1"/>
    <s v="2025-11-06T19:33:09.000+0200"/>
    <s v="GR,GR_Early_A,IRM:PI26IP_end,IRM:PI27S03_end(06/03),MVP_new,REGISTRATION,TshirtSize_L,pi27_candidate,pi27_p1"/>
    <s v="3.0.0"/>
    <s v="Party Role Eligible details - Enhancements"/>
    <s v="As a revenue authority user, I need to be able to see the Validity dates in the Party Roles related eligible tables._x000d__x000a_Make sure it is easily readable that the valid from to filters are searched by the info from party or info from party role_x000d__x000a_Some search criteria may be fixed by  [https://jira.intrasoft-intl.com/browse/IRM-29482] and the labels should be fixed_x000d__x000a__x000d__x000a_+*Functional requirements*+_x000d__x000a__x000d__x000a_ *Updates For Party role searchable valid from to*_x000d__x000a_ * Make *Visible -and searchable- the related Valid From /To details from Party* when viewing or querying a party Role. _x000d__x000a_Related entities are: _x000d__x000a_party_role_eligible_address_x000d__x000a_party_role_eligible_contact_x000d__x000a_party_role_eligible_identifier_x000d__x000a_party_role_eligible_bank_account (to be managed byhttps://jira.intrasoft-intl.com/browse/IRM-31560)_x000d__x000a__x000d__x000a_ * Name/ Rename in Party Role page and Ui page,  filters {*}Start /End date{*}, from party that are visible in party role child records,  to  &quot;Start Date (Party)&quot;, &quot;End Date (Party)&quot; to fix the confusion from  [https://jira.intrasoft-intl.com/browse/IRM-29482] _x000d__x000a__x000d__x000a_ * Rename filters Start /End date, to *Party Role State* that are related only to party role details and call them  &quot;Start Date (Party Role)&quot; &quot;End Date (Party Role)&quot;_x000d__x000a_*Notes :*  State has valid from to related to Party role and not party._x000d__x000a__x000d__x000a_ _x000d__x000a__x000d__x000a_*Flag and Warning*_x000d__x000a_ * When creating a new eligible records (by ui or any BE process) , system will suggest not to {*}use expired details in party role{*}. Example: Display the Valid from to values or &quot;Expired&quot; flag._x000d__x000a_ * *Flag* in UI party_role_eligible_identifier,  -party_role_eligible_bank_account- -, party_role_eligible_contact-   that are primary and no longer valid,  (e.g.  &quot;Expired Value&quot; ). _x000d__x000a_example: Mark expired values with red marking next to primary value marking. _x000d__x000a_ * When expiring a *Party record* that is used as eligible record as primary : party_role_eligible_identifier,  -party_role_eligible_bank_account- , -party_role_eligible_contact ,- display a *warning* - not validation, in Party Page. _x000d__x000a__x000d__x000a_*Suggestions in Documentation*_x000d__x000a_ * Explain/ Suggest in the documentation that it is expected from customers to run clearing processes regarding expired eligible information as product is not supporting by default validation on not using expired eligible details. _x000d__x000a__x000d__x000a_*UI Improvements*_x000d__x000a_ * Eligible state as label  rename to &quot;Party Role State&quot; '_x000d__x000a_ * Optional UI filter: When creating a new eligible records (by ui or any be process) , {*}cannot use expired details in party role. ({*}Filter valid items)_x000d__x000a__x000d__x000a_ _x000d__x000a__x000d__x000a_-*Reference implementation (TBC)*- _x000d__x000a_ * -When expiring a Party record that is used as eligible record as primary : party_role_eligible_identifier,  party_role_eligible_bank_account , party_role_eligible_contact, log a human task (Assume maintenance Batch process?)- _x000d__x000a__x000d__x000a_ _x000d__x000a__x000d__x000a_*Documentation*_x000d__x000a_Document all the above adjustments. _x000d__x000a__x000d__x000a_ _x000d__x000a__x000d__x000a_*Non functional requirements*_x000d__x000a_Performance , Security, Accessibility, Usability  DODs should be fulfilled. "/>
    <s v="-"/>
    <s v="*A. Updates For Party role* _x000d__x000a_ # Make *Visible  the related Valid From /To details from Party* when viewing or querying a party Role. _x000d__x000a_Related entities are: _x000d__x000a_party_role_eligible_address_x000d__x000a_party_role_eligible_bank_account _x000d__x000a_party_role_eligible_contact_x000d__x000a_party_role_eligible_identifier_x000d__x000a_ # Display in *UI Party Role page* , the *Party Valid From , Party Valid To*  (for each eligible item)_x000d__x000a_ # Rename in Party Role page and Ui page,  filters {*}Start /End date{*}, taken from party that are visible in party role child records and search filters,  to  &quot;Start Date (Party)&quot;, &quot;End Date (Party)&quot;_x000d__x000a_ # Rename filters Start /End date, to *Party Role State* that are related only to party role details (not to party) and call them  &quot;Start Date (Party Role)&quot; &quot;End Date (Party Role)&quot;_x000d__x000a_ # Eligible state as label  rename to &quot;Party Role State&quot; _x000d__x000a_ # Optionally in UI,  when creating a new eligible records (by ui ), user *can see which values are expired* _x000d__x000a__x000d__x000a_*B. Flag and Warning*_x000d__x000a_ # *Flag* in UI party_role_eligible_identifier   that are primary and no longer valid._x000d__x000a_ # When expiring a Party record that is used as eligible record as primary : party_role_eligible_identifier  display a *warning* - not validation. "/>
  </r>
  <r>
    <s v="IRM-31558"/>
    <x v="2"/>
    <x v="16"/>
    <s v="Registration Enhancements"/>
    <s v="Enhance Party Role Search including child entities details (Part 2 of 2)"/>
    <s v="Implemented"/>
    <n v="106.7"/>
    <s v="GRC"/>
    <x v="3"/>
    <x v="21"/>
    <s v="p2"/>
    <s v="2025-11-06T18:38:53.000+0200"/>
    <s v="GR,IRM:PI27S04_start,IRM:PI27S05_end,No_Doc,TshirtSize_M,irm_pd_pdm_agreed,pi27_candidate,pi27_p2"/>
    <s v="3.0.0"/>
    <s v="Enhance Party Role Search including child entities details (Part 2 of 2)"/>
    <s v="As a revenue authority user, when I search for party roles,  to be able to filter based on party role specific details. and I need to easily separate which are filters considering party details and which are party role details filters._x000d__x000a__x000d__x000a_*Functional Requirements*_x000d__x000a__x000d__x000a_Additionally to [https://jira.intrasoft-intl.com/browse/IRM-29482]  make the following additions to be clear to user regarding the filters to be used. The missing points were that it is not clear which items consider all related to party role, party details and how I can search only the eligible details. _x000d__x000a_ _x000d__x000a__x000d__x000a_-*Alignment and Labels:*-_x000d__x000a_ * -Tab Main Filters| &quot;Other Filters&quot; -&gt; &quot;Other Party Role Filters&quot;-_x000d__x000a_ * -Tab Main Filters| Other Filters : &quot;Type&quot; -&gt; &quot;Party Role Type&quot;-_x000d__x000a_ * -Tab Main Filters|| For existing filters add parenthesis (Party) e.g.  Identifiers (Party) , State (Party) , Name(Party)-_x000d__x000a_ * -Bank Account | Add section label to Bank accounts and add there the title Bank Account (Party)-_x000d__x000a_ * -Contact| Add section label to Contacts and add there the title Contacts (Party)-_x000d__x000a_ * -Address| Add section label to Addresses and add there the title Address (Party)-_x000d__x000a_ * -Put together Identifiers (Party) , State (Party) , Name(Party) ,Contacts (Party) , Bank Account (Party) , Address (party)-_x000d__x000a_ * -Other:  &quot;Organizational Unit&quot; if the search is only on user, remove it from party role, leave it only for users-_x000d__x000a__x000d__x000a_*Filters and Tab:*_x000d__x000a_ * A new Tab will be created &quot;Eligible Detsails&quot; with new filters :_x000d__x000a_ ** (new filter) Search by *Eligible address* _x000d__x000a_ ** (new filter) Search by *Eligible bank accounts*_x000d__x000a_ ** (new filter) Search by  *Eligible Contact*_x000d__x000a_ ** (new filter) Search by  *Eligible Identifiers*_x000d__x000a_ ** *(existing filter) Party Role State*_x000d__x000a_ * Add in the main tab , the existing filter  _x000d__x000a_ ** Search by *Party State* (note that Party Role State is already available)_x000d__x000a__x000d__x000a_The goal is the search results to return party roles only via party role details and not based on all the details of the party. _x000d__x000a_----_x000d__x000a_!image-2026-01-12-08-21-43-599.png!"/>
    <s v="-"/>
    <s v="*Filters and Tab:*_x000d__x000a_ * A new Tab will be created &quot;Eligible Detsails&quot; with new filters :_x000d__x000a_ ** (new filter) Search by *Eligible address* _x000d__x000a_ ** (new filter) Search by *Eligible bank accounts*_x000d__x000a_ ** (new filter) Search by  *Eligible Contact*_x000d__x000a_ ** (new filter) Search by  *Eligible Identifiers*_x000d__x000a_ ** *(existing filter) Party Role State*_x000d__x000a_ * Add in the main tab , the existing filter  _x000d__x000a_ ** Search by *Party State* (note that Party Role State is already available)"/>
  </r>
  <r>
    <s v="IRM-31308"/>
    <x v="5"/>
    <x v="19"/>
    <s v="Document Management Integration Enhancements"/>
    <s v="Document Management - Revenue management - Utilize new Document Management API"/>
    <s v="Ready for Release"/>
    <n v="240.7"/>
    <s v="GRC"/>
    <x v="3"/>
    <x v="41"/>
    <s v="p1"/>
    <s v="2025-11-04T15:37:04.000+0200"/>
    <s v="C1,DOCUMENT_MANAGEMENT_INTEGRATION,FATnottestable,GR,GR_Early_A,IATnottestable,MVP,No_Doc,exclude_from_notes,pi26_candidate,pi26_leftover,pi26_p1,pi27_p2"/>
    <s v="3.0.0"/>
    <s v="Document Management - Revenue management - Utilize new Document Management API"/>
    <s v="This feature is dependent on IRM-31284, and was extracted from IRM-28303._x000d__x000a__x000d__x000a_Extracted from IRM-28303 to ensure the feature will manageable for a developer team to handle and also to simplify the dependency flow between features. "/>
    <s v="-"/>
    <s v="TBD"/>
  </r>
  <r>
    <s v="IRM-31304"/>
    <x v="5"/>
    <x v="19"/>
    <s v="Document Management Integration Enhancements"/>
    <s v="Document Management - Revenue management - Manage Documents"/>
    <s v="Ready for Release"/>
    <n v="127.3"/>
    <s v="GRC"/>
    <x v="3"/>
    <x v="42"/>
    <s v="p1"/>
    <s v="2025-11-04T15:30:43.000+0200"/>
    <s v="DOCUMENT_MANAGEMENT_INTEGRATION,FATnottestable,GR,GR_Early_A,IATNotTestable,MVP,No_Doc,exclude_from_notes,pi26_candidate,pi26_leftover,pi26_p1,pi27_p2"/>
    <s v="3.0.0"/>
    <s v="Document Management - Revenue management - Manage Documents"/>
    <s v="This feature is dependent on IRM-31284 and contains enabling stories for the features IRM-31304._x000d__x000a__x000d__x000a_This feature was extracted from IRM-28303."/>
    <s v="Extracted from IRM-28303 to ensure the feature will manageable for a developer team to handle and also to simplify the dependency flow between features. "/>
    <s v="TBD"/>
  </r>
  <r>
    <s v="IRM-31284"/>
    <x v="5"/>
    <x v="19"/>
    <s v="Document Management Integration Enhancements"/>
    <s v="Document Management - Revenue management - Enable enhanced Document Management API"/>
    <s v="Ready for Release"/>
    <n v="20"/>
    <s v="GRC"/>
    <x v="3"/>
    <x v="43"/>
    <s v="p1"/>
    <s v="2025-11-04T12:20:49.000+0200"/>
    <s v="C1,DOCUMENT_MANAGEMENT_INTEGRATION,FATnottestable,GR,GR_Early_A,IATNotTestable,MVP,exclude_from_notes,pi26_candidate,pi26_leftover,pi26_p1,pi27_p2"/>
    <s v="3.0.0"/>
    <s v="Document Management - Revenue management - Enable enhanced Document Management API"/>
    <s v="This feature contains enabling stories for the features IRM-31308 and IRM-31304._x000d__x000a__x000d__x000a_ _x000d__x000a_The feature was extracted from IRM-28303."/>
    <s v="Extracted from IRM-28303 to ensure the feature will manageable for a developer team to handle and also to simplify the dependency flow between features. "/>
    <s v="TBD"/>
  </r>
  <r>
    <s v="IRM-31233"/>
    <x v="3"/>
    <x v="20"/>
    <s v="Self Service Services Management Enhancements"/>
    <s v="SS Enhancements - Party/PartyRole History details view on demand (Details in time)"/>
    <s v="Under Validation"/>
    <n v="160"/>
    <s v="GRC"/>
    <x v="3"/>
    <x v="9"/>
    <s v="p1"/>
    <s v="2025-11-03T11:20:44.000+0200"/>
    <s v="GR,GR_Early_D,IATNotTestable,IRM:PI27S03_end,IRM:PI27SP01_start,MVP_new,No_Doc,REGISTRATION,TshirtSize_M,pi27_candidate,pi27_p1,ready"/>
    <s v="3.0.0"/>
    <s v="SS Enhancements - Party/PartyRole History details view on demand (Details in time)"/>
    <s v="I need to see in SS as a taxpayer , the details of all related parties' history with period details plus current view. _x000d__x000a__x000d__x000a_Based on [https://jira.intrasoft-intl.com/browse/IRM-31650] and [https://jira.intrasoft-intl.com/browse/IRM-31771] _x000d__x000a_we need on demand to display retrospectively for a specific period the valid details of the requested party. _x000d__x000a_Ui is not in scope. _x000d__x000a__x000d__x000a_*Functional Requirements*_x000d__x000a_ * (BE) In SS taxpayer may see details of the Party History (i.e. all the Party details with valid to older than today along with current valid values)_x000d__x000a_No need to include this in ISS UI in Solon tax_x000d__x000a_ * (BE) In SS taxpayer may search history of details  plus current using filters :_x000d__x000a_a) Party_x000d__x000a_d) Time period _x000d__x000a_and system will display all history of valid information. _x000d__x000a_No need to include this in ISS UI in Solon tax_x000d__x000a_ * Child elements: _x000d__x000a__x000d__x000a_Party Details - Party Data Area_x000d__x000a_Individual_x000d__x000a_Party state_x000d__x000a_Party Address_x000d__x000a_Party Identifier_x000d__x000a_Party Name_x000d__x000a_Party Bank Account_x000d__x000a_Party Classification_x000d__x000a_Party Contact, Party Contact label_x000d__x000a_Party preference_x000d__x000a_Asset to Asset relationship_x000d__x000a_Asset to party role relationship, user right_x000d__x000a_Valuation,  Valuation detail_x000d__x000a_Party Role_x000d__x000a__x000d__x000a_ _x000d__x000a__x000d__x000a_Notes : This is needed for Party and Party Role only (not Assets and claimants in SS) "/>
    <s v="-"/>
    <s v="* BE enhancements for SS_x000d__x000a_ ** In SS taxpayer may see details of the Party History (i.e. all the Party details with valid to older than today along with current valid values) _x000d__x000a_ ** In SS taxpayer may search history of details using filters :_x000d__x000a_a) Party_x000d__x000a_d) Time period _x000d__x000a__x000d__x000a_Notes : This is needed for Party and Party Role only"/>
  </r>
  <r>
    <s v="IRM-31187"/>
    <x v="1"/>
    <x v="3"/>
    <s v="Batch Processing Enhancements"/>
    <s v="Amplio Batch - improvements and maintenance part 2"/>
    <s v="Waiting Analysis Approval"/>
    <n v="213.3"/>
    <s v="Other"/>
    <x v="0"/>
    <x v="1"/>
    <s v="p1"/>
    <s v="2025-10-30T14:41:14.000+0200"/>
    <s v="TshirtSize_L,pi28_candidate,pi28_p1"/>
    <m/>
    <s v="Amplio Batch - improvements and maintenance part 2"/>
    <s v="h2. Overview_x000d__x000a__x000d__x000a_This initiative modernizes the Amplio batch processing system by enhancing maintainability, resilience, and operational flexibility. Building on learnings from the Lithuania project, the work focuses on refactoring existing batch jobs rather than creating new features._x000d__x000a_h2. Key Objectives_x000d__x000a__x000d__x000a_*Resilience &amp; Performance:*_x000d__x000a_ * Isolate failures in PAYMENT_FILE_BATCH_JOB to prevent single invalid files from halting entire batch job._x000d__x000a_ * Implement chunk-based processing for Journal Entry Export batch job to prevent OutOfMemoryError_x000d__x000a_ * Optimize long-running queries to reduce application startup time (Penalty Interest Calculation)_x000d__x000a__x000d__x000a_*Operational Flexibility:*_x000d__x000a_ * Enable runtime parameters for batch jobs (Obligation Maintenance, Penalty Interest Calculation, Handover Debt, Journal Entry Export) replacing static environment variables_x000d__x000a_ * Implement configuration-based job enable/disable mechanism synchronized with the database_x000d__x000a__x000d__x000a_*Code Health:*_x000d__x000a_ * Standardize project structure and package naming (replace {{...etl...}} with {{{}...batch.batchjob...{}}})_x000d__x000a_ * Centralize duplicated configurations (Keycloak credentials, DataSource, FeignClient beans)_x000d__x000a_ * Resolve artifact naming conflicts between batch and batch-custom projects_x000d__x000a_ * Clean up redundant POM dependencies_x000d__x000a__x000d__x000a_h2. Scope_x000d__x000a__x000d__x000a_*In Scope:* Refactoring, optimization, and standardization of existing batch jobs and infrastructure *Out of Scope:* Framework upgrades, new business logic, UI changes, batch engine migration, new unit tests_x000d__x000a_h2. Business Value_x000d__x000a_ * Improved system resilience and reduced manual intervention_x000d__x000a_ * Enhanced operational flexibility for administrators_x000d__x000a_ * Faster application startup and deployment cycles_x000d__x000a_ * Reduced technical debt and improved long-term maintainability_x000d__x000a_ * More stable and secure codebase"/>
    <s v="TBD"/>
    <s v="TBD"/>
  </r>
  <r>
    <s v="IRM-30840"/>
    <x v="6"/>
    <x v="23"/>
    <s v="AEOI, ViDA &amp; Other Data Storage"/>
    <s v="Data Storage  - National DB -Central repository for all issued and received e-invoices."/>
    <s v="To Do"/>
    <n v="1333.3"/>
    <s v="GRC"/>
    <x v="1"/>
    <x v="44"/>
    <s v="p3"/>
    <s v="2025-10-22T13:04:54.000+0300"/>
    <s v="AEOI_VIDA,C1,DeScope_Candidate,GR,MVP,TshirtSize_XXL"/>
    <m/>
    <s v="Data Storage  - National DB -Central repository for all issued and received e-invoices."/>
    <s v="Based on [https://jira.intrasoft-intl.com/browse/IRM-30356] ** _x000d__x000a_on of the solution flow steps &quot; *_Storage and EU Data Exchange &quot;_* _x000d__x000a_and thus we need to support a solution: _x000d__x000a_ * Central repository for all issued and received e-invoices._x000d__x000a_ * Supports tax control, audit, analytics, and EU data exchange (e.g., via {*}VIES 2.0{*})._x000d__x000a_ * Must comply with national tax law *and* EU data protection rules (GDPR). _x000d__x000a__x000d__x000a_ _x000d__x000a__x000d__x000a_Also to ensure: _x000d__x000a_ * *Data integrity* (accurate, complete, auditable)_x000d__x000a_ ** *Immutable (WORM) storage:* prevent tampering or deletion._x000d__x000a_ ** *Retention automation:* apply expiry dates and legal-hold exceptions._x000d__x000a_ ** *Allow Integrity checks:* hash verification and periodic audits._x000d__x000a__x000d__x000a_ * *Scalability &amp; performance* (handles national volume)_x000d__x000a_ * *Interoperability* (VIES 2.0, EU standards)_x000d__x000a_ * *Security &amp; privacy compliance* (GDPR + national law)_x000d__x000a_ * *Governance &amp; traceability* (audit-ready at all times)_x000d__x000a__x000d__x000a_ _x000d__x000a_----_x000d__x000a_+*Solution Considerations*+ _x000d__x000a_ * *Core* _x000d__x000a_ ** *Structured DB + payload store:* relational DB (e.g., PostgreSQL) for key fields; object/WORM storage for full files._x000d__x000a_{*}Scaling{*}_x000d__x000a_*Checksum*_x000d__x000a_*Storage &amp; indexing:* fast access to invoice metadata and totals; keep original payloads for audit.{*}{{*}}_x000d__x000a_ ** *Schema*_x000d__x000a_*Ingestion &amp; validation:* accept e-invoices in various formats (UBL, CEN, XML); check syntax and business rules_x000d__x000a_{*}Canonical data model:{*} normalize invoices into a consistent schema for processing and reporting._x000d__x000a__x000d__x000a_ * *Integrations*_x000d__x000a_ ** *Exchange integration:* interface with VIES 2.0 and other EU Member States (summary or full invoices)._x000d__x000a_{*}VIES 2.0 adapter:{*} validate VAT IDs, send/receive cross-border summaries or full invoices._x000d__x000a_ ** *Internal systems:* link to taxpayer master, audit, analytics, and archival modules._x000d__x000a_ ** *Reporting/export:* feed BI dashboards and legal reports._x000d__x000a__x000d__x000a_ *  *Auditing &amp; Reporting*_x000d__x000a_ ** *Search &amp; reporting:* support compliance queries, risk analysis, and statistical reporting._x000d__x000a_ ** *Audit &amp; traceability:* log every event—submission, modification, access, and exchange._x000d__x000a__x000d__x000a_ _x000d__x000a__x000d__x000a_--------------------------------------------_x000d__x000a__x000d__x000a_Notes - _x000d__x000a_ * Monitoring, alerting, and reconciliation for VIES exchanges._x000d__x000a__x000d__x000a_ * Backup, disaster recovery, and business-continuity planning._x000d__x000a__x000d__x000a_ * Role segregation: operations / auditors / developers._x000d__x000a__x000d__x000a_ * Periodic reviews of exemption and retention configurations._x000d__x000a__x000d__x000a_ _x000d__x000a__x000d__x000a_ "/>
    <s v="-"/>
    <s v="-"/>
  </r>
  <r>
    <s v="IRM-30828"/>
    <x v="2"/>
    <x v="24"/>
    <s v="Exemptions"/>
    <s v="Introduce Exemptions"/>
    <s v="To Do"/>
    <n v="433.3"/>
    <s v="GRC"/>
    <x v="1"/>
    <x v="45"/>
    <s v="p3"/>
    <s v="2025-10-22T11:17:07.000+0300"/>
    <s v="C1,EXEMPTIONS,GR,TshirtSize_XL,nice-to-have"/>
    <m/>
    <s v="Introduce Exemptions"/>
    <s v="As a revenue authority I need to be able to implement Policy-driven exclusions for assessments and other liabilities ti the taxpayers to promote sectors, fairness, or development goals. (Other examples on their purposes :  Encourage social or economic development. , support specific sectors or vulnerable groups. , simplify tax administration for low-value cases. align with policy objectives (e.g., promoting investment, education, or sustainability) ) ._x000d__x000a__x000d__x000a_The exceptions may be of several *types* e.g. _x000d__x000a_*Geographic* exemptions : to develop special zones_x000d__x000a_*Activity* exemptions : develop verticals based on Taxpayer activities exemptions  _x000d__x000a_*Party type* exemptions , *Party size* exemptions_x000d__x000a__x000d__x000a_*Introduction*_x000d__x000a__x000d__x000a_Already applied in system _x000d__x000a_*Waivers:* Relief based on a discretionary decision to &quot;forgive&quot; or &quot;cancel&quot; a debt (mostly interest or penalty) _x000d__x000a_It is applied after liability is assessed but before payment._x000d__x000a_Amount is no longer collectible_x000d__x000a__x000d__x000a_{*}Write-offs{*}: An accounting action to remove an uncollectible debt from active accounts (not the same as forgiveness)._x000d__x000a_It is applied after the debt is confirmed and collectible. _x000d__x000a_Amount is legally due but no longer pursued. _x000d__x000a__x000d__x000a_*Suppression:* _x000d__x000a_A temporary hold or administrative decision to suppress or defer issuing an assessment , interest._x000d__x000a_It is applied during the assessment/process. _x000d__x000a_The due amount exists but it is not communicated or enforced yet.  _x000d__x000a__x000d__x000a_New :_x000d__x000a_*Exemption:* _x000d__x000a_A lawful exclusion from a tax obligation defined in legislation or policy._x000d__x000a_It is applied before a due amount/liability arises. _x000d__x000a_(e.g. Charitable organizations are exempt from income tax.)_x000d__x000a_The tax {*}never becomes due{*}—it’s not assessed or recorded as payable._x000d__x000a__x000d__x000a_[Revenue type Registration]-&gt;  Apply Exemptions_x000d__x000a_[Obligations] -&gt;  Exempt items excluded_x000d__x000a_Other: _x000d__x000a_[Assessment]-&gt;  Suppressions may be applied_x000d__x000a_[Billing &amp; Payment] -&gt;   Waivers may be issued_x000d__x000a_[Collection/ Enforcement]-&gt;  Write-offs recorded_x000d__x000a_[Audit &amp; Compliance]-&gt; for all_x000d__x000a_ _x000d__x000a__x000d__x000a_*Functional Requirements*_x000d__x000a__x000d__x000a_*Admin :*_x000d__x000a_I can define Exception types [ Type, Status,  Period or permanent ,  Can be applied manually?,  Approvers list or profiles,  filters on how to define related audience/scope, filters on what will be exemptions requested, define details on the policy applied , legal reason/decision ]_x000d__x000a__x000d__x000a_I can apply Exceptions to taxpayers massively.  [Workflow,  Approvals,  Keep attachments, Keep contacts  , RTR and Obligations status , StartDate, EndDate, Status, Reason , timestamp, batch id ] _x000d__x000a_ * Define approvers lists or profiles_x000d__x000a_ * Define approval process_x000d__x000a_ * Functionality on permanent or time defined exceptions_x000d__x000a_ * Define Legal bases_x000d__x000a_ * How to define scope_x000d__x000a_ * How to define targeted actions_x000d__x000a_ * Validations should be applied._x000d__x000a__x000d__x000a_*User :*_x000d__x000a_I can apply Exceptions to taxpayers manually.  _x000d__x000a__x000d__x000a_*Addiitonally,*  _x000d__x000a_ * New statuses for Obligations_x000d__x000a_ * Balances review_x000d__x000a_ * Forms updated filters with exceptions_x000d__x000a_ * Traceability _x000d__x000a_ * I can report on the exemptions applied"/>
    <s v="-"/>
    <s v="-"/>
  </r>
  <r>
    <s v="IRM-30785"/>
    <x v="3"/>
    <x v="20"/>
    <s v="Self Service Services Management Enhancements"/>
    <s v="SS enhancements -Configurable Authentication Modes for Public and Authenticated GET Operations"/>
    <s v="Under Verification"/>
    <n v="106.7"/>
    <s v="GRC"/>
    <x v="3"/>
    <x v="21"/>
    <s v="p1"/>
    <s v="2025-10-21T10:39:03.000+0300"/>
    <s v="GR,GR_Early_B,IATNotTestable,LT,LT_BRANCH,SELF_SERVICE_SERVICES_MANAGEMENT,pi27_candidate,pi27_p1"/>
    <s v="3.0.0"/>
    <s v="SS enhancements -Configurable Authentication Modes for Public and Authenticated GET Operations"/>
    <s v="Customer's SS web application includes both authenticated and unauthenticated pages. _x000d__x000a_These pages rely on translations, code lists, service lists, and service details that must be retrieved from SS (Service System)._x000d__x000a_Currently, several critical GET endpoints require authentication, preventing unauthenticated pages from functioning correctly._x000d__x000a__x000d__x000a_This feature introduces a *configuration-driven mechanism* that allows specific GET operations to be exposed {*}with or without authentication{*}, depending on business requirements—while maintaining backwards compatibility and security controls._x000d__x000a__x000d__x000a_ _x000d__x000a__x000d__x000a_*Functional Requirements* _x000d__x000a_ * SS  UI: I can have available a page where user can access without being authenticated. _x000d__x000a_ * -SS Authentications :  Each SS operation can be configured with an *AuthenticationState* parameter:- _x000d__x000a_-AUTHENTICATED, NON-AUTHENTICATED, BOTH-  (moved to [https://jira.intrasoft-intl.com/browse/IRM-36809] , [https://jira.intrasoft-intl.com/browse/IRM-37865] )_x000d__x000a_ * If *AuthenticationState* is not defined in YAML, the operation defaults to AUTHENTICATED._x000d__x000a_+NEW Decision+ :  Each SS operation can be configured through yaml files and helm charts to Authenticated and Non-Authenticated _x000d__x000a__x000d__x000a_ * *Translations*   (Technical suggestions in PSD-13824 )_x000d__x000a_The application uses translatable tokens for its multilingual experience._x000d__x000a_The Translation Management GET endpoints currently require authentication._x000d__x000a_As a result, public (non-authenticated) pages cannot retrieve the translations they need, breaking localization on those pages._x000d__x000a_ ** All listed GET endpoints can be accessed without authentication._x000d__x000a_ ** Endpoints continue to return correct and complete translation data as per existing functionality._x000d__x000a_ ** No regression in authenticated access – authenticated users should still be able to access these endpoints normally._x000d__x000a__x000d__x000a_ * *CodeLists* (Technical suggestions in PSD-13825 ) _x000d__x000a_Some public service-related pages require filters built from Code Lists._x000d__x000a_Code List GET endpoints are currently restricted to authenticated users._x000d__x000a_Therefore, public pages cannot render required filters, violating functional and project requirements._x000d__x000a__x000d__x000a_ * _x000d__x000a_ ** All listed GET endpoints can be accessed without authentication._x000d__x000a_ ** Endpoints continue to return correct and complete data as per existing functionality._x000d__x000a_ ** Authenticated access remains functional with no regression._x000d__x000a__x000d__x000a_ * *SS-UI* ,  *Retrieve Service Lists &amp; Details Without Authentication* (PSD-13826)_x000d__x000a_ ** SS-UI can successfully retrieve Service Lists and Service Details without authentication when configured as BOTH._x000d__x000a_These operations currently require authentication, preventing SS-UI from fully functioning on public pages._x000d__x000a_ ** Operations respond differently when the user is authenticated as a Legal Entity versus an Individual, as per business requirements. (services via roles are filtered)_x000d__x000a_ ** Configuration changes are applied per operation without impacting unrelated operations._x000d__x000a__x000d__x000a_ * Audit logs capture operation mode and authentication state for traceability._x000d__x000a_ * Documentation is updated to describe the configuration options and default behavior._x000d__x000a__x000d__x000a_ _x000d__x000a__x000d__x000a_Additional Considerations_x000d__x000a_ * Automated tests validate unauthenticated access and expected responses for each endpoint._x000d__x000a_ * Backward compatibility is preserved for existing operations._x000d__x000a_ * Security review needs to confirm if exposing these endpoints publicly does not compromise sensitive data. Details should be able to classified as *Public or not*_x000d__x000a__x000d__x000a_ _x000d__x000a_----_x000d__x000a_Notes: _x000d__x000a_For codelists a workaround may be suggested _x000d__x000a_!image-2025-11-24-16-17-41-718.png!"/>
    <s v="-"/>
    <s v="* SS  UI: I can have available a page where user can access without being authenticated. _x000d__x000a_ * Each SS operation can be configured through yaml files and helm charts to Authenticated and Non-Authenticated _x000d__x000a__x000d__x000a_ * *Translations*    GET endpoints can be accessed without authentication and with authentication_x000d__x000a_ * *CodeLists*   GET endpoints can be accessed without authentication and with authentication_x000d__x000a_ * *SS-UI* ,  Retrieve Service Lists &amp; Details Without Authentication and with authentication_x000d__x000a_ * Audit logs capture operation mode and authentication state for traceability."/>
  </r>
  <r>
    <s v="IRM-30748"/>
    <x v="0"/>
    <x v="0"/>
    <s v="Accessibility Enhancements"/>
    <s v="Accessibility Improvements (Current PI27)"/>
    <s v="To Do"/>
    <n v="160"/>
    <s v="Other"/>
    <x v="3"/>
    <x v="9"/>
    <s v="p1"/>
    <s v="2025-10-20T11:27:00.000+0300"/>
    <s v="IATNotTestable,No_Doc,pi27_candidate,pi27_p1"/>
    <s v="3.0.0"/>
    <s v="Accessibility Improvements (Current PI27)"/>
    <s v="This enabler focuses on improving the accessibility of the Solon Tax application in alignment with recognized standards. Enhancements implemented during this PI aim to ensure that users of all abilities can effectively interact with the system, in compliance with WCAG 2.1 AA and EN 301 549 guidelines._x000d__x000a__x000d__x000a_Enabler includes effort for UI/UX Accessibility Audit activities."/>
    <s v="By implementing accessibility improvements according to WCAG 2.1 AA and EN 301 549, the Solon Tax product becomes more inclusive and compliant with European accessibility requirements. This ensures equal access for all users, enhances user satisfaction, reduces the risk of non-compliance penalties, and strengthens the product's reputation and market reach in the public sector."/>
    <s v="* Accessibility improvements are implemented according to WCAG 2.1 AA and EN 301 549 standards._x000d__x000a__x000d__x000a_ * Identified accessibility gaps from prior audits or internal reviews are addressed within the scope of the current PI._x000d__x000a__x000d__x000a_ * Key UI components meet minimum color contrast ratios and provide proper focus management._x000d__x000a__x000d__x000a_ * Application is fully navigable via keyboard without loss of functionality._x000d__x000a__x000d__x000a_ * Screen reader users can correctly interpret content structure, labels, and ARIA attributes._x000d__x000a__x000d__x000a_ * QA validation confirms compliance through automated and manual accessibility testing._x000d__x000a__x000d__x000a_ * Documentation is updated to reflect accessibility compliance status and testing results."/>
  </r>
  <r>
    <s v="IRM-30741"/>
    <x v="0"/>
    <x v="1"/>
    <s v="Maintainability Enhancements"/>
    <s v="Introduce ArchUnit"/>
    <s v="In Design"/>
    <n v="133.30000000000001"/>
    <s v="Other"/>
    <x v="0"/>
    <x v="4"/>
    <s v="p1"/>
    <s v="2025-10-17T17:04:46.000+0300"/>
    <s v="TshirtSize_M,pi28_candidate,pi28_p1"/>
    <m/>
    <s v="Introduce ArchUnit"/>
    <s v="*Problem Statement*_x000d__x000a__x000d__x000a_As the SolonTax codebase grows in size and complexity, it becomes increasingly difficult to manually enforce architectural guidelines and design principles ( see D0160 Programming Guidelines) during code reviews. This leads to several risks:_x000d__x000a_ * *Architectural Drift:* Over time, the code can deviate from its intended design (e.g., layered architecture, domain model purity), leading to tight coupling and reduced maintainability._x000d__x000a_ * *Inconsistent Code Reviews:* Architectural violations can be easily missed during manual reviews, as reviewers are often focused on business logic._x000d__x000a_ * *Increased Technical Debt:* Unchecked violations accumulate as technical debt, making future development, refactoring, and onboarding of new team members more difficult and costly._x000d__x000a__x000d__x000a_There is currently no automated mechanism to prevent such architectural decay, making the system's long-term health dependent on tribal knowledge and manual vigilance._x000d__x000a__x000d__x000a_*Proposed Solution*_x000d__x000a__x000d__x000a_This enabler will introduce {*}ArchUnit{*}, a free Java library for checking the architecture of your code, into our build and test lifecycle. By writing plain Java unit tests, we can codify our architectural rules and automatically verify them._x000d__x000a__x000d__x000a_The solution involves:_x000d__x000a_ # *Integrating ArchUnit:* Add the ArchUnit dependency to the project's build configuration (e.g., Maven or Gradle)._x000d__x000a_ # *Creating an Architecture Test Suite:* Establish a dedicated test source set or package for architectural tests._x000d__x000a_ # *Implementing Foundational Rules:* Implement an initial set of high-value architectural rules to serve as a baseline and a template for future rules. These tests will run as part of the standard CI/CD pipeline, failing the build if a violation is detected._x000d__x000a__x000d__x000a_This will provide immediate, automated feedback to developers and act as a powerful &quot;guardrail&quot; to prevent architectural erosion._x000d__x000a__x000d__x000a_*Acceptance Criteria*_x000d__x000a_ # *Dependency Integration:* The ArchUnit library is successfully added as a test-scoped dependency._x000d__x000a_ # *Test Suite Creation:* A dedicated maven module is created to house all ArchUnit tests._x000d__x000a_ # *CI/CD Integration:* The architectural test suite is configured to run automatically as part of the continuous integration pipeline during unit tests phase. A build must fail if any architectural rule is violated._x000d__x000a_ # *Baseline Pass:* All newly introduced architectural tests pass against the existing codebase on the main development branch. If any pre-existing violations are found, they must be either fixed or explicitly exempted as part of this task's scope._x000d__x000a__x000d__x000a_*Out of Scope*_x000d__x000a_ * This enabler focuses on establishing the framework and implementing a foundational set of rules. Defining an exhaustive list of every possible architectural rule is not in scope._x000d__x000a_ * Large-scale refactoring of the existing codebase to fix numerous pre-existing violations is out of scope, unless a small, agreed-upon number of fixes are required to establish a clean baseline."/>
    <s v="-"/>
    <s v="As per description"/>
  </r>
  <r>
    <s v="IRM-30739"/>
    <x v="0"/>
    <x v="1"/>
    <s v="Maintainability Enhancements"/>
    <s v="Dev Experience improvements"/>
    <s v="To Do"/>
    <n v="46.7"/>
    <s v="Other"/>
    <x v="1"/>
    <x v="46"/>
    <s v="p3"/>
    <s v="2025-10-17T16:41:25.000+0300"/>
    <s v="TshirtSize_S"/>
    <m/>
    <s v="Dev Experience improvements"/>
    <s v="Everything that can include developer experience:_x000d__x000a_ * Test code changes easier either locally or in a developer env sandbox_x000d__x000a_ * Usage of AI  in day to day development_x000d__x000a__x000d__x000a_TBD"/>
    <s v="-"/>
    <s v="TBD"/>
  </r>
  <r>
    <s v="IRM-30737"/>
    <x v="0"/>
    <x v="1"/>
    <s v="Maintainability Enhancements"/>
    <s v="Decouple Solon Tax Modules and Enable Multi-Module Runtime Bundling"/>
    <s v="Implemented"/>
    <n v="140"/>
    <s v="Other"/>
    <x v="3"/>
    <x v="47"/>
    <s v="p3"/>
    <s v="2025-10-17T16:21:44.000+0300"/>
    <s v="IATNotTestable,TshirtSize_M,irm_pd_pdm_agreed"/>
    <s v="3.0.0"/>
    <s v="Decouple Solon Tax Modules and Enable Multi-Module Runtime Bundling"/>
    <s v="h2. 📖 Background &amp; Context_x000d__x000a__x000d__x000a_Solon Tax architecture currently consists of a well-defined split with clear Domain-Driven Design (DDD) boundaries. However, modularization is tightly coupled with Solon Tax deployment scheme, resulting in a large number of microservice instances. The JVM overhead for each instance introduces a considerable penalty in our microservice-based architecture, directly impacting the installation footprint, complexity, and costs._x000d__x000a__x000d__x000a_To address this and align with industry trends (like Modulithization), we need to establish practices and guidelines to decouple our modules from the deployment scheme. This will ensure that our modules are composable and can be bundled into sensible deployment units without losing their DDD boundaries, database schema separation, Kafka pub/sub semantics and REST api signatures ._x000d__x000a_h2. 🎯 Objective_x000d__x000a__x000d__x000a_Establish the technical practices, guidelines, and necessary build/configuration changes to allow multiple Solon Tax modules to be bundled and executed within the same runtime environment (an &quot;uber&quot; deployment unit), while still retaining the ability to deploy them as standalone microservices._x000d__x000a_h2. 🛠 Scope: Candidate Modules_x000d__x000a__x000d__x000a_For this initial exercise (targeting Solon Tax 3.0.0 ), the following modules will be used:_x000d__x000a_ * {{operational-report}}_x000d__x000a_ * {{document-management}}_x000d__x000a_ * {{contact-management}}_x000d__x000a__x000d__x000a_h2. 📋 Requirements_x000d__x000a_ # *Restructure Code for Consolidation:* Refactor the codebase to make it consolidation-friendly, ensuring there are no clashes in Spring contexts, configurations, or dependencies when modules run in the same JVM._x000d__x000a_ # *New Aggregator Module:* Create an additional module within {{be-custom}} that will:_x000d__x000a_ ** Gather all 3 core candidate modules._x000d__x000a_ ** Gather the corresponding custom extensions (i.e. {_}*contact-management-custom*{_}) for these modules._x000d__x000a_ ** Build a single custom Docker image containing all 3 modules in the same runtime._x000d__x000a_ # *Artifact Generation:* The final deliverable must still contain the standalone docker images for each module, alongside the new consolidated artifact (which may be labeled as {{{}beta{}}})._x000d__x000a_ # *Helm Chart Toggle:* Update the {{be}} and {{be-custom}} Helm charts to include a configuration flag that allows environments to easily toggle between the consolidated and standalone flavors._x000d__x000a_ # *Backward Compatibility &amp; Interchangeability:* Ensure that database schema separation , Kafka pub/sub semantics and REST api signatures remain intact regardless of whether the modules are running standalone or bundled._x000d__x000a_ # *Establish Guidelines:* Document the approach taken so it can serve as a blueprint for other modules and custom adapters in version 3.1.0 and beyond._x000d__x000a__x000d__x000a_h2. ✅ Definition of Done_x000d__x000a_ * The codebase is restructured to be consolidation-friendly._x000d__x000a_ * A new aggregator module in {{be-custom}} successfully builds a consolidated (uber) Docker image containing the aforementioned modules (operational-report, document-management, contact-management) and their custom extensions (contact-management-custom)_x000d__x000a_ * Both standalone Docker images and the consolidated Docker image are produced in the final deliverable._x000d__x000a_ * The {{{}be{}}}/{{{}be-custom{}}} Helm charts contain a flag to toggle between the standalone and consolidated deployment flavors._x000d__x000a_ * Component Tests (CTs) and Unit Tests (UTs) pass successfully for these modules in isolation._x000d__x000a_ * Correctness is verified in a designated environment for a couple of days to observe the consolidated deployment (Testing should be done solely with DAT testing; FAT and horizontal teams do not need to be involved)._x000d__x000a_ * _*(Nice to have)*_ End-to-End (E2E) tests pass rate is similar with both the standalone instances and the consolidated one._x000d__x000a_ * Documentation is produced describing the architecture, the bundling process, and guidelines for projects to follow similar approaches."/>
    <s v="If we enable multi-module runtime bundling (modulithization) for Solon Tax modules, we will drastically reduce JVM memory overhead and infrastructure costs. By allowing modules like operational-report, document-management and contact-management to share a single runtime without sacrificing DDD boundaries, we expect to lower the installation footprint, simplify operations, and reduce the Total Cost of Ownership (TCO)."/>
    <s v="As per description"/>
  </r>
  <r>
    <s v="IRM-30734"/>
    <x v="0"/>
    <x v="13"/>
    <s v="Traceability Enhancements"/>
    <s v="[Vanilla Installation] - Introduce OpenTelemetry observability support"/>
    <s v="To Do"/>
    <n v="140"/>
    <s v="Other"/>
    <x v="1"/>
    <x v="47"/>
    <s v="p3"/>
    <s v="2025-10-17T15:48:11.000+0300"/>
    <s v="TshirtSize_M"/>
    <m/>
    <s v="[Vanilla Installation] - Introduce OpenTelemetry observability support"/>
    <s v="*Problem Statement*_x000d__x000a__x000d__x000a_The current observability solution for SolonTax has several significant limitations:_x000d__x000a_ * *Intrusive Instrumentation:* Backend microservices require a built-in {{elastic-apm}} Java dependency, which tightly couples the application code to a specific monitoring tool._x000d__x000a_ * *Incomplete Coverage:* The existing setup provides no mechanism to instrument and gather telemetry from critical auxiliary components like Kafka or Keycloak, creating visibility gaps in the system._x000d__x000a_ * *Inflexible Architecture:* The system is hard-wired to use Elasticsearch as the sole destination for telemetry data (logs, traces, metrics). This prevents integration with other modern observability platforms or routing data to different sinks based on need._x000d__x000a__x000d__x000a_The current approach is not aligned with modern best practices, where OpenTelemetry has emerged as the industry standard for vendor-neutral telemetry collection._x000d__x000a__x000d__x000a_*Proposed Solution*_x000d__x000a__x000d__x000a_This feature will modernize the SolonTax observability stack by adopting OpenTelemetry as the new standard. This will be achieved by leveraging the OpenTelemetry Operator for Kubernetes to enable non-intrusive, comprehensive data collection._x000d__x000a__x000d__x000a_The key changes include:_x000d__x000a_ # *Introduce OpenTelemetry Components:* The OpenTelemetry Operator (providing the necessary CRDs) and the OpenTelemetry Collector will be added as standard components to a vanilla SolonTax installation._x000d__x000a_ # *Enable Non-Intrusive Instrumentation:* The existing {{elastic-apm}} dependency usage will be deprecated. Instead, instrumentation will be applied automatically at runtime using the OpenTelemetry {{Instrumentation}} Custom Resource Definition (CRD), which injects the agent without requiring code changes._x000d__x000a_ # *Centralize Telemetry Collection:* The OpenTelemetry Collector will be configured as the central hub for all telemetry data. It will receive logs, metrics, and traces from SolonTax services and will be architected to support receiving data from auxiliary components in the future. It will then process and forward this data to the appropriate backend, such as Elasticsearch._x000d__x000a__x000d__x000a_This aligns with the findings of the proof-of-concept from {*}IRM-20971{*}, which validated the feasibility of this approach._x000d__x000a__x000d__x000a_*Acceptance Criteria*_x000d__x000a_ # *OTel Operator and Collector Installation:* The OpenTelemetry Operator and a default OpenTelemetry Collector instance are successfully deployed as part of the standard SolonTax installation process._x000d__x000a_ # *Default Auto-Instrumentation:* The SolonTax and Auxilliary components are automatically instrumented via the OpenTelemetry {{Instrumentation}} CRD by default in a new installation._x000d__x000a_ # *APM Dependency Deprecation:* The {{elastic-apm}} JAR dependency is flagged as deprecated ._x000d__x000a_ # *End-to-End Telemetry Flow:* Traces, metrics, and logs generated by the SolonTax services are successfully collected by the OpenTelemetry Collector and correctly forwarded to and indexed in the configured Elasticsearch backend._x000d__x000a_ # *Architectural Adherence:* The observability topology is updated to reflect OpenTelemetry best practices, with the Collector serving as the primary entry point for all telemetry data._x000d__x000a__x000d__x000a_*Out of Scope*_x000d__x000a_ * The configuration of telemetry sinks other than Elasticsearch is not included in this scope. The primary goal is to replace the collection mechanism while maintaining the existing data backend."/>
    <s v="-"/>
    <s v="As per description."/>
  </r>
  <r>
    <s v="IRM-30730"/>
    <x v="0"/>
    <x v="1"/>
    <s v="Maintainability Enhancements"/>
    <s v="Introduce helm charts dependencies"/>
    <s v="To Do"/>
    <n v="140"/>
    <s v="Other"/>
    <x v="1"/>
    <x v="47"/>
    <s v="p3"/>
    <s v="2025-10-17T14:54:44.000+0300"/>
    <s v="TshirtSize_M"/>
    <m/>
    <s v="Introduce helm charts dependencies"/>
    <s v="*Problem Statement*_x000d__x000a__x000d__x000a_The current Helm chart architecture for SolonTax does not utilize Helm's dependency mechanism. This has led to several inefficiencies:_x000d__x000a_ * *Template Duplication:* Common templates and helper logic are copied across multiple charts, leading to significant code duplication._x000d__x000a_ * *High Maintenance Overhead:* Enhancements or bug fixes made in one chart's templates must be manually identified and ported to all other charts, a process that is both time-consuming and error-prone._x000d__x000a_ * *Inconsistent Configurations:* The {{revenue-management-be}} and {{revenue-management-be-custom}} charts are maintained as two completely separate entities, doubling the effort required for updates and increasing the risk of divergence._x000d__x000a__x000d__x000a_This lack of a centralized structure makes the charts difficult to maintain, scale, and audit._x000d__x000a__x000d__x000a_*Proposed Solution*_x000d__x000a__x000d__x000a_This feature will refactor the SolonTax Helm charts to adopt a more modular and maintainable structure by introducing a common *{{base}}* chart._x000d__x000a_ # *Create a {{base}} Helm Chart:* A new {{base}} chart will be created to serve as a common dependency for all application charts. This chart will consolidate all shared templates, helpers, and logic (e.g., for Deployments, Services, ConfigMaps, etc.). It will be designed to be flexible enough to handle both backend and frontend components._x000d__x000a__x000d__x000a_ # *Refactor {{revenue-management-be}} Charts:* The {{revenue-management-be-custom}} chart will be refactored to use the {{revenue-management-be}} chart as a parent dependency. The custom chart will become a lightweight extension, responsible only for overriding values (like image tags) and adding configurations specific to the customized microservices. This will result in a single, unified Helm release for all {{revenue-management-be}} components._x000d__x000a__x000d__x000a_*Acceptance Criteria*_x000d__x000a_ # *Base Chart Creation:* A new {{base}} Helm chart is created and contains common, reusable templates for standard Kubernetes resources (e.g., Deployment, Service, ConfigMap, Ingress)._x000d__x000a_ # *Dependency Adoption:* All existing SolonTax application charts (both backend and frontend) are updated to declare the {{base}} chart as a dependency in their {{{}Chart.yaml{}}}._x000d__x000a_ # *Duplication Removal:* Duplicated template logic is removed from the application charts, which now leverage the templates provided by the {{base}} chart._x000d__x000a_ # *{{revenue-management-be}} Refactoring:* The {{revenue-management-be-custom}} chart is refactored to be a child chart of {{{}revenue-management-be{}}}._x000d__x000a_ # *Unified Release:* A single {{helm install}} or {{helm upgrade}} of the refactored {{revenue-management-be-custom}} chart successfully deploys both the standard {{revenue-management-be}} components and the customized components as a single Helm release._x000d__x000a_ # *Override Functionality:* The {{revenue-management-be-custom}} chart can successfully override default values (e.g., image tags) from the parent {{revenue-management-be}} chart and inject additional properties for its specific microservices._x000d__x000a_ # *Flexibility for Exceptions:* Application charts retain the ability to introduce their own specialized templates if a specific requirement cannot be met by the common {{base}} chart."/>
    <s v="-"/>
    <s v="As per description"/>
  </r>
  <r>
    <s v="IRM-30724"/>
    <x v="0"/>
    <x v="1"/>
    <s v="Maintainability Enhancements"/>
    <s v="Release Automation Enhancements"/>
    <s v="To Do"/>
    <n v="140"/>
    <s v="Other"/>
    <x v="1"/>
    <x v="47"/>
    <s v="p3"/>
    <s v="2025-10-17T14:39:48.000+0300"/>
    <s v="TshirtSize_M"/>
    <m/>
    <s v="Release Automation Enhancements"/>
    <s v="Placeholder for activities that will streamline release process, such as:_x000d__x000a_ * Automating release branch management: A single operation should create all develop/release/master branches_x000d__x000a_ * Automatically sync environments to a specified version_x000d__x000a_ * etc"/>
    <s v="-"/>
    <s v="TBD"/>
  </r>
  <r>
    <s v="IRM-30719"/>
    <x v="0"/>
    <x v="2"/>
    <s v="Usability Enhancements"/>
    <s v="Usability Improvements (Current PI27) - DESCOPED"/>
    <s v="To Do"/>
    <n v="106.7"/>
    <s v="Other"/>
    <x v="2"/>
    <x v="21"/>
    <s v="p1"/>
    <s v="2025-10-17T13:42:27.000+0300"/>
    <s v="TshirtSize_M,pi27_candidate,pi27_descope,pi27_p1"/>
    <m/>
    <s v="Usability Improvements (Current PI27) - DESCOPED"/>
    <s v="This enabler focuses on improving the overall usability and user experience of the Solon Tax application._x000d__x000a_It includes development, QA, and FAT efforts addressing issues identified during accessibility testing, as well as UI/UX refinements to enhance clarity, navigation, and responsiveness._x000d__x000a__x000d__x000a_The goal is to deliver a smoother, more intuitive interaction for all users while ensuring that accessibility-related improvements integrate seamlessly into the product’s visual and functional design."/>
    <s v="By enhancing usability through refined interactions, improved layouts, and consistent component behavior, users can complete their tasks more efficiently and with greater confidence._x000d__x000a__x000d__x000a_These improvements increase user satisfaction, reduce friction, and strengthen the overall quality and inclusiveness of the Solon Tax experience."/>
    <s v="* Identified usability and interaction issues from previous testing cycles/assessments are resolved._x000d__x000a__x000d__x000a_ * UX, QA, and FAT teams validate improvements to navigation, responsiveness, and clarity._x000d__x000a__x000d__x000a_ * UI/UX team provides input for consistent and intuitive UI component behavior._x000d__x000a__x000d__x000a_ * Enhancements are implemented without degrading performance._x000d__x000a__x000d__x000a_ * QA validation confirms improved ease of use and visual consistency across key user journeys._x000d__x000a__x000d__x000a_ * Documentation and release notes reflect the implemented usability refinements."/>
  </r>
  <r>
    <s v="IRM-30679"/>
    <x v="0"/>
    <x v="1"/>
    <s v="Maintainability Enhancements"/>
    <s v="Vanilla Installation automation - Solon Tax kubernetes operator"/>
    <s v="To Do"/>
    <n v="266.7"/>
    <s v="Other"/>
    <x v="1"/>
    <x v="12"/>
    <s v="p3"/>
    <s v="2025-10-17T12:28:09.000+0300"/>
    <s v="TshirtSize_L"/>
    <m/>
    <s v="Vanilla Installation automation - Solon Tax kubernetes operator"/>
    <s v="*Problem Statement*_x000d__x000a__x000d__x000a_The current installation procedure for SolonTax (until v2.1.0 ) relies on the manual configuration and deployment of multiple Helm charts for core and auxiliary components. This process presents several challenges:_x000d__x000a_ * *High Operational Overhead:* System administrators must manually configure multiple {{values.yaml}} files, which is time-consuming._x000d__x000a_ * *Prone to Errors:* There is a significant risk of misconfiguration when values are not synchronized correctly across different Helm charts (e.g. service endpoints)._x000d__x000a_ * *Complex Upgrades:* Managing the upgrade sequence and dependencies between components is a manual and fragile process._x000d__x000a__x000d__x000a_*Proposed Solution*_x000d__x000a__x000d__x000a_To address these challenges, this feature proposes the development of a new Kubernetes Operator, the {*}SolonTax Operator{*}. The operator will act as a single point of control to automate and streamline the lifecycle management (installation, configuration, and upgrades) of a SolonTax environment._x000d__x000a__x000d__x000a_By defining a Custom Resource (CR), administrators will be able to declare the desired state of a SolonTax installation, and the operator will work to fulfill that state, abstracting away the complexity of managing the underlying Helm charts._x000d__x000a__x000d__x000a_*Acceptance Criteria*_x000d__x000a_ # *Helm Chart Orchestration:* The operator utilizes the existing {{Revenue Management}} and {{ISS}} Helm charts to deploy SolonTax components._x000d__x000a_ # *Selective Component Installation:* The operator's Custom Resource (CR) allows specifying the installation of:_x000d__x000a_ ** {{Revenue Management}} components only._x000d__x000a_ ** {{ISS}} components only._x000d__x000a_ ** Both {{Revenue Management}} and {{ISS}} components._x000d__x000a_ # *Configuration Cascading:* A single, top-level configuration value in the operator's CR (e.g., {{{}spec.env.jdbcUrl{}}}) is correctly propagated to all relevant underlying Helm charts and their respective ConfigMaps._x000d__x000a_ # *Configuration Overrides:* The operator's CR provides a mechanism to override specific values in individual Helm charts (e.g., setting {{spec.components.revenueManagement.deployment.apiGateway.logging.level.root }}to {{DEBUG}} should override the default log level for that component only)._x000d__x000a_ # *Dependency Management:* The operator's reconciliation loop correctly manages dependencies. For example, it must ensure a database migration Job completes successfully before proceeding with the upgrade of dependent microservice Deployments._x000d__x000a__x000d__x000a_*Technical Requirements &amp; Considerations*_x000d__x000a_ * *Technology Stack:* The operator must be implemented using the *Java Operator SDK* ([https://github.com/operator-framework/java-operator-sdk]) and the *Spring Boot Starter* ([https://github.com/operator-framework/josdk-spring-boot-starter])._x000d__x000a_ * *Helm Chart Dependency Strategy:* An architectural decision must be made on how the operator will access the Helm charts it manages. The implementation should consider and evaluate:_x000d__x000a_ ** Bundling the Helm charts within the operator's container image._x000d__x000a_ ** Fetching the charts from a remote Helm registry at runtime._x000d__x000a_ ** A hybrid approach that supports both._x000d__x000a__x000d__x000a_*Out of Scope*_x000d__x000a_ * The initial version of this operator will *only* manage the core *SolonTax* components ({{{}Revenue Management{}}} and {{{}ISS{}}})._x000d__x000a_ * The management of auxiliary components (e.g., databases, message brokers, logging stacks) is not included in the scope of this work but may be considered for future iterations."/>
    <s v="Simplify solon tax installation and upgrades."/>
    <s v="-"/>
  </r>
  <r>
    <s v="IRM-30677"/>
    <x v="0"/>
    <x v="1"/>
    <s v="Maintainability Enhancements"/>
    <s v="Automatic Documentation Generation enhancements"/>
    <s v="To Do"/>
    <n v="266.7"/>
    <s v="Other"/>
    <x v="1"/>
    <x v="12"/>
    <s v="p3"/>
    <s v="2025-10-17T11:58:58.000+0300"/>
    <s v="TshirtSize_L"/>
    <m/>
    <s v="Automatic Documentation Generation enhancements"/>
    <s v="Scope of this enabler is to supply the appropriate tooling to automatically generate documentation artifacts, currently documented manually, directly from source. Items that can be covered are;_x000d__x000a_ * C4 container view diagrams:_x000d__x000a_ ** {*}Possibility{*}: create a maven plugin that can parse annotated classes that denote inbound outbound ports and create the diagrams in structurizr of pluntuml format_x000d__x000a_ ** {*}Affects{*}: https://docs.netcompany.com/swpd-doc/docs-solon-tax/solon-tax/2.0.0/sad/partials/container_view.html_x000d__x000a_ * Application Properties:_x000d__x000a_ ** {*}Essential{*}: Back all application properties used in solontax microservices with POJOS (currently not 100% the case) _x000d__x000a_ ** {*}Possibility{*}: create tooling that can extract application properties information via either a maven plugin or via actuator endpoints and generate documentation as it's done  _x000d__x000a_ ** {*}Affects{*}: [https://docs.netcompany.com/swpd-doc/docs-solon-tax/solon-tax/2.0.0/ing/partials/appendix_a_application_properties.html]_x000d__x000a_ * Installation Configuration instruction_x000d__x000a_ ** {*}Essential{*}: Embed installation configuration guidelines within helm charts README.md documents, and use that directly in installation manual:_x000d__x000a_ ** *Affects:* [https://docs.netcompany.com/swpd-doc/docs-solon-tax/solon-tax/2.0.0/ing/partials/components_installation_configuration.html]_x000d__x000a_ * Base/Demo configuration data (not currently documented)_x000d__x000a_ ** {*}Essential{*}: Create tooling that can extract Base and Demo data entries:_x000d__x000a_ *** Have complete documentation per release in the appropriate guide_x000d__x000a_ *** Have information about changes in release notes."/>
    <s v="Automate documentation generation to substantially reduce maintenance effort and also ensure correctness"/>
    <s v="-"/>
  </r>
  <r>
    <s v="IRM-30668"/>
    <x v="1"/>
    <x v="3"/>
    <s v="Batch Processing Enhancements"/>
    <s v="Amplio batch - Replacement of SCDF with Amplio (Part 2)"/>
    <s v="In Progress"/>
    <n v="466.7"/>
    <s v="Other"/>
    <x v="0"/>
    <x v="48"/>
    <s v="p1"/>
    <s v="2025-10-17T10:03:14.000+0300"/>
    <s v="BATCH_PROCESSING,Generic,LT,PI25_Leftover,TCE,pi26_leftover,pi28_candidate,pi28_p1"/>
    <m/>
    <s v="Amplio batch - Replacement of SCDF with Amplio (Part 2)"/>
    <s v="The main goal of the feature, is to migrate the remaining batch jobs to the Amplio Batch engine._x000d__x000a_h2. 1. Job migrations_x000d__x000a_h3. 1.1 revenue-management-batch repository_x000d__x000a__x000d__x000a_In the revenue-management-batch repository, the following missing jobs marked as BASE, needs to be migrated:_x000d__x000a_|*Image Name*|*Category*|*Release*|*GR AADE priority* |_x000d__x000a_|overpayment-process|BASE|TBD|p1|_x000d__x000a_|direct-deposit|BASE|TBD|p1|_x000d__x000a_|object-access-group-initialization*|BASE|TBD|p1|_x000d__x000a_|archive-data|BASE|TBD|p2|_x000d__x000a_|data-nomination|BASE|TBD|p2|_x000d__x000a_|delete-data|BASE|TBD|p2|_x000d__x000a_|gdpr-anonymize-data|BASE|TBD|p3|_x000d__x000a_|gdpr-deletion|BASE|TBD|p3|_x000d__x000a_ * This job needs to be refactored, to not use temporary tables anymore and is therefore not a 1-1 migration._x000d__x000a_h3. 1.2 revenue-management-batch-custom repository_x000d__x000a__x000d__x000a_In the revenue-management-batch-custom repository, the following missing jobs marked as EXAMPLE, needs to be migrated:_x000d__x000a_|*Image Name*|*Category*|*Release*|{*}GR AADE priority{*}{*}{*}|_x000d__x000a_|candidate-case-creation|EXAMPLE|TBD|p1|_x000d__x000a_|late-filer-rule|EXAMPLE|TBD|p1|_x000d__x000a_|compliance-monitor|EXAMPLE|TBD|p2|_x000d__x000a_|release-suppression|EXAMPLE|TBD|p3|_x000d__x000a_|suppression-activations|EXAMPLE|TBD|p3|_x000d__x000a_|debt-recovery|EXAMPLE|TBD|p3|_x000d__x000a_|handover-debt|EXAMPLE|TBD|p3|_x000d__x000a_h2. 2. Miscellaneous_x000d__x000a_h3. 2.1 Deprecation warnings_x000d__x000a__x000d__x000a_All migrated jobs, should be marked as deprecated within SCDF._x000d__x000a_h3. 2.2 Documentation_x000d__x000a__x000d__x000a_Remaining documentation, including detailed design for the batch engine needs to be finalized, together with new documentation for the batch jobs as they get migrated. _x000d__x000a__x000d__x000a_The product documentation likewise needs to be updated. "/>
    <s v="TBD"/>
    <s v="Scenario: Successfully migrate and verify SCDF jobs_x000d__x000a__x000d__x000a_GIVEN all remaining SCDF jobs from part one are identified_x000d__x000a__x000d__x000a_WHEN the jobs are deployed to the target environment_x000d__x000a__x000d__x000a_THEN each job can be triggered via Postman_x000d__x000a__x000d__x000a_AND a successful HTTP response is returned_x000d__x000a__x000d__x000a_ "/>
  </r>
  <r>
    <s v="IRM-30639"/>
    <x v="1"/>
    <x v="3"/>
    <s v="AppSec team"/>
    <s v="Horizontal Security Controls Design Specification &amp; Documentation"/>
    <s v="Under Analysis"/>
    <n v="533.29999999999995"/>
    <s v="Other"/>
    <x v="1"/>
    <x v="8"/>
    <s v="p3"/>
    <s v="2025-10-16T10:22:13.000+0300"/>
    <s v="AppSec,Roadmap2026"/>
    <m/>
    <m/>
    <m/>
    <m/>
    <m/>
  </r>
  <r>
    <s v="IRM-30636"/>
    <x v="1"/>
    <x v="3"/>
    <s v="AppSec team"/>
    <s v="SOLONTAX Supply Chain Security Enablement"/>
    <s v="To Do"/>
    <n v="800"/>
    <s v="Other"/>
    <x v="1"/>
    <x v="49"/>
    <s v="p3"/>
    <s v="2025-10-15T23:04:01.000+0300"/>
    <s v="AppSec,Roadmap2026"/>
    <m/>
    <m/>
    <m/>
    <m/>
    <m/>
  </r>
  <r>
    <s v="IRM-30635"/>
    <x v="1"/>
    <x v="3"/>
    <s v="AppSec team"/>
    <s v="SOLON TAX Application Security Core Enablement "/>
    <s v="In Progress"/>
    <n v="0.3"/>
    <s v="Other"/>
    <x v="1"/>
    <x v="50"/>
    <s v="p3"/>
    <s v="2025-10-15T22:19:52.000+0300"/>
    <s v="AppSec,Roadmap2026"/>
    <m/>
    <m/>
    <m/>
    <m/>
    <m/>
  </r>
  <r>
    <s v="IRM-30561"/>
    <x v="0"/>
    <x v="1"/>
    <s v="Maintainability Enhancements"/>
    <s v="After POC - Config Items Management ( Packaging &amp; versioning) : Enable delivery teams to safely and selectively migrate configurations across environments /WIP"/>
    <s v="To Do"/>
    <n v="4266.7"/>
    <s v="GRC"/>
    <x v="2"/>
    <x v="51"/>
    <s v="p3"/>
    <s v="2025-10-13T15:38:45.000+0300"/>
    <s v="C1,GR,Generic,OPERABILITY,SKV_Internal,TshirtSize_XXL,nice-to-have,pi27_candidate"/>
    <m/>
    <s v="After POC - Config Items Management ( Packaging &amp; versioning) : Enable delivery teams to safely and selectively migrate configurations across environments /WIP"/>
    <s v="*AFTER POC*  [https://jira.intrasoft-intl.com/browse/IRM-29268] _x000d__x000a__x000d__x000a_{color:#ff8b00}*WIP  - Will be defined after POC* {color}_x000d__x000a_----_x000d__x000a_As a Solon Tax Delivery team, I need to be able to: _x000d__x000a_-  safely and selectively, via guided steps, to migrate configurations across environments (Dev → Stg → Prod),_x000d__x000a_-  maintain versions of the configurations/other artifacts migrated to other environments and of the release/migration  (e.g. artifact version, release version)   _x000d__x000a_-  provide report on the results of the deployment process, _x000d__x000a_-  see the history of the migrations, _x000d__x000a_-  support zero/near-zero downtime deployments   (?)_x000d__x000a_-  support scheduled activation/ make effective the changes to destination environment,_x000d__x000a_-  enable team to flag changes as &quot;ready to be migrated&quot; , and capture ownership details_x000d__x000a_-  filter in a longer list of items based on predefine flags or versions the items to be added in the package for the migration,_x000d__x000a_-  enable team to select,  implementations, supporting them with  prechecks (Pre‑checks: environment compatibility, dependency resolution, conflict detection, schema compatibility, dry‑run simulation), dependencies and conflicts checks, _x000d__x000a_-  provide rollback and recovery options,_x000d__x000a_-  enable team to select source and destination environments, _x000d__x000a_-  ensure security, performance,  and compliance,_x000d__x000a_-  enforce governance with roles, performance and approval flows._x000d__x000a__x000d__x000a_ _x000d__x000a__x000d__x000a_*Background:*_x000d__x000a_ _x000d__x000a_Configuration Data_x000d__x000a_ * Entity types (c_ objects) , Codelists/codelist items, , System parameters (codelist item attributes), _x000d__x000a_queries, other config data (users, exchange rates, calendars, worker profiles, roles, object access groups, user access groups, ledgers, GL accounts numbers, rates etc), UI schemas/forms.'_x000d__x000a__x000d__x000a_Translations_x000d__x000a_ * Labels ( _l objects) _x000d__x000a__x000d__x000a_TBC: _x000d__x000a_ * (?) User defined characteristics,_x000d__x000a_ * Drools_x000d__x000a_ * (?) Other customizations_x000d__x000a__x000d__x000a_Ownerships _x000d__x000a_ * Config items are flagged with its ownership , i.e. :  on who is responsible for their maintenance (Product team, national delivery team, or client-specific team) restricting areas that should not be used,  their intended scope of usage / applicability (global, regional, or specific clients) , whether they are reusable across implementations Additionally provide controlling mechanism on which items based on owner are eligible to be migrated (e.g. do not deploy base items, unless it is an attribute of a system parameter, entity schema help url, or labels.)   [https://jira.intrasoft-intl.com/browse/IRM-26335]  _x000d__x000a__x000d__x000a_*Functional Requirements:*_x000d__x000a__x000d__x000a_*+Preparation+* _x000d__x000a_ * *Prerequisites*_x000d__x000a_ ** Define environments that can be source and destinations_x000d__x000a_ ** Define the versioning numbering that will be used for all the items (?)_x000d__x000a_ * *Flag configuration items*_x000d__x000a_ ** Beforehand, the developer/admin should label Ownership of the component. _x000d__x000a_ ** Beforehand, the developer/admin may label configurations implemented as  &quot;Ready for export&quot;.  ([https://jira.intrasoft-intl.com/browse/PSD-11032)|https://jira.intrasoft-intl.com/browse/PSD-11032])_x000d__x000a_ ** Beforehand, version of the items to be migrated may be defined. _x000d__x000a_ ** Beforehand, the developer/admin optionally may label the component with the Functionality or Scope or Product component will support.  _x000d__x000a_ ** Beforehand, the developer/admin may select if the Cong items will be activated while migrated or will remain inactive till admin manually activate them the destination environment. _x000d__x000a_ ** Beforehand, the developer/admin may upload the file where applicable (labels - translations) should be uploaded. _x000d__x000a_ ** Beforehand, the developer/admin may select the source and destination environments.  _x000d__x000a__x000d__x000a_ * *Roles and permissions*_x000d__x000a_ ** Permitted users can use the packaging tool and perform the mentioned actions_x000d__x000a__x000d__x000a_              consideration :  ? Could it be extended to use approval processes?_x000d__x000a__x000d__x000a_ _x000d__x000a__x000d__x000a_*+Core+*_x000d__x000a_ * *Ui*_x000d__x000a_ ** Admin may see the details of previous local releases/ deployments as well as historical data on the local releases/ deployments_x000d__x000a_ ** Admin/developer may check out and then check in any non Base config item_x000d__x000a_ *** Checked in item receives automatically a version_x000d__x000a_ *** Validation when trying to check out a Base item_x000d__x000a_ ** Admin may initiate a new deployment (create release) _x000d__x000a_ *** Select source and destination environment_x000d__x000a_ *** UI or CLI to *select/export/inspect/import* configurations, code, flows, templates, etc._x000d__x000a_ *** Select to proceed with the deployment_x000d__x000a_ *** Admin may use filters  (as per flags added above , version number ,  along with other items e.g. category field) to locate the items to be included in the package. _x000d__x000a_ *** Admin can add comments per item and per local release. _x000d__x000a_ ** Admin may see details under each logged release_x000d__x000a_ *** Admin can see timestamp and historical details on the local release. _x000d__x000a_ *** Admin can see list of exceptions before and after the deployment_x000d__x000a_ ** Admin after deployment will be able to make effective/enable the version/selected items in destination environment. _x000d__x000a__x000d__x000a_ _x000d__x000a__x000d__x000a_+*Deployment process*+_x000d__x000a__x000d__x000a_ _x000d__x000a_ * *Suggest items to be selected*_x000d__x000a_ ** Provide Delta support to select elements that are new or modified -  where applicable._x000d__x000a_ ** Exclude BASE items with exceptions (help urls, labels, attributes in system parameters)._x000d__x000a_ ** Indicate possible conflicts._x000d__x000a_ * *Dependency management*  - Select items to be migrated (metadata, content ... ) from a list ._x000d__x000a_ ** Identify dependencies and indicate what related items need to move together._x000d__x000a_Identify and warn if related components must be exported together._x000d__x000a_ ** Support  when certain settings (like endpoint URLs, external credentials, currency precision) may need to differ by environment - need a way to parameterize or externalize environment-specific config.)_x000d__x000a__x000d__x000a_ * *Standard Format &amp; Packaging*_x000d__x000a_ ** Define a standard export/import format   (e.g., JSON, XML, YAML or other per component type) _x000d__x000a_ ** Group exported artifacts into packages. _x000d__x000a_ ** Be able to define the expiration date / inactivation date of an older version per component and have available mechanisms to validate that the new version will be available when old is expired. _x000d__x000a_ *  *Import &amp; Validation* : _x000d__x000a_ ** Examine if needs to define states for each deployable (e.g., {_}Draft → Approved → Deployed → Deprecated{_})._x000d__x000a_ ** Ensure compatibility and prevent unintended overwrites._x000d__x000a_ ** Run automated validations in a dry run mode_x000d__x000a_ ** Indicate possible conflicts._x000d__x000a_ ** Simulate a deployment before actual promotion_x000d__x000a_ ** Advice smoke testing after deployment_x000d__x000a__x000d__x000a_ * *Auditability and Reporting* _x000d__x000a_ ** Audit Trail of  who changed what, when, and where in the target environment. (See also relevant section on  [https://jira.intrasoft-intl.com/browse/IRM-27058] ) _x000d__x000a_ ** Be able to see the result of the migration process. Monitor what succeeded, failed, or was skipped._x000d__x000a_ _x000d__x000a_ * *Rollback Mechanism  / go back to a previous version*  _x000d__x000a_ ** Ability to revert a deployment if needed either fully or selectively.  See also relevant section on  [https://jira.intrasoft-intl.com/browse/IRM-27058] _x000d__x000a_ ** Ability to set when old version should be expired as new version should be active.  See also relevant section on  [https://jira.intrasoft-intl.com/browse/IRM-27058] _x000d__x000a__x000d__x000a_ * Compliance/ *Data security* privacy (Certain configuration or integration artifacts may handle sensitive data)_x000d__x000a_ ** Dev and Stg environments are created without taxpayer data, but include configuration and custom logic. i.e.,  when exporting from production to other envs, do not deploy data. _x000d__x000a_ * Other_x000d__x000a_ ** Consider also translation management needs as described in  IRM-24809  _x000d__x000a__x000d__x000a_ _x000d__x000a__x000d__x000a_ _x000d__x000a__x000d__x000a_*Documentation*_x000d__x000a_ * Documentation will be delivered with the steps to install the application and tools needed plus how to use the tool with example. _x000d__x000a__x000d__x000a_*Non Functional Requirements:*_x000d__x000a_ * Tool can be handled by delivery teams._x000d__x000a_ * Performance and security DODs should be considered. _x000d__x000a__x000d__x000a_----_x000d__x000a_ _x000d__x000a__x000d__x000a_Similar solution_x000d__x000a_!image-2025-08-27-11-26-51-929.png!_x000d__x000a__x000d__x000a_ _x000d__x000a__x000d__x000a_!image-2025-08-27-12-57-16-410.png!_x000d__x000a__x000d__x000a_!image-2025-08-27-13-09-21-753.png!_x000d__x000a__x000d__x000a_!image-2025-08-27-11-29-46-330.png!_x000d__x000a__x000d__x000a_!image-2025-08-27-11-29-23-860.png!_x000d__x000a__x000d__x000a_!image-2025-08-27-11-28-14-100.png!"/>
    <s v="Providing a solution for migrating Config items will empower delivery teams to fully leverage the product’s high configurability, enabling faster and more reliable deployments, ensuring consistency across environments and reducing manual overhead. Additionally, delivery teams can more effectively utilize the product's flexibility, resulting in faster time-to-value and improved rollout quality."/>
    <s v="BASED ON RELATED POC _x000d__x000a_Tool to allow securely and via guided steps to allow a team to _x000d__x000a_a) select elements to be deployed checking dependencies and conflicts_x000d__x000a_b) packaging them_x000d__x000a_c) selects destinations_x000d__x000a_d) validating the actions_x000d__x000a_e) deploy _x000d__x000a_f)  be able to rollback"/>
  </r>
  <r>
    <s v="IRM-30526"/>
    <x v="1"/>
    <x v="3"/>
    <s v="Training"/>
    <s v="Training material and courses"/>
    <s v="To Do"/>
    <n v="266.7"/>
    <s v="Other"/>
    <x v="1"/>
    <x v="12"/>
    <s v="p3"/>
    <s v="2025-10-10T17:45:46.000+0300"/>
    <s v="MVP,TshirtSize_L,other"/>
    <m/>
    <m/>
    <m/>
    <m/>
    <m/>
  </r>
  <r>
    <s v="IRM-30525"/>
    <x v="1"/>
    <x v="3"/>
    <s v="Training"/>
    <s v="Training environment"/>
    <s v="To Do"/>
    <n v="433.3"/>
    <s v="Other"/>
    <x v="1"/>
    <x v="45"/>
    <s v="p3"/>
    <s v="2025-10-10T17:42:54.000+0300"/>
    <s v="MVP,TshirtSize_XL,other"/>
    <m/>
    <m/>
    <m/>
    <m/>
    <m/>
  </r>
  <r>
    <s v="IRM-30464"/>
    <x v="0"/>
    <x v="1"/>
    <s v="Maintainability Enhancements"/>
    <s v="Technology Management - Upgrade SOLON Tax Java version to 25"/>
    <s v="Implemented"/>
    <n v="42.7"/>
    <s v="Other"/>
    <x v="3"/>
    <x v="24"/>
    <s v="p1"/>
    <s v="2025-10-09T17:35:35.000+0300"/>
    <s v="FATnottestable,IATNotTestable,pi27_candidate,pi27_p1"/>
    <s v="3.0.0"/>
    <s v="Technology Management - Upgrade SOLON Tax Java version to 25"/>
    <s v="Upgrade SOLON Tax Java version to 25. The activity involves the following:_x000d__x000a_ * Upgrade SOLON Tax JDK to Java 25 compatible for all SOLON microservice repositories (be, adapters, custom)_x000d__x000a_ * Upgrade SOLON Tax microservice base docker image to temurin-25_x000d__x000a_ * Update relevant build pipelines_x000d__x000a_ * Resolve all deprecations or build errors resulting from JDK upgrade"/>
    <s v="Upgrading Java runtime to JDK 25 (LTS) will result to measurable gains in startup latency and memory efficiency. Using JDK 25 as development baseline will facilitate the adoption of new language/framework features."/>
    <s v="* SOLON Tax artifacts are built with JDK 25_x000d__x000a_ * SOLON Tax microservices run on alpine containers with JRE 25_x000d__x000a_ * All relevant deprecations are resolved"/>
  </r>
  <r>
    <s v="IRM-30421"/>
    <x v="0"/>
    <x v="0"/>
    <s v="Accessibility Enhancements"/>
    <s v="Compliance with accessibility standards (WCAG 2.1 AA and EN 301 549)"/>
    <s v="To Do"/>
    <n v="133.30000000000001"/>
    <s v="Other"/>
    <x v="1"/>
    <x v="4"/>
    <s v="p3"/>
    <s v="2025-10-09T12:37:24.000+0300"/>
    <s v=""/>
    <m/>
    <s v="Compliance with accessibility standards (WCAG 2.1 AA and EN 301 549)"/>
    <s v="-"/>
    <s v="-"/>
    <s v="-"/>
  </r>
  <r>
    <s v="IRM-30419"/>
    <x v="0"/>
    <x v="2"/>
    <s v="Usability Enhancements"/>
    <s v="Improve the search experience - RM"/>
    <s v="To Do"/>
    <n v="266.7"/>
    <s v="GRC"/>
    <x v="2"/>
    <x v="12"/>
    <s v="p3"/>
    <s v="2025-10-09T12:33:53.000+0300"/>
    <s v="C1,GR,GR_2027,MVP,TshirtSize_L,USABILITY,pi27_candidate"/>
    <m/>
    <s v="Improve the search experience - RM"/>
    <s v="*Improve the search experience*_x000d__x000a_ * _Remove apply buttons__x000d__x000a_ * _Improve Search when  looking up other entities ( e.g. Bill segment -&gt; Obligation Action -&gt; Party Role , Search and then apply and then select ) This means a placeholder as search improvements are not yet listed. There are several in List pages and while we are creating records._ _x000d__x000a_ * _Quick Global search  (Add the text and then search for all related records - results per entity)__x000d__x000a_ * _Recent items  (which records I recently accessed)_ _x000d__x000a_ *  _Search in Party / Party Role page ALL relevant records for this taxpayer e.g. Obligations, OAs, Liabilities, Bill segments, Bills, Payments, Forms etc._ _x000d__x000a_ * _(difficult) Search in all relevant entities per revenue type (BS/PS/AS, Forms  etc)_ "/>
    <s v="-"/>
    <s v="-"/>
  </r>
  <r>
    <s v="IRM-30418"/>
    <x v="5"/>
    <x v="11"/>
    <s v="UI Configuration Enhancements"/>
    <s v="Configurable Home Page widgets  in RM"/>
    <s v="To Do"/>
    <n v="80"/>
    <s v="GRC"/>
    <x v="2"/>
    <x v="7"/>
    <s v="p3"/>
    <s v="2025-10-09T12:32:51.000+0300"/>
    <s v="C1,GR,GR_2027,MVP,TshirtSize_M,USABILITY,pi27_candidate"/>
    <m/>
    <s v="Configurable Home Page widgets  in RM"/>
    <s v="*RM Home page  {color:#c1c7d0}_- not discussed with customers:_{color}* _x000d__x000a_Home page may be customizable by user (or per groups) . Several widgets may be available and can be docked in the page as per user preferences. _x000d__x000a_The home page acts as a central command center, letting a tax officer or user quickly see tasks, deadlines, notifications, and insights without navigating through multiple screens._x000d__x000a__x000d__x000a__Examples of widgets:_ _x000d__x000a_ * _My Calendar, My team calendar, My Pending tasks, Overdue tasks,_ _Unassigned tasks, &lt;status&gt; tasks__x000d__x000a_ * _Summary of pending approvals, or submissions.__x000d__x000a_ * _Quick Search in Registry  (TBC due to complexity)_ _x000d__x000a_ * _Quick search taxpayers__x000d__x000a_ * _Create shortcuts / Quick links to usually used tabs/records/other links  (other apps, to taxpayers, cases, documents, easily access payplans, or form list page with predefine filter etc)_ _x000d__x000a_ * _Notifications / Alerts /   (deadlines, system messages, process completions/errors... )__x000d__x000a__x000d__x000a_ _x000d__x000a__x000d__x000a_Complex in BE or not ready in BE or by examples _x000d__x000a_ * _My Recent Items (Accessed records)_ _x000d__x000a_ * _Announcements from the company (TBD) or Integration with other internal used messaging systems__x000d__x000a__x000d__x000a_ * _Other  Dashboards and KPIs /reports and quick metrics  (e.g. Team allocation for managers,  returned payouts , collection rates, or workload by officer , new registration forms, total taxpayers managed, open cases, or recent filings.  )_ _x000d__x000a__x000d__x000a_Prerequisites :_x000d__x000a_I can see my calendar or my team calendar, quick search available , recent records accessed "/>
    <s v="-"/>
    <s v="-"/>
  </r>
  <r>
    <s v="IRM-30403"/>
    <x v="5"/>
    <x v="25"/>
    <s v="Content Management Integration"/>
    <s v="SS Enhancements - CMS Integration"/>
    <s v="To Do"/>
    <n v="266.7"/>
    <s v="GRC"/>
    <x v="2"/>
    <x v="12"/>
    <s v="p3"/>
    <s v="2025-10-09T10:49:18.000+0300"/>
    <s v="CMS_INTEGRATION,GR,MVP,TshirtSize_L,pi27_candidate"/>
    <m/>
    <s v="SS Enhancements - CMS Integration"/>
    <s v="Integration with CMS_x000d__x000a__x000d__x000a_i.e. : productize what LT did in a generic way (not drupal specific) "/>
    <s v="-"/>
    <s v="-"/>
  </r>
  <r>
    <s v="IRM-30402"/>
    <x v="5"/>
    <x v="12"/>
    <s v="Form Processing Enhancements"/>
    <s v="SS Enhancements - Full process of Drools"/>
    <s v="Implemented"/>
    <n v="320"/>
    <s v="GRC"/>
    <x v="3"/>
    <x v="23"/>
    <s v="p1"/>
    <s v="2025-10-09T10:28:32.000+0300"/>
    <s v="GR,GR_Early_C,GR_Early_D,IRM:PI27S01_start,IRM:PI27S04_end,IRM:PI27S05_end,MVP,SELF_SERVICE_SERVICES_MANAGEMENT,TshirtSize_XL,add_in_notes,pi26_candidate,pi26_p3,pi27_candidate,pi27_p1,ready"/>
    <s v="3.0.0"/>
    <s v="SS Enhancements - Full process of Drools"/>
    <s v="In SS we need to be able to full process orchestration of the form processes and rules.  As some of the tasks to succeed that are already implemented the remaining are the items from [https://jira.intrasoft-intl.com/browse/IRM-24421]  (Drools runtime )_x000d__x000a__x000d__x000a_ _x000d__x000a_ * *SS Drools Runtime*_x000d__x000a_ ** full process orchestration of the form processes and rules in SS_x000d__x000a_ ** be able to run be validations and calculations in SS form full _x000d__x000a_ ** Example: showcase the availability of this functionality in an example. _x000d__x000a_ *** Business Registration (organization party type)  Form in SS available for some users or all users_x000d__x000a_Add Legal Name_x000d__x000a_Add Initiation date (DATE OF ESTABLISHMENT) _x000d__x000a_Add Identification number_x000d__x000a_ *** Validations - drools: _x000d__x000a_Legal name should be filled_x000d__x000a_Identification Number :  Tax Identification  type  _x000d__x000a_at least 5 digits_x000d__x000a_If Initiation date&lt; 30 days in the past, display a message : &quot;A penalty will be charged.&quot; _x000d__x000a_ *** Prefill form : _x000d__x000a_country = Greece_x000d__x000a_ *** Result _x000d__x000a_Create party with Name and ID _x000d__x000a_Notification sent to SS user that party is logged_x000d__x000a__x000d__x000a_!image-2026-01-26-13-58-59-471.png!_x000d__x000a__x000d__x000a_!image-2026-01-26-14-02-28-057.png!_x000d__x000a_----_x000d__x000a_prefill _x000d__x000a_!image-2026-01-26-14-09-36-008.png!"/>
    <s v="-"/>
    <s v="* Drools Runtime - Full process drools in SS_x000d__x000a_ ** full process orchestration of the form processes and rules in SS_x000d__x000a_ ** be able to run be validations and calculations in SS form full_x000d__x000a_ ** be able to prefill, check form_x000d__x000a_ **  showcase the availability of this functionality in an example. "/>
  </r>
  <r>
    <s v="IRM-30378"/>
    <x v="5"/>
    <x v="26"/>
    <s v="Case Management Enhancements"/>
    <s v="Integration with Luminus (BRA &amp; Audit support)  "/>
    <s v="To Do"/>
    <n v="140"/>
    <s v="GRC"/>
    <x v="1"/>
    <x v="47"/>
    <s v="p3"/>
    <s v="2025-10-08T20:34:28.000+0300"/>
    <s v="BUSINESS_INTELLIGENCE,C1,GR,TshirtSize_M"/>
    <m/>
    <s v="Integration with Luminus (BRA &amp; Audit support)  "/>
    <s v="* Improve *integration* with Lumenus BRA / Contractual_x000d__x000a_   Candidate list to generate cases flow (batch) _x000d__x000a_   SSO, traceability of source steps and criteria/valuation _x000d__x000a_ * Establish  *integration* with Lumenus Audit Support  (?) / Contractual_x000d__x000a_   Audit cases integrated with Audit cases in Lumenus and sync statuses"/>
    <s v="-"/>
    <s v="-"/>
  </r>
  <r>
    <s v="IRM-30376"/>
    <x v="0"/>
    <x v="6"/>
    <s v="Performance Efficiency Enhancements"/>
    <s v="Performance -Work on the known issues with performance in tasks assignment"/>
    <s v="Waiting Analysis Approval"/>
    <n v="128"/>
    <s v="Other"/>
    <x v="2"/>
    <x v="18"/>
    <s v="p1"/>
    <s v="2025-10-08T20:17:28.000+0300"/>
    <s v="LT,MVP,OldForLTpi27_p1,PERFORMANCE_EFFICIENCY,TshirtSize_M,pi27_candidate"/>
    <m/>
    <s v="Performance -Work on the known issues with performance in tasks assignment"/>
    <s v="Performance -Known issues with performance in tasks assignment_x000d__x000a__x000d__x000a_*Introduction*_x000d__x000a_Assuming that automating and enhancing user assignments in tasks will introduce additional complexity (combined with the known performance issues of this functionality prior to these enhancements), we need to re-evaluate, measure, and improve its function performance._x000d__x000a_The issue was reported by PD team without specific reporting on the results. _x000d__x000a__x000d__x000a_ _x000d__x000a__x000d__x000a_*Functional Requirements*_x000d__x000a_a) Measure as-is_x000d__x000a_b) Investigate performance enhancement  _x000d__x000a_c) Make fixes estimation_x000d__x000a__x000d__x000a_ _x000d__x000a__x000d__x000a_*Expected LT volumes* _x000d__x000a_|Transactions RM – Tasks|Year – Cases, assigned (human) tasks to users|~1.5 million tasks/year| |_x000d__x000a_|Transactions RM – Tasks|Daily – Cases, assigned (human) tasks|~2,000–3,000/day| |_x000d__x000a_|Transactions RM – Tasks|Peak – Cases, assigned (human) tasks|~5,000/day (during campaign or mass-processing periods)| |_x000d__x000a_| |Stress|5000 in 1 hour| |_x000d__x000a__x000d__x000a_Volumes : [https://confluence.intrasoft-intl.com/spaces/IC/pages/218929689/Assumptions+on+Data+Volumes+WIP]_x000d__x000a_|API key object retrieval| ≤ 3 seconds|_x000d__x000a_|UI interaction (FE respond any page)| ≤ 2 seconds |_x000d__x000a__x000d__x000a_[https://confluence.intrasoft-intl.com/spaces/IC/pages/92740063/Performance] _x000d__x000a__x000d__x000a_[GatheringDetailsForPerformanceSystemChecks.xlsx|https://netcompany-my.sharepoint.com/:x:/p/isiampou/IQA4n6p5ju_OSJPMQSdgPr9rASk4o6y4x0Gx8ze82IJxL9o?e=jPc9hi]"/>
    <s v="-"/>
    <s v="Investigate and fix Task assignment performance issues"/>
  </r>
  <r>
    <s v="IRM-30372"/>
    <x v="0"/>
    <x v="8"/>
    <s v="Security Enhancements"/>
    <s v="Row level security example for human tasks   / Reference Implementation"/>
    <s v="To Do"/>
    <n v="140"/>
    <s v="GRC"/>
    <x v="2"/>
    <x v="47"/>
    <s v="p3"/>
    <s v="2025-10-08T19:53:19.000+0300"/>
    <s v="GR,TASK_MANAGEMENT,TshirtSize_M,pi29_candidate"/>
    <m/>
    <s v="Row level security example for human tasks   / Reference Implementation"/>
    <s v="As a revenue authority admin, I need to define how to apply row level security in Human Tasks following existing system logic, as I need to be able to define the visibility and other operations' permissions to the users. _x000d__x000a_I need a reference implementation like the one described below: _x000d__x000a_Row level should check the permissions based on the related items of human task and the relation on party roles or parties based on relationships already defined on the existing reference implementation.  If the related items are more that one,  then the prioritization to define the permissions are : _x000d__x000a_Party _x000d__x000a_Party Role_x000d__x000a_Liability_x000d__x000a_Form_x000d__x000a_Case_x000d__x000a_Payment Segment_x000d__x000a_Bill Segment_x000d__x000a_Overpayment process_x000d__x000a__x000d__x000a_If no relations, human tasks are public- manages by human task types  allowed operations settings._x000d__x000a__x000d__x000a_ _x000d__x000a__x000d__x000a_*Functional Requirements*_x000d__x000a__x000d__x000a_- As an admin I can define row level security for human tasks based on their related items.  Allowed operation per type will support this function as in other entities in the system (e.g,  Contacts, attachments)_x000d__x000a__x000d__x000a_ "/>
    <s v="-"/>
    <s v="As an admin I can define row level security for human tasks based on their related items. "/>
  </r>
  <r>
    <s v="IRM-30371"/>
    <x v="2"/>
    <x v="16"/>
    <s v="Registration Enhancements"/>
    <s v="Additional Name Elements"/>
    <s v="Ready for Release"/>
    <n v="29.3"/>
    <s v="GRC"/>
    <x v="3"/>
    <x v="52"/>
    <s v="p1"/>
    <s v="2025-10-08T19:45:28.000+0300"/>
    <s v="GR,GR_Early_A,IRM:PI26IP_end,IRM:PI26S05_start,MVP,PI26,TshirtSize_S,pi27_candidate,pi27_p1,ready"/>
    <s v="3.0.0"/>
    <s v="Additional Name Elements"/>
    <s v="As an Admin I need to support migrations of existing dbs for registration additional Name elements. _x000d__x000a_Right now there are 8 elements in Name standards. Customer asked for 4 new elements. _x000d__x000a__x000d__x000a_*Functional Requirements*_x000d__x000a_ * Additional 5 elements to be available named as &quot;Custom Detail&quot; or &quot;Custom Name&quot; +&lt;number&gt; , to be ready to be used  in Party Name standards. _x000d__x000a__x000d__x000a_Custom Name 4 _x000d__x000a_Custom Name 5_x000d__x000a_Custom Name 6_x000d__x000a_Custom Name 7_x000d__x000a_Custom Name 8_x000d__x000a__x000d__x000a_In these elements other than name details will be stored that characterize /perhaps needed to make unique the name  such as Father name._x000d__x000a__x000d__x000a_ _x000d__x000a__x000d__x000a_*Documentation*_x000d__x000a__x000d__x000a_Document all the above adjustments"/>
    <s v="Extent customization of how many details make unique or characterize a name"/>
    <s v="Additional 5 elements to be available named as &quot;Custom Name&quot; +&lt;number&gt; (cont. existing naming) , to be ready to be used  in Party Name standards. "/>
  </r>
  <r>
    <s v="IRM-30369"/>
    <x v="0"/>
    <x v="13"/>
    <s v="Traceability Enhancements"/>
    <s v="Additional Details in Registry changes to relate and define declaration ID and state"/>
    <s v="Implemented"/>
    <n v="373.3"/>
    <s v="GRC"/>
    <x v="3"/>
    <x v="53"/>
    <s v="p1"/>
    <s v="2025-10-08T19:41:44.000+0300"/>
    <s v="GR,GR_Early_D,IRM:PI27S01_start,IRM:PI27S05_end,MVP,REGISTRATION,TshirtSize_XL,pi26_candidate,pi27_candidate,pi27_p1"/>
    <s v="3.0.0"/>
    <s v="Additional Details in Registry changes to relate and define declaration ID and state"/>
    <s v="As a revenue authority, I need to be able to support Registration updates process in a way that full traceability is supported and audit readiness from the request to system updates, to do so, need to log records with the declaration ID of the change. _x000d__x000a__x000d__x000a_*Introduction* _x000d__x000a__x000d__x000a_*Registry Declaration forms* (like taxpayer filings or change requests) often serve as the legal trigger to update registry data (e.g., taxpayer details, business activities, addresses, exemptions, etc.)._x000d__x000a_(Example in AADE: GEMI declarations to start and end a Boarding member from an SA. In this case each adjustment received from GEMI may have start and end date regarding the relationship, but also the date that was registered this adjustment in GEMI) ._x000d__x000a__x000d__x000a_*Entity*    :  Root / Party  _x000d__x000a_*Record*  : Child Party or Party Role Or Party Role Child record_x000d__x000a_*Assumptions :* _x000d__x000a_All registry updates will happen via a linked declaration record. _x000d__x000a_Forms process may need to rollback and the assumption is that the context record should be rolled back as well._x000d__x000a__x000d__x000a_Depends on [https://jira.intrasoft-intl.com/browse/IRM-31733] _x000d__x000a_----_x000d__x000a_ _x000d__x000a__x000d__x000a_*Functional Requirements*_x000d__x000a__x000d__x000a_*Context records* _x000d__x000a_ * Solon will give the ability to *keep*  the relationship of changes to declaration record  (form vs change - see also the new solution schema) as said above. i.e.,  *Relate Registry* changed records (Party + child records, Party Role + Child Records)_x000d__x000a_*with the Declaration* records that trigger the change (e.g. a Change registry record request Form) capturing details needed from declaration record. _x000d__x000a_Note that for registry the update happens in child record or parent record level. (Party, Child Party , Party Role , Party Role Child record)  _x000d__x000a_One declaration record may trigger several changes (one new record of child object , updates to several child objects, etc)._x000d__x000a_Suggestion : Context record will be generated with a unique ID that may be the same as the form id, that will be related to user, create/update registry transaction of cdc, Data Area (as described below) field to capture additional details. _x000d__x000a_ * Users will be  able to *search* for registry records based on these relations (e.g. search for all changes sourced by a form , search for the form result on a change).  _x000d__x000a_ * Admin is able to report all context records as per transaction record, declaration id, registry record id, and other registry record criteria.  _x000d__x000a__x000d__x000a_*Extensibility* _x000d__x000a_ * Allow customer to keep *additional details* in this log (data area will be available in context table to be able to log details from the declaration records)_x000d__x000a_         Data Area availability for Implementation teams to add details they need to log in the context table. _x000d__x000a_         _Note: The below details are expected to be defined/captured by delivery teams/customers using where needed the available Data Area:_ _x000d__x000a__x000d__x000a_ * _x000d__x000a_ ** _x000d__x000a_ *** _Source system timestamp of change (Expected to be declared by user in ui or via the declaration record. The Audit log and timestamps will keep the time of change in Solon system  Also see IRM-31583 , [https://jira.intrasoft-intl.com/browse/IRM-30498] )_ _x000d__x000a_ *** _Details on the reason of the change (Expected to be declared by user in ui or via the declaration record)__x000d__x000a_ *** _Details on the Origin__x000d__x000a_ *** _The status of the declaration record__x000d__x000a__x000d__x000a_ * The solution will provide flexibility to be used by custom implementations of delivery teams. _x000d__x000a__x000d__x000a_ _x000d__x000a__x000d__x000a_*UI*_x000d__x000a_ * User is able to see the related declarations (e.g. forms) under the party and party role. _x000d__x000a_ * -User is able to search for Parties and party roles the records that are have at least one modification based on a declaration/form ID.-  _x000d__x000a__x000d__x000a_ _x000d__x000a__x000d__x000a_*Considerations:*_x000d__x000a_Same design may be used for other microservices as well - Implementation for these will be depicted in other features.  _x000d__x000a__x000d__x000a_*Documentation*_x000d__x000a_Document all the above adjustments. _x000d__x000a__x000d__x000a_ _x000d__x000a__x000d__x000a_*Non functional requirements*_x000d__x000a_Performance , Security, Accessibility, Usability  DODs should be fulfilled. _x000d__x000a__x000d__x000a_ _x000d__x000a_----_x000d__x000a_+Details on the discussed solution+_x000d__x000a_||Data Model||Details||_x000d__x000a_|!image-2025-11-23-17-38-42-277.png!|*A)*_x000d__x000a_*Table : Change context* _x000d__x000a_Keep information of the Change requested and timestamp_x000d__x000a_*Relate Registry and Reference Data tables*_x000d__x000a_Keep context ID to each related parent and child tables. _x000d__x000a_One record may be related to MORE than one Context ID. _x000d__x000a_ _x000d__x000a_ _x000d__x000a_*B) Create Context record*_x000d__x000a_     1. Created by migration and Integrations when a record in Registry or Reference data needs to be created or changed. _x000d__x000a_     2. Create automatically by system processes_x000d__x000a_*C)* Context ID is logged in Audit log records|_x000d__x000a__x000d__x000a_ _x000d__x000a__x000d__x000a_ "/>
    <s v="-"/>
    <s v="*A. Relate Change with source declaration of change*_x000d__x000a_ # *Relate Registry* changed records (Party + child records, Party Role + Child Records)_x000d__x000a_*with the Declaration* item that trigger the change (e.g. a Change registry record request Form) capturing details needed from declaration record._x000d__x000a_One declaration record may trigger several changes (one new one update several child objects)_x000d__x000a__x000d__x000a_*B. Extensibility*_x000d__x000a_ # Allow customer to keep additional details in this log (data area will be available in context table to be able to log details from the declaration records)_x000d__x000a_ # Allow customer to apply the solution to their custom registry objects. "/>
  </r>
  <r>
    <s v="IRM-30366"/>
    <x v="2"/>
    <x v="16"/>
    <s v="Registration Enhancements"/>
    <s v="Party Identifiers - Country parameter and Validations "/>
    <s v="Under Verification"/>
    <n v="106.7"/>
    <s v="GRC"/>
    <x v="3"/>
    <x v="21"/>
    <s v="p1"/>
    <s v="2025-10-08T19:33:58.000+0300"/>
    <s v="GR,GR_Early_A,GR_Early_B,IRM:PI27S01_start,IRM:PI27S03_end,LT_BRANCH,MVP,REGISTRATION,TshirtSize_M,pi26_candidate,pi27_candidate,pi27_p1,ready"/>
    <s v="3.0.0"/>
    <s v="Party Identifiers - Country parameter and Validations "/>
    <s v="As a revenue officer to define the country code per Identifier. _x000d__x000a__x000d__x000a_*Functional Requirements*_x000d__x000a_ * User has available in Party Identifiers a country cl field, to define the country that this Identifier is related with_x000d__x000a_ ** Field is optional and Values are flagged by countries cl in a way that we can have an id of same type per country (e.g. vat per country) or not _x000d__x000a_ * Validations for uniqueness should include country parameter as well.  (e.g., one per id +country + party type + validity period)  _x000d__x000a_ * Country value is visible in Party identifiers records_x000d__x000a_ * Country value is visible in Party Role eligible identifiers records. _x000d__x000a_ * Search_x000d__x000a_ ** Be able to search Parties using country of Identifier (extend [https://jira.intrasoft-intl.com/browse/IRM-26772] ) _x000d__x000a_ ** Be able to search Party roles  using country of Identifier_x000d__x000a__x000d__x000a_ _x000d__x000a__x000d__x000a_*Documentation*_x000d__x000a_Document all the above adjustments. _x000d__x000a__x000d__x000a_ _x000d__x000a__x000d__x000a_*Non functional requirements*_x000d__x000a_Performance , Security, Accessibility, Usability  DODs should be fulfilled. "/>
    <s v="-"/>
    <s v="# User has available in Party Identifiers a country cl field, to define the country that this Identifier is related with. Field is optional and Values are sourced by countries cl_x000d__x000a_ # Country value is visible in Party identifiers records_x000d__x000a_ # Country value is visible in Party Role eligible identifiers records. _x000d__x000a_ # Be able to search Parties using country of Identifier (extend [https://jira.intrasoft-intl.com/browse/IRM-26772] ) _x000d__x000a_ # Be able to search Party roles  using country of Identifier"/>
  </r>
  <r>
    <s v="IRM-30362"/>
    <x v="2"/>
    <x v="5"/>
    <s v="Taxpayer Accounting Enhancements"/>
    <s v="GL decisions table - Ensure extensibility and high volume support of decisions /Functionality &amp; Reference Implementation"/>
    <s v="Waiting Analysis Approval"/>
    <n v="533.29999999999995"/>
    <s v="GRC"/>
    <x v="2"/>
    <x v="8"/>
    <s v="p3"/>
    <s v="2025-10-08T19:18:04.000+0300"/>
    <s v="GR,TAXPAYER_ACCOUNTING,TshirtSize_XL,pi28_candidate,pi28_p3"/>
    <m/>
    <s v="GL decisions table - Ensure extensibility and high volume support of decisions /Functionality &amp; Reference Implementation"/>
    <s v="As an administrator responsible for configuring the GL Decision Table (Accountant table), iI need to support the extensibility of the solution. _x000d__x000a_I need to introduce additional parameters that control how GL accounts are split across multiple files or tables. This is required to support very high volumes of decision lines and complex business rules._x000d__x000a_I need to allow custom adapters to be used on how rules are created and selected to generate journal entries. _x000d__x000a__x000d__x000a_These parameters will allow the system to efficiently handle hundreds of special cases, reduce the size and complexity of individual GL decision tables, and improve maintainability by splitting configurations into multiple, logically grouped records. _x000d__x000a__x000d__x000a_A realistic number of GL decision lines with the assumption that legacy GLs will be removed from time to time, is 200.000 lines_x000d__x000a__x000d__x000a_ _x000d__x000a__x000d__x000a_*Functional Requirements* _x000d__x000a__x000d__x000a__x000d__x000a_+*1.* Some suggestions on how to support high volumes of rules:+ _x000d__x000a__x000d__x000a_*A) GL Decision Line Volume Support*_x000d__x000a_ * Decision rule sheets must support modern XLSX row limits (1,048,576+ rows), not legacy XLS limits (65,536 rows)._x000d__x000a_ * The system should support the use of multiple decision lines per transaction (multi-lines), where applicable._x000d__x000a__x000d__x000a_*B) Split GL Decision Tables Across Multiple Sheets or Files*_x000d__x000a_ * As an admin/configurator, I must be able to define and use more than one spreadsheet or files for GL Decision Tables._x000d__x000a_ * Splitting must be rule-driven and configurable._x000d__x000a__x000d__x000a_*C) Rule Evaluation Mechanism*_x000d__x000a__x000d__x000a_The system must determine which spreadsheet(s) to read based on configured split rules._x000d__x000a_One FT may require reading:_x000d__x000a__x000d__x000a_A single sheet, or Multiple sheets, depending on customer-defined configuration._x000d__x000a_Rule evaluation must be deterministic and transparent (traceable which sheets were evaluated)._x000d__x000a__x000d__x000a_ _x000d__x000a__x000d__x000a_*D)   Reference Implementation Split Strategies (Examples)*_x000d__x000a_ * The system should support splitting GL decision tables based on configurable parameters, such as FT Origin, RTR relation with Claimants etc: _x000d__x000a_ ** Segment type of Origin  of Financial transactions (ft_origin_cl) , splitting spreadsheets for Bill segments, Payment segments, Allocation Segments. _x000d__x000a_One sheet for Segment type = Bill segment, one for Payment Segments, one Allocation Segments_x000d__x000a_ ** If Claimant related (if the revenue type registration is related to a claimant) _x000d__x000a_Use a dedicated spreadsheet containing claimant-specific GL mappings._x000d__x000a_i.e., If a revenue type is related to a specific claimant, the system reads only the claimant-specific sheet._x000d__x000a_ ** The revenue type, Domain_x000d__x000a_Certification-related mappings in one sheet. _x000d__x000a_All other revenue/tax types in separate sheets._x000d__x000a_Additional Parameters as reference implementation in GL Decision Table [https://jira.intrasoft-intl.com/browse/IRM-37721] _x000d__x000a_ ** Considerations : Customers may also add a rule, to read for every FT,  2 or more sheets,  as the rules sheet may split per Ledger.   (The system reads from two or more sheets per FT, e.g. one per Ledger.) _x000d__x000a_Other cases may include parameters to split on segment type category/subcategory or revenue type details and some of these details may be also captured in data areas._x000d__x000a__x000d__x000a__x000d__x000a_+2. Expandability+_x000d__x000a__x000d__x000a_*E) Customers are able to use custom in process implementation*_x000d__x000a_Be able to adjust a custom implementation in process to run in order  to create journal entries. Interface (as in allocation) to feed the results in Solon Journal entries_x000d__x000a__x000d__x000a_ _x000d__x000a__x000d__x000a_*Documentation*_x000d__x000a__x000d__x000a_All configuration options, split strategies, and rule evaluation logic must be fully documented._x000d__x000a__x000d__x000a_Documentation must include:_x000d__x000a_ * Usage and Configuration examples_x000d__x000a_ * Reference implementations_x000d__x000a_ * Operational guidelines , Performance considerations_x000d__x000a__x000d__x000a_*Non functional requirements*_x000d__x000a__x000d__x000a_The solution must maintain or improve the product’s:_x000d__x000a__x000d__x000a_*Performance* – large datasets and multi-sheet evaluation must not degrade processing times_x000d__x000a_*Security* – no exposure of sensitive configuration data_x000d__x000a_*Accessibility* – configuration screens and documentation must remain accessible_x000d__x000a_*Usability* – splitting logic must be understandable and maintainable by admins_x000d__x000a_Additionally:_x000d__x000a_The team must collaborate with domain specialists to validate the above._x000d__x000a__x000d__x000a_All Definition of Done ({*}DoD{*}) criteria must be met."/>
    <s v="By enabling configurable splitting of GL Decision Tables across multiple rule-based spreadsheets, administrators can manage high-volume and complex accounting rules more efficiently. This reduces configuration errors, improves performance for large datasets, simplifies maintenance, and allows customers to scale GL logic without hitting structural or technical limits."/>
    <s v="*A) GL Decision Line Volume Support*_x000d__x000a_ * Decision rule sheets must support modern XLSX row limits (1,048,576+ rows), not legacy XLS limits (65,536 rows)._x000d__x000a__x000d__x000a_*B) Split GL Decision Tables Across Multiple Sheets or Files*_x000d__x000a_ * As an admin/configurator, I must be able to define and use more than one spreadsheet or files for GL Decision Tables._x000d__x000a_ * Splitting must be rule-driven and configurable._x000d__x000a__x000d__x000a_*C) Rule Evaluation Mechanism*_x000d__x000a__x000d__x000a_The system must determine which spreadsheet(s) or file(s) to read based on configured split rules._x000d__x000a__x000d__x000a_*D)   Reference Implementation Split Strategies (Examples)*_x000d__x000a_as described in functional requirements_x000d__x000a__x000d__x000a_*E) Customers are able to use custom in process implementation*_x000d__x000a_be able to adjust a custom implementation in process to run in order  to create journal entries."/>
  </r>
  <r>
    <s v="IRM-30360"/>
    <x v="0"/>
    <x v="8"/>
    <s v="Security Enhancements"/>
    <s v="Data visibility permissions / Row level access, per hierarchical level of users in teams"/>
    <s v="To Do"/>
    <n v="440"/>
    <s v="GRC"/>
    <x v="2"/>
    <x v="54"/>
    <s v="p1"/>
    <s v="2025-10-08T18:52:05.000+0300"/>
    <s v="C1,GR,MVP,ORGANIZATIONAL_STRUCTURE,TshirtSize_XL,pi27_candidate,pi29_candidate,pi29_p1"/>
    <m/>
    <s v="Data visibility permissions / Row level access, per hierarchical level of users in teams"/>
    <s v="As an admin I need to reassure that permissions of some of the system records are assigned hierarchical. _x000d__x000a__x000d__x000a_In system Organizational Hierarchy will be implemented via Organizational Units, where a permission level role is assigned. _x000d__x000a__x000d__x000a_The row level security will initially define the restrictions on records visibility. The hierarchical permissions will now grant permissions when restricted by row level. _x000d__x000a__x000d__x000a_*Introduction*_x000d__x000a__x000d__x000a_The hierarchy is expected to be implemented introducing in higher levels leaders that to get leader permissions should be flagged as &quot;Task Assigner &quot; (It is permitted to add members but permissions should  be defined) _x000d__x000a_Higher levels may have visibility permissions to records of the defined types  of the lower records of the same branch. Will not have access to the other branched unless records are publicly visible. _x000d__x000a__x000d__x000a_Note that some of the below permissions, can be achieved by OPA rules in row level security.  _x000d__x000a_!image-2025-10-09-19-58-53-208.png|width=292,height=349!_x000d__x000a__x000d__x000a_ _x000d__x000a__x000d__x000a_ _x000d__x000a__x000d__x000a_*Functional Requirements*_x000d__x000a__x000d__x000a_While adding users under Organization units,  the permissions managed in hierarchy level should be defined. _x000d__x000a_ * *Entity/Record types  to be affected Hierarchically by Org Units :*_x000d__x000a_ ** Time off requests : Permissions on CRUD, Assignments, Approvals based on user's Organization for Time Off requests_x000d__x000a_ ** Human Task (Assignments ):  Permission to Assign _x000d__x000a_ ** Cases (Assignments ):  Permission to Assign _x000d__x000a_ ** Users (Visibility)  : visibility of details _x000d__x000a_ ** Resource Calendars : Permissions to see assigned calendar details _x000d__x000a__x000d__x000a_ * *Default Visibility &amp; Ownerships*_x000d__x000a_Owner/Mine  : I am assigner or the user that represents this record_x000d__x000a_Manager: I am in higher hierarchy &quot;IS HEAD&quot;_x000d__x000a_ ** The above users (owner, manager) gain by default read access to records._x000d__x000a_ ** i.e. per entity: _x000d__x000a_Human Tasks, Cases :  a) Assigned to Human task or b) if unassigned , eligible user or manager of eligible user_x000d__x000a_User : User + Manager_x000d__x000a_Resource Calendars : Assigned user  + Manager_x000d__x000a_Time off requests : Requestor /User  + Manager_x000d__x000a_ ** The users not assigned to any category does not have visibility to records. _x000d__x000a__x000d__x000a_ * *Sharing Assignments Permissions per Hierarchy levels per Organizational Level* **_x000d__x000a_ ** Lower level same branch -&gt; permissions  for the users assigned below in hierarchy_x000d__x000a_ ** Same level same branch  -&gt; permissions  for the users assigned in same level of hierarchy_x000d__x000a_ ** Higher level same branch or top level -&gt; permissions  for the users assigned higher in hierarchy_x000d__x000a_ ** Same level Different branch_x000d__x000a_ ** Higher level Different branch or top level_x000d__x000a_ ** Lower level Different branch _x000d__x000a_ ** Mine - see above_x000d__x000a_ ** Admin : a special permission to see and modify all_x000d__x000a_ ** Permissions may be combined if user is assigned to several org units _x000d__x000a_ * *Permissions* _x000d__x000a_ ** *Read* Entity type records , Select Record type (e.g. Time Off requests)  /  *DEFAULT PERMISSIONS when IS HEAD*_x000d__x000a_ ** *Assign* Entity type records , Select Record type (e.g. Time Off requests)_x000d__x000a_ ** *Approve* Entity type records , Select Record type (e.g. Time Off requests)_x000d__x000a_ ** *Edit* Entity type records , Select Record type (e.g. Time Off requests)_x000d__x000a_ ** *Cancel* Entity type records , Select Record type (e.g. Time Off requests)_x000d__x000a_ ** *Delegate Tasks* Entity type records , Select Record type (e.g. Time Off requests)_x000d__x000a__x000d__x000a_ _x000d__x000a__x000d__x000a_*Examples :* _x000d__x000a__x000d__x000a_if the categories are like that and should be combined in a matrix_x000d__x000a_|*Hierarchy level Permissions Editability* _x000d__x000a_*(in Organizational units)*|*Define related entity*| |_x000d__x000a_|Read  per Entity type records|Select Record type (e.g. Time Off requests)  / DEFAULT PERMISSIONS if IS HEAD| |_x000d__x000a_|Assign  per Entity type records|Select Record type (e.g. Time Off requests , Human Tasks and Cases Assignments)| |_x000d__x000a_|Approve  per Entity type records|Select Record type (e.g. Time Off requests)| |_x000d__x000a_|Edit  per Entity type records|Select Record type (e.g. Time Off requests)| |_x000d__x000a_|Cancel  per Entity type records|Select Record type (e.g. Time Off requests)| |_x000d__x000a_|Delegate Tasks per Entity type records|Select Record type (e.g. Time Off requests)| |_x000d__x000a_| | | |_x000d__x000a_| | | |_x000d__x000a_|*Task Assign allowed level*|*Hierarchy sharing Task Assignment Permission (in Organizational units)*|{*}Only if head?{*}{*}{{*}}|_x000d__x000a_|Lower level same branch_x000d__x000a_i.e., permissions  for the users assigned below in hierarchy|Select Record type  &quot;Task Assign&quot; or &quot;Time off requests&quot;|&lt;define&gt;|_x000d__x000a_|Same level same branch_x000d__x000a_i.e., permissions  for the users assigned in same level of hierarchy|Select Record type &quot;Task Assign&quot; or &quot;Time off requests&quot;| |_x000d__x000a_|Higher level same branch (one above plus is head = my manager)  or top level_x000d__x000a_i.e., permissions  for the users assigned higher in hierarchy|Select Record type &quot;Task Assign&quot; or &quot;Time off requests&quot;|&lt;define&gt;|_x000d__x000a_|Same level Different branch|Select Record type &quot;Task Assign&quot; or &quot;Time off requests&quot;| |_x000d__x000a_|Higher level Different branch or top level|Select Record type &quot;Task Assign&quot; or &quot;Time off requests&quot;|&lt;define&gt;|_x000d__x000a_|Lower level Different branch |Select Record type &quot;Task Assign&quot; or &quot;Time off requests&quot;|&lt;define&gt;|_x000d__x000a_|Mine (i.e., I am the user ID or I am an assigned user - see above notes in feature) |Select Record type &quot;Task Assign&quot; or &quot;Time off requests&quot;| |_x000d__x000a_|Admin  (can see all, modify all)|Select Record type &quot;Task Assign&quot; or &quot;Time off requests&quot;| |_x000d__x000a__x000d__x000a_ _x000d__x000a__x000d__x000a_i.e., we need to define were needed : _x000d__x000a_ * _x000d__x000a_ ** *Sharing Assignments Permissions per Hierarchy levels per Organizational Level :* _x000d__x000a_ ***  &quot;&lt;Task&gt; Assign&quot; in Lower level same branch / *DEFAULT PERMISSIONS when IS HEAD*_x000d__x000a_ ***  &quot;&lt;Task&gt; Assign&quot; in Same level same branch_x000d__x000a_ ***  &quot;&lt;Task&gt; Assign&quot; only mine_x000d__x000a_ *** ... _x000d__x000a_ ** *Sharing Assignments Permissions per Hierarchy levels per Organizational Level  :* _x000d__x000a_ ***  &quot;Time off requests&quot; in Lower level same branch / *DEFAULT PERMISSIONS when IS HEAD*_x000d__x000a_ ***  &quot;Time off requests&quot; in Same level same branch _x000d__x000a_ ***  &quot;Time off requests&quot; in Higher level same branch or top level_x000d__x000a_ *** ... _x000d__x000a_ ***  &quot;Time off requests&quot; only mine_x000d__x000a_ ***  &quot;Time off requests&quot; Admin (can see all, modify all)_x000d__x000a__x000d__x000a_ _x000d__x000a__x000d__x000a_ _x000d__x000a__x000d__x000a_*1)* If I need to be able a team to share *calendars* and basic details in same level only I need to _x000d__x000a_ _x000d__x000a_*Resource Calendar  :* _x000d__x000a_||Level||Permission||_x000d__x000a_|Same level same branch|Read |_x000d__x000a_|Lower level same branch|Read |_x000d__x000a_|Higher level same branch |Read |_x000d__x000a_|Mine|Read |_x000d__x000a_|Admin|All|_x000d__x000a__x000d__x000a_ _x000d__x000a__x000d__x000a_*User :*_x000d__x000a_||Level||Permission||_x000d__x000a_|Same level same branch|Read |_x000d__x000a_|Lower level same branch|Read |_x000d__x000a_|Higher level same branch |Read |_x000d__x000a_|Mine|Read |_x000d__x000a_|Admin|All|_x000d__x000a_| | |_x000d__x000a__x000d__x000a_*Time Off Requests :* _x000d__x000a_||Level||Permission||_x000d__x000a_|Same level same branch (same team)|Read |_x000d__x000a_|Lower level same branch - Not head (team)|Read |_x000d__x000a_|Lower level same branch  - IS HEAD (team)| Read|_x000d__x000a_|Higher level same branch - more than one level above Not head|Read|_x000d__x000a_|Higher level same branch - more than one level above is Head|Read|_x000d__x000a_|Higher level same branch /One level above  - IS HEAD (My manager) |Approve|_x000d__x000a_|Mine|Edit +  Cancel|_x000d__x000a_|Admin|All|_x000d__x000a_| | |_x000d__x000a__x000d__x000a_ _x000d__x000a__x000d__x000a_ _x000d__x000a__x000d__x000a_*2)* *Task* Assignments _x000d__x000a_ _x000d__x000a_*Human Tasks* _x000d__x000a_Same level same branch , Read _x000d__x000a_Lower level same branch  , Read _x000d__x000a_Higher level same branch  - (not head) , Read , Edit_x000d__x000a_Higher level same branch  - IS HEAD -   Assign, Delegate, Edit_x000d__x000a_Mine , Edit, Delegate_x000d__x000a_Admin, * all _x000d__x000a__x000d__x000a_ _x000d__x000a__x000d__x000a_*Cases*_x000d__x000a_Same level same branch , Read _x000d__x000a_Lower level same branch  , Read _x000d__x000a_Higher level same branch  - (not head) , Read , Edit_x000d__x000a_Higher level same branch  - IS HEAD -   Assign, Delegate, Edit_x000d__x000a_Mine , Edit, Delegate_x000d__x000a_Admin, * all _x000d__x000a_----_x000d__x000a_ _x000d__x000a__x000d__x000a_ _x000d__x000a__x000d__x000a_ _x000d__x000a__x000d__x000a_ "/>
    <s v="-"/>
    <s v="-"/>
  </r>
  <r>
    <s v="IRM-30358"/>
    <x v="0"/>
    <x v="2"/>
    <s v="Usability Enhancements"/>
    <s v="AI in SS"/>
    <s v="To Do"/>
    <n v="266.7"/>
    <s v="Other"/>
    <x v="1"/>
    <x v="12"/>
    <s v="p3"/>
    <s v="2025-10-08T18:33:27.000+0300"/>
    <s v="MVP,TAXPAYER_ASSISTANCE,TshirtSize_L"/>
    <m/>
    <s v="AI in SS"/>
    <s v="-  Search_x000d__x000a_ -- Autocomplete, suggestions, ranking, search relevant items, cross entity searching. _x000d__x000a_ - Navigation_x000d__x000a_ -- natural language navigation ,  suggest quick links on frequently used items, suggest next action, voice commands_x000d__x000a_ - SS: AI Assistant_x000d__x000a_ -- Support taxpayer to fill-in a form_x000d__x000a_ -- Suggest next step (e.g. submit new form, amend a form after marriage status update)_x000d__x000a_ -- Document management / ** classify PDFs or other files per period, or transaction type._x000d__x000a_ - SS:  Live support /BOTs _x000d__x000a_ -- Support taxpayer on actions /live support_x000d__x000a_ -- help agents to respond more quickly, automate responses where possible_x000d__x000a__x000d__x000a_ "/>
    <s v="-"/>
    <s v="-"/>
  </r>
  <r>
    <s v="IRM-30357"/>
    <x v="0"/>
    <x v="2"/>
    <s v="Usability Enhancements"/>
    <s v="AI in RM"/>
    <s v="To Do"/>
    <n v="433.3"/>
    <s v="Other"/>
    <x v="1"/>
    <x v="45"/>
    <s v="p3"/>
    <s v="2025-10-08T18:31:56.000+0300"/>
    <s v="MVP,TshirtSize_XL,USABILITY"/>
    <m/>
    <s v="AI in RM"/>
    <s v="- Search_x000d__x000a_ -- Autocomplete, suggestions, ranking, search relevant items, cross entity searching. _x000d__x000a_ - Navigation_x000d__x000a_ -- natural language navigation ,  suggest quick links on frequently used items, suggest next action, voice commands_x000d__x000a__x000d__x000a_ - RM  - Customer overview _x000d__x000a_ -- Notifications e.g most likely to delay filling obligations for...._x000d__x000a_ -- Suggest next actions_x000d__x000a_ -- Summarize taxpayer overview.  _x000d__x000a_ -- detect suspicious or incorrect patterns that rule-based logic might miss._x000d__x000a_ - RM - Document Management_x000d__x000a_ -- Document management /Classify documents sent as attachments or in any other ways by mapping them to the right taxpayer, period, or transaction types_x000d__x000a_ - RM - Support Reconciliations_x000d__x000a_ --  Time-consuming job of reconciliations may be supported  "/>
    <s v="-"/>
    <s v="-"/>
  </r>
  <r>
    <s v="IRM-30356"/>
    <x v="6"/>
    <x v="27"/>
    <s v="AEOI, ViDA &amp; Other Data Exchange"/>
    <s v="Vida PoC - Flow and example  integrations"/>
    <s v="To Do"/>
    <n v="800"/>
    <s v="GRC"/>
    <x v="1"/>
    <x v="49"/>
    <s v="p3"/>
    <s v="2025-10-08T18:12:26.000+0300"/>
    <s v="AEOI_VIDA,C1,DeScope_Candidate,GR,MVP,TshirtSize_XXL"/>
    <m/>
    <s v="Vida PoC - Flow and example  integrations"/>
    <s v="*FLOW :*_x000d__x000a__x000d__x000a_{color:#505f79}1. Invoice Creation (Seller ERP/Accounting System){color}_x000d__x000a_{color:#505f79}Seller generates invoice in EN 16931 compliant format (structured XML/UBL).{color}_x000d__x000a_{color:#505f79}Integration Needed: ERP/accounting system must be able to export EN 16931 e-invoic{color}es._x000d__x000a__x000d__x000a__2._ *Submission / Pre-Validation (National Digital Reporting System, DRR)*_x000d__x000a_Invoice data is sent electronically to the tax authority before being delivered to the buyer._x000d__x000a_Integration Options:  Direct API from ERP to tax authority system, or  PEPPOL Access Point that connects ERP  TO  tax authority network endpoint._x000d__x000a_Purpose: pre-validation and acknowledgment._x000d__x000a__x000d__x000a_*3. Validation by Tax Authority*_x000d__x000a_Tax authority checks: Invoice format (EN 16931 compliance) ,  VAT numbers and amounts ,  Business rules and optional risk checks_x000d__x000a_Outcome process: _x000d__x000a_Accepted: unique ID and timestamp assigned_x000d__x000a_Rejected : correction requested_x000d__x000a_Integration Needed: Validation engine integrated with DRR database &amp; ERP feedback mechanism._x000d__x000a__x000d__x000a_{color:#505f79}4.   Invoice Delivery to Buyer_x000d__x000a_Once validated, invoice is transmitted electronically to the buyer system (ERP or e-invoicing platform).{color}_x000d__x000a_{color:#505f79}Integration Needed: PEPPOL or other secure delivery channels to buyer system.{color}_x000d__x000a__x000d__x000a_*5. Storage and EU Data Exchange*_x000d__x000a_Tax authority stores invoice data in national database._x000d__x000a_For cross-border transactions, summary data or full invoices may be shared with EU Member States via VIES 2.0._x000d__x000a_Integrations Needed:   _x000d__x000a_National DB from and to  VIES 2.0 interface _x000d__x000a_Internal reporting / archival systems_x000d__x000a_Long-term *archive* of e-invoices, {*}logs{*}, and *declarations* / Security (data retention)_x000d__x000a_GDPR_x000d__x000a__x000d__x000a_*6. Reconciliation / VAT Return &amp; Compliance*_x000d__x000a_Invoice data is used to:_x000d__x000a_Auto-populate VAT returns for the taxpayer_x000d__x000a_Pre-fill VAT declarations in OSS/IOSS or national system /Extend OSS usage   (?) _x000d__x000a_Share summary data with EU authorities for cross-border reconciliation_x000d__x000a_Integration Needed:_x000d__x000a_DRR from/to VAT return processing system,_x000d__x000a_OSS/IOSS connectors_x000d__x000a_(Low- Optional) Payment &amp; Banking Interfaces to verify VAT collection_x000d__x000a__x000d__x000a_*7. Monitoring and Risk Analysis*_x000d__x000a_Real-time analytics for:  Cross-checking declarations , Fraud detection ,  Audit trails and compliance reporting_x000d__x000a_Integration Needed: DRR / national DB ↔ Analytics engines / Risk management platforms_x000d__x000a__x000d__x000a_ _x000d__x000a__x000d__x000a_Other: _x000d__x000a_Make sure the exceptions of any failures are logged _x000d__x000a__x000d__x000a__What is for revenue authority : a) Expand and consolidate systems like mydata (Greece) SDI (Italy) , SII (Spain) b) e-invoicing  integration, connection to VIES 2.0, e-invoicing support, c) New rules for e-Invoices, data retention, real-time reporting ,  d)  Interconnects ERP and e-Invoicing Providers with new APIs and infrastructures for real-time reporting , e) Data protection, auditing, traceability, data analytics, train personnel , specs, instructions, helpdesk.__x000d__x000a__x000d__x000a_ _x000d__x000a__x000d__x000a_– Additional_x000d__x000a_— data validation and enrichment engines for real-time submissions._x000d__x000a_— fraud-detection analytics and risk scoring models._x000d__x000a_— cross-matching of domestic vs. cross-border data (via VIES 2.0)._x000d__x000a_— dashboards and audit trails for inspectors and management."/>
    <s v="-"/>
    <s v="-"/>
  </r>
  <r>
    <s v="IRM-30334"/>
    <x v="1"/>
    <x v="3"/>
    <s v="Reference Implementation - PAYE"/>
    <s v="PIT  &amp;  Pay as you earn"/>
    <s v="To Do"/>
    <n v="140"/>
    <s v="GRC"/>
    <x v="1"/>
    <x v="47"/>
    <s v="p3"/>
    <s v="2025-10-08T14:16:26.000+0300"/>
    <s v="C1,GR,MVP,REGISTRATION,TshirtSize_M"/>
    <m/>
    <s v="PIT  &amp;  Pay as you earn"/>
    <s v=" _x000d__x000a__x000d__x000a_*A)  PIT  form (RM, ISS)*  prerequisites :  _x000d__x000a_ * _x000d__x000a_ ** [https://jira.intrasoft-intl.com/browse/IRM-16272]_x000d__x000a_ ** [https://jira.intrasoft-intl.com/browse/IRM-16273]_x000d__x000a_ ** [https://jira.intrasoft-intl.com/browse/IRM-15337]_x000d__x000a_ ** [https://jira.intrasoft-intl.com/browse/IRM-19256]_x000d__x000a__x000d__x000a_*B) Pay as you earn logic* _x000d__x000a_Reference Implementations including forms, calculations, demo data + possibly new entities (also included in registration new entities)_x000d__x000a_ * _x000d__x000a_ ** for 3rd parties / employer _x000d__x000a_ *** _x000d__x000a_ **** Create a new Form (or another solution )  for Tax Employee Services  (in GR one amount for all employees not drill down) /  Form for Yearly Payroll statement per employee (could be a log to each taxpayer with some details) to get the  amounts for the taxpayer  (withholding form) _x000d__x000a_ **** Demo data RT calendar and RT (preliminary and monthly collection) _x000d__x000a_ **** Calculations for estimations /Preliminary  tax assessments_x000d__x000a_ **** Payments per RTR _x000d__x000a_ **** Prepare the functionality to get  Amendments based on new calculations_x000d__x000a_ **** Payments reconciliation (what we have already) _x000d__x000a_ ** Taxpayer_x000d__x000a_ *** _x000d__x000a_ **** Capture the data per taxpayer (possibly new entity)_x000d__x000a_ **** Load taxes info in the PIT form for each taxpayer (Batch)_x000d__x000a_ **** Notifications for Amendments postdated updates-  if there has been a retrospective change in the data and parameters that affect the tax calculation (implemented as example in Municipality tax)_x000d__x000a__x000d__x000a_ - _x000d__x000a_ ** _x000d__x000a_ *** _x000d__x000a_ ---- SS :  Preliminary assessment  notice for Taxpayer_x000d__x000a_ ---- SS :  Prefilled PIT form  (see above) _x000d__x000a_ ---- SS : Taxpayer Objection to PIT_x000d__x000a__x000d__x000a_*C) Monthly and yearly Processing*_x000d__x000a_ - Perform a comprehensive processing of all parties/party roles once a month (monthly reconciliation) including complex calculation areas (e.g.  p&amp;I,  calculate balances, etc)._x000d__x000a_ - Perform comprehensive reconciliations in scheduled times for all taxpayers in the tax year at the time of the final tax assessment for several taxes."/>
    <s v="-"/>
    <s v="-"/>
  </r>
  <r>
    <s v="IRM-30255"/>
    <x v="0"/>
    <x v="1"/>
    <s v="Maintainability Enhancements"/>
    <s v="Support an AI-assisted JSON schema generation mechanism within Form Designer"/>
    <s v="Under Analysis"/>
    <n v="433.3"/>
    <s v="Other"/>
    <x v="1"/>
    <x v="45"/>
    <s v="p3"/>
    <s v="2025-10-06T17:39:10.000+0300"/>
    <s v="TshirtSize_XL"/>
    <m/>
    <s v="Support an AI-assisted JSON schema generation mechanism within Form Designer"/>
    <s v="As an admin, I should be able to use an AI-assisted JSON + UI schemas generation mechanism when using the form designer, so as to minimise complexity and error prone methods._x000d__x000a__x000d__x000a_*Introduction* _x000d__x000a__x000d__x000a_Adding an AI-assisted JSON schema generation mechanism within the Form Designer would significantly reduce complexity for administrators, developers, and integrators by automatically converting designed forms into standardized data structures._x000d__x000a__x000d__x000a_*Functional Requirement* _x000d__x000a__x000d__x000a_*&gt; AI Schema Translation*_x000d__x000a__x000d__x000a_Revenue Management shall automatically generate a JSON Schema representation for every saved or published form._x000d__x000a__x000d__x000a_Revenue Management shall use an AI model to infer correct JSON Schema types, structures, and validation constraints based on field definitions and properties from the form designer._x000d__x000a__x000d__x000a__Example:_ A “Date of Birth” field becomes {{{}{ &quot;type&quot;: &quot;string&quot;, &quot;format&quot;: &quot;date&quot; }{}}}._x000d__x000a__x000d__x000a_Revenue Management shall support bidirectional conversion, allowing import of JSON Schemas back into editable form layouts._x000d__x000a__x000d__x000a_The AI engine shall recognize conditional logic and field dependencies and express them in JSON Schema constructs (e.g., {{{}if/then/else{}}})._x000d__x000a__x000d__x000a_The AI engine shall automatically infer relationships between nested sections or tabs and map them as nested JSON objects._x000d__x000a__x000d__x000a_*&gt; Schema Optimization and Validation*_x000d__x000a__x000d__x000a_The AI engine shall validate generated JSON Schemas for compliance with JSON Schema Draft version specifications compatible with the one used in solon Tax revenue management at the time._x000d__x000a__x000d__x000a_Revenue Management shall flag inconsistencies or redundant structures detected during generation (e.g., duplicate field names, circular dependencies)._x000d__x000a__x000d__x000a_Revenue Management shall allow users to preview and manually fine-tune the generated JSON Schema before publishing._x000d__x000a__x000d__x000a_Revenue Management shall maintain version history for generated schemas aligned with form versions._x000d__x000a__x000d__x000a_*&gt; AI Learning and Context Awareness*_x000d__x000a__x000d__x000a_The AI engine shall learn from existing published forms and schemas to improve accuracy of future translations (e.g., reusing known field mappings)._x000d__x000a__x000d__x000a_The AI engine shall support domain-specific language understanding — for instance, recognizing that “Gross Income” or “Taxable Income” should be treated as numeric fields with precision settings._x000d__x000a__x000d__x000a_The AI shall support multilingual form labels, understanding that language differences should not affect schema consistency._x000d__x000a__x000d__x000a_*&gt; Integration and Export*_x000d__x000a__x000d__x000a_Revenue Management shall allow exporting the generated JSON Schema for use in external systems (e.g., data validation APIs or ETL processes)._x000d__x000a__x000d__x000a_Revenue Management shall expose a REST API endpoint to retrieve schema definitions programmatically by form name or version._x000d__x000a__x000d__x000a_The AI mechanism shall ensure backward compatibility between schema versions (e.g., mapping old field names to new ones if renamed)._x000d__x000a__x000d__x000a_*&gt; Security and Governance*_x000d__x000a__x000d__x000a_The AI mechanism shall not expose sensitive taxpayer data during schema generation or learning._x000d__x000a__x000d__x000a_Revenue Management shall record an audit log of AI actions (generation, corrections, user overrides)._x000d__x000a__x000d__x000a_Only users with specific roles can configure, view or export generated schemas."/>
    <s v="Reduce complexity for administrators, developers, and integrators by automatically converting designed forms into standardized data structures ie JSON schemas."/>
    <s v="h3. *AI Schema Generation*_x000d__x000a_ * Given a user has designed a Form, when they click &quot;Generate Schema&quot;, the system produces a valid JSON +UI Schema representing the form structure._x000d__x000a__x000d__x000a_ * When the form contains a numeric field “Annual Income,” the generated schema includes {{{}&quot;type&quot;: &quot;number&quot;{}}}._x000d__x000a__x000d__x000a_ * When a form field is marked as “Required,” the schema includes that field name in the {{&quot;required&quot;}} array._x000d__x000a__x000d__x000a_h3. *Conditional Logic Representation*_x000d__x000a_ * When the form contains a rule “Show ‘Foreign Income’ when ‘Resident Status = Non-Resident’,” the generated JSON Schema includes a corresponding {{if/then}} structure._x000d__x000a__x000d__x000a_ * When a dependency exists between “Claim Deductions” and “Deduction Amount,” the generated schema enforces it through conditional validation._x000d__x000a__x000d__x000a_h3. *Validation and Consistency*_x000d__x000a_ * When the AI generates the schema, it passes JSON Schema validation (Draft 7 or newer)._x000d__x000a__x000d__x000a_ * When duplicate field names are detected, the system highlights them and prompts the user to rename or merge fields._x000d__x000a__x000d__x000a_ * When I modify a field (e.g., rename “Annual Income” → “Gross Income”), the system updates the schema and retains the mapping history. _x000d__x000a__x000d__x000a_h3. *Optimization and Preview*_x000d__x000a_ * When the schema is generated, I can open a preview tab showing a formatted JSON Schema view._x000d__x000a__x000d__x000a_ * When I click “Optimize,” the AI suggests merging similar or redundant fields (e.g., “Tax Paid” vs. “Total Tax”)._x000d__x000a__x000d__x000a_ * When I accept AI suggestions, the schema regenerates with optimized structure and shows differences from the previous version._x000d__x000a__x000d__x000a_h3. *Versioning and Export*_x000d__x000a_ * When a new version of the form is published, a corresponding version of the JSON Schema is created with metadata (version number, creator, timestamp)._x000d__x000a__x000d__x000a_ * When I export the schema via API or download, it includes all field definitions and constraints in JSON format._x000d__x000a__x000d__x000a_h3. *Security and Audit*_x000d__x000a_ * When the AI engine generates or modifies a schema, the system logs the event (user, time, form version, changes)._x000d__x000a__x000d__x000a_ * When I attempt to export the schema without the proper role, I receive an “Access Denied” message."/>
  </r>
  <r>
    <s v="IRM-29998"/>
    <x v="5"/>
    <x v="28"/>
    <s v="Operational Reporting Enhancements"/>
    <s v="Automatically distribute Operational Report in list of recipients"/>
    <s v="Under Analysis"/>
    <n v="240"/>
    <s v="GRC"/>
    <x v="2"/>
    <x v="55"/>
    <s v="p3"/>
    <s v="2025-09-29T09:33:08.000+0300"/>
    <s v="C1,GR,MVP,OPERATIONAL_REPORTING,TshirtSize_L,nice-to-have,pi26_candidate,pi27_candidate"/>
    <m/>
    <s v="Automatically distribute Operational Report in list of recipients"/>
    <s v="As an admin or delivery team member, I need to be able to generate Operational Reports setting specific parameters (as per existing reports design)  and automatically schedule its distribution to a list of recipients._x000d__x000a__x000d__x000a_*Introduction* _x000d__x000a__x000d__x000a_As per [https://jira.intrasoft-intl.com/browse/PSD-12025] , and https://jira.intrasoft-intl.com/browse/IRM-28177  we will need to define as base the scheduled operational reports process. _x000d__x000a__x000d__x000a_+References:+_x000d__x000a_It is assumed that in Batch applications there is already available the way for admin to flexibly define parameters per batch process. [https://jira.intrasoft-intl.com/browse/IRM-26543]  _x000d__x000a_Operational reports:  [https://jira.intrasoft-intl.com/browse/IRM-27576] _x000d__x000a_Scheduled Process :  [https://jira.intrasoft-intl.com/browse/IRM-13558] , Scheduled Process Category:  OPERATIONAL_REPORT_x000d__x000a_Process as Base (in product) : https://jira.intrasoft-intl.com/browse/IRM-28177 _x000d__x000a__x000d__x000a_Implementation many be based on https://jira.intrasoft-intl.com/browse/IRM-26951 , https://jira.intrasoft-intl.com/browse/IRM-766 _x000d__x000a__x000d__x000a_+New requirements:+ _x000d__x000a_A list of recipients may be selected. _x000d__x000a__x000d__x000a_ _x000d__x000a__x000d__x000a_*Functional requirement*_x000d__x000a_ * Batch process requires as additional  parameters_x000d__x000a_ ** A party or Optionally : the recipients list as another parameter (e.g.  in a csv file)  _x000d__x000a_ ** User can select a list as per https://jira.intrasoft-intl.com/browse/IRM-766 _x000d__x000a_ * Report will be sent as email to all recipients listed. _x000d__x000a__x000d__x000a__x000d__x000a_ "/>
    <s v="By introducing a Batch Process for Scheduled Reports Generation and Distribution, administrators and users will gain the ability to automatically generate and distribute any BASE operational report (e.g., Statement of Accounts, Returned Payouts, Intercompany Incoming Payments, Payouts, Payments for Manual Distribution, Accounts Receivable Ageing)."/>
    <s v="* Report can be scheduled to delivered to many recipients using a list_x000d__x000a_ * Batch process requires the list of recipients_x000d__x000a_ * Report can be sent to many recipients "/>
  </r>
  <r>
    <s v="IRM-29710"/>
    <x v="0"/>
    <x v="8"/>
    <s v="Security Enhancements"/>
    <s v="Support row level security  - Allowed Operations per Operational Report Type"/>
    <s v="Under Validation"/>
    <n v="106.7"/>
    <s v="GRC"/>
    <x v="3"/>
    <x v="21"/>
    <s v="p2"/>
    <s v="2025-09-16T16:04:26.000+0300"/>
    <s v="GR,GR_Early_D,IRM:PI27S01_start,IRM:PI27S02_end,MVP,SECURITY,TshirtSize_M,UBM,not_ready,pi26_candidate,pi27_candidate,pi27_p2"/>
    <s v="3.0.0"/>
    <s v="Support row level security  - Allowed Operations per Operational Report Type"/>
    <s v="As an admin I need to define permissions per Operational Report Type in order to allow or prohibit the usage and the generation of report types to users. _x000d__x000a_Some reports should not be visible to certain users because:_x000d__x000a_a) Reports should be grouped or restricted based on user groups (e.g., by department)._x000d__x000a_b) Removing non-useful options improves the user experience by presenting only valid and relevant reports._x000d__x000a_c) Certain reports (e.g., aggregated reports) may be inappropriate when user access to parties is restricted._x000d__x000a_d) Some detailed reports should not be widely visible, especially when RLS applies but FLS does not._x000d__x000a__x000d__x000a_*Introduction*_x000d__x000a_In User access groups we support Allowed operations to drill down the permissions of data to several entities types. _x000d__x000a__Contractual requirement :&quot;In the software, it should be possible to save the report templates in a local or central library, where different permission levels control which templates are available to which agent.​&quot;__x000d__x000a__x000d__x000a_*Functional Requirements*_x000d__x000a_ * Admins can select *Allowed  Operations for Operational Report Types* within the Allowed Operations section of User Access Groups. Admins can add and remove report types and relevant operations. _x000d__x000a_ * Changes to permissions take effect immediately without requiring system restart._x000d__x000a__x000d__x000a_ * Only reports matching the assigned permissions will be visible and available for generation by users in the group._x000d__x000a_ * If a restricted report is accessed directly (e.g., via link or API), the system must block access and return an appropriate error._x000d__x000a__x000d__x000a_Considerations: Performance behavior _x000d__x000a__x000d__x000a_ _x000d__x000a__x000d__x000a_*Documentation*_x000d__x000a_Document all the above adjustments. _x000d__x000a__x000d__x000a_ _x000d__x000a__x000d__x000a_*Non functional requirements*_x000d__x000a_Performance , Security, Accessibility, Usability  DODs should be fulfilled. _x000d__x000a__x000d__x000a_ _x000d__x000a__x000d__x000a_*Notes:* _x000d__x000a_The Audit logs for such entities will be managed by a different feature. "/>
    <s v="By enabling administrators to define permissions per {*}Operational Report Type{*}, the system will:_x000d__x000a_ * *Improve user experience* by removing irrelevant or non-useful reports, reducing clutter and making valid options easier to find._x000d__x000a__x000d__x000a_ * *Increase security and compliance* by ensuring sensitive or aggregated reports are only visible to authorized groups_x000d__x000a__x000d__x000a_ * *Support organizational governance* by allowing reports to be managed and grouped by departments, roles, or other access structures._x000d__x000a__x000d__x000a_ * *Fulfill contractual obligations* by providing permission-controlled access to report templates stored in local or central libraries._x000d__x000a__x000d__x000a_ * *Enhance accountability* by logging all permission changes and attempted unauthorized access in the audit trail._x000d__x000a__x000d__x000a_The expected outcome is a *more secure, compliant, and user-friendly reporting environment* that aligns with both business requirements and regulatory expectations."/>
    <s v="* Admins can select *Allowed Operational Report Types* within the Allowed Operations section of User Access Groups. Admins can add and remove report types and relevant operations_x000d__x000a_ * Changes to permissions take effect immediately without requiring system restart._x000d__x000a_ * Users only see reports of the report types are permitted to._x000d__x000a_ * If a restricted report is accessed directly (e.g., via link or API), the system must block access and return an appropriate error."/>
  </r>
  <r>
    <s v="IRM-29663"/>
    <x v="0"/>
    <x v="13"/>
    <s v="Traceability Enhancements"/>
    <s v="Solon Tax logging enhancements"/>
    <s v="In Design"/>
    <n v="264"/>
    <s v="GRC"/>
    <x v="0"/>
    <x v="27"/>
    <s v="p1"/>
    <s v="2025-09-15T10:21:49.000+0300"/>
    <s v="AuditLog,GR,MVP,TRACEBILITY,TshirtSize_L,pi27_candidate,pi28_candidate,pi28_p1"/>
    <m/>
    <s v="Solon Tax logging enhancements"/>
    <s v="Solon Tax needs to provide additional logging capabilities covering the following areas:_x000d__x000a__x000d__x000a_ _x000d__x000a__x000d__x000a_DB queries:_x000d__x000a_ * Log prepared statements before execution_x000d__x000a_ * Log row query result (only in debug mode)_x000d__x000a__x000d__x000a_Business logic_x000d__x000a_ * Create aspect for logging Service layer execution._x000d__x000a__x000d__x000a_Masked data:_x000d__x000a_ *  Evaluate and apply if feasible a configurable log sanitizer that can sanitize log (e.g. mask sensitive data) by a configurable list, similar to  [https://www.elastic.co/docs/reference/apm/agents/java/config-core#:~:text=ELASTIC_APM_LONG_FIELD_MAX_LENGTH-,sanitize_field_names%20(security),www%2Dform%2Durlencoded%20data]._x000d__x000a__x000d__x000a_ "/>
    <s v="Solon Tax should have the configurabity for very granular application logs for debugging purposes."/>
    <s v="AC1: Items in description are met."/>
  </r>
  <r>
    <s v="IRM-29547"/>
    <x v="0"/>
    <x v="1"/>
    <s v="Maintainability Enhancements"/>
    <s v="Allowed Unicode characters to be used in 'Code' fields of configuration records (Registration/Taxpayer Accounting)"/>
    <s v="Implemented"/>
    <n v="213.3"/>
    <s v="GRC"/>
    <x v="3"/>
    <x v="1"/>
    <s v="p3"/>
    <s v="2025-09-10T11:28:54.000+0300"/>
    <s v="C1,GR,GR_Early_D,IRM:PI2705_end,IRM:PI27S04_start,LOCALIZATION,MVP,No_Doc,TshirtSize_L,irm_pd_pdm_agreed,pi27_candidate,pi27_p3"/>
    <s v="3.0.0"/>
    <s v="Allowed Unicode characters to be used in 'Code' fields of configuration records (Registration/Taxpayer Accounting)"/>
    <s v="As an admin I need to be able to use several unicode characters in code fields that can be technically allowed to be used as to explain in code in localized text the short configuration name. _x000d__x000a__x000d__x000a_ _x000d__x000a__x000d__x000a_*Functional Requirements* _x000d__x000a__x000d__x000a_(BE &amp; UI)_x000d__x000a_ * Defined Whitelist for &quot;Code&quot; fields of configuration entity types : _x000d__x000a_*A)* A–Z, a–z, 0–9  _x000d__x000a_*B)* - (dash), _ (underscore),. (dot)_x000d__x000a_*C)*  Unicode characters for multilingual/localized alphabets,  e.g. ,  Greek , Swedish, Lithuanian, Spanish, Italian, French, Chinese.... _x000d__x000a_ * Apply the validation to all Solon Tax Config entity types. If invalid characters are added validations will be thrown. _x000d__x000a__x000d__x000a_ _x000d__x000a__x000d__x000a_*Documentation*_x000d__x000a_Document all the above adjustments. _x000d__x000a__x000d__x000a_*Non functional requirements*_x000d__x000a_It is expected team to get aligned with respective teams and reassure that is not creating issues or the related NFRs will be tested :_x000d__x000a_Performance , Security, Accessibility, Usability _x000d__x000a_DODs should be fulfilled._x000d__x000a_----_x000d__x000a_Notes: _x000d__x000a_ - Some config types are completed because of the linked bugs_x000d__x000a_ - By Sec team : Since Unicode will be supported, the validation has to be done after normalization of Unicode characters. Otherwise, special characters could still be accepted. For example ‘\u003C’ will be converted to the less than sign ‘&lt;’._x000d__x000a_ - The  “ “space , “:” (colon) will not be included because they may produce issues with data exports/migrations  and formatting. Other characters were excluded/avoided because of their usage in systems and difficulties that may produce while not be necessary, or because of security considerations._x000d__x000a_ - Assumption : Records with Unicode Code characters are visible in UI properly, and  are searchable_x000d__x000a__x000d__x000a_ "/>
    <s v="By enabling the use of selected Unicode characters in code fields, administrators will be able to create short configuration names that are meaningful in localized contexts (e.g., Greek, Swedish, Chinese). This will:_x000d__x000a_-Improve clarity and usability of configuration codes for non-English-speaking users._x000d__x000a_-Reduce reliance on English-only abbreviations that may be ambiguous or misleading in local markets._x000d__x000a_-Support Admin - Enhance adoption and accuracy by allowing admins to align configuration names with local terminology._x000d__x000a_-Maintain system consistency and integrity by enforcing a defined whitelist of allowed characters across all Solon Tax configuration entity types."/>
    <s v="* Apply the validation for the unicode whitelist of allowed characters for Code fields,  to all Solon Tax Config entity types_x000d__x000a__x000d__x000a_ * In scope configuration entities included in:_x000d__x000a__x000d__x000a_irm_registration_db_x000d__x000a__x000d__x000a_irm_taxpayeraccounting_db"/>
  </r>
  <r>
    <s v="IRM-29513"/>
    <x v="4"/>
    <x v="29"/>
    <s v="Reference Implementation - Application Processes"/>
    <s v="Support four-eye principle in Solon Tax - Approval Workflow"/>
    <s v="Waiting Analysis Approval"/>
    <n v="140"/>
    <s v="GRC"/>
    <x v="2"/>
    <x v="47"/>
    <s v="p3"/>
    <s v="2025-09-09T15:11:19.000+0300"/>
    <s v="Contractual,GR,SKV,TshirtSize_M,UBM,pi26_candidate,pi27_candidate,pi28_candidate,pi28_p3"/>
    <m/>
    <s v="Support four-eye principle in Solon Tax - Approval Workflow"/>
    <s v="As an IRM Admin, I should be able to configure workflows, that enforce four-eyes approval within business processes, ensuring that one user initiates an action and a different user validates and approves it before completion._x000d__x000a__x000d__x000a_*Introduction* _x000d__x000a__x000d__x000a_This feature is a result of PSD-12702 for UBM project, however it is anticipated that all implementations may use this functionality to cover different business cases. As it is described in the related PSD: _x000d__x000a__x000d__x000a_At present, SOLON does not support double attestation (four eye principle) out of the box in human case management, which conflicts with the following requirement specified in SKV's contract (applicable to UBM as well):_x000d__x000a__x000d__x000a_ _x000d__x000a_|​3.2.2.2.1.16|​Functional|​Case Management|​In the software, it shall be possible to configure the actions that require verification (double attestation) by two different case workers during manual handling, including at least:_x000d__x000a_ - Manual registration of debiting/crediting_x000d__x000a_ - Manual modification of a transaction on a tax account_x000d__x000a_ - Manual administration of Swedish and foreign disbursement accounts_x000d__x000a_ - Manual registration and modification of a disbursement block​|​LKVFM-2.9.306|_x000d__x000a__x000d__x000a_ _x000d__x000a__x000d__x000a_UBM need the possibility to employ double attestation on human tasks, such that a change affected by the completion of the case is verified by at least 2 distinct case workers. This is for example needed for imposing sanctions on either individual people, credit institutions, or countries, where one case worker would create the case, and another one would validate the right target is being sanctioned, approve the case, turn it back to the initiator, who could then complete the task and thereby enforce the sanction. A rejection should naturally not enforce anything, but require a change in the human task from the initiator, or closing of the case altogether. _x000d__x000a__x000d__x000a_Dependent user stories for sanctions are attached as a PNG. They are not yet created as User Stories in toolkit. Furthermore manual registration of payment methods (e.g. for international bank accounts) require double attestation. It is expected that more functional cases that require double attestation will appear. As such, a generic approach to employing double attestation on a human task flow is needed._x000d__x000a__x000d__x000a_A workaround is being worked on that could support double attestation, but is a process that requires a lot of manual setup (see attachment). If SOLON had the capability of staging a change for entities in a human task (without persisting it), waiting for either approval or rejection, the requirements for double attestation would be a simpler task to support. _x000d__x000a__x000d__x000a_*Functional Requirements*_x000d__x000a__x000d__x000a_&gt; An admin must be able to create, edit, and delete workflow templates for different business processes_x000d__x000a__x000d__x000a_&gt; An admin must be able to configure the states (e.g., {_}Pending → Submitted → Approved → Completed{_}) and transitions between them. _x000d__x000a__x000d__x000a_&gt; An admin must be able to define one or more approval steps within a workflow. _x000d__x000a__x000d__x000a_&gt; An admin must be able to assign which roles (e.g., Maker, Checker) can perform each workflow step. _x000d__x000a__x000d__x000a_&gt; An admin must be able to enforce that the same user cannot perform both maker and checker roles in the same workflow instance. _x000d__x000a__x000d__x000a_&gt; An admin must be able to define rules for assigning checkers (e.g., based on transaction type, workers profile, business unit, availability)._x000d__x000a__x000d__x000a_&gt; An admin must be able to configure whether one or multiple checkers are required before an item moves forward. _x000d__x000a__x000d__x000a_&gt; An admin must be able to set conditions (e.g., value thresholds, registration characteristics) that trigger additional approval steps. _x000d__x000a__x000d__x000a_&gt; An admin must be able to configure escalation paths if approvals are delayed beyond a defined time. _x000d__x000a__x000d__x000a_&gt; An admin must be able to configure which users(roles) receive notifications when an action is required._x000d__x000a__x000d__x000a_&gt; An admin must be able to set reminder frequencies and escalation notifications. _x000d__x000a__x000d__x000a_&gt; An admin must be able to configure who can view pending, approved, or rejected workflow items. _x000d__x000a__x000d__x000a_&gt; An admin must be able to monitor the status of workflow instances (pending, approved, rejected, completed)._x000d__x000a__x000d__x000a_&gt; An admin must be able to ensure all workflow actions are logged with user ID, timestamp, and action type. _x000d__x000a__x000d__x000a_&gt; An admin must be able to generate reports on workflow performance (e.g., approval times, bottlenecks, compliance with four-eyes). _x000d__x000a__x000d__x000a_&gt; An admin must be able to define workflow steps once and reuse them across different business processes. _x000d__x000a__x000d__x000a_&gt; An admin must be able to configure workflows without coding, using parameters (roles, thresholds, states). _x000d__x000a__x000d__x000a_&gt; An admin _must be able to maintain multiple versions of a workflow template and activate/deactivate them as needed.__x000d__x000a__x000d__x000a_ "/>
    <s v="Support four-eye principle as base in IRM"/>
    <s v="&gt; An admin must be able to create, edit, and delete workflow templates for different business processes_x000d__x000a__x000d__x000a_&gt; An admin must be able to configure the states (e.g., {_}Pending → Submitted → Approved → Completed{_}) and transitions between them. _x000d__x000a__x000d__x000a_&gt; An admin must be able to define one or more approval steps within a workflow. _x000d__x000a__x000d__x000a_&gt; An admin must be able to assign which roles (e.g., Maker, Checker) can perform each workflow step. _x000d__x000a__x000d__x000a_&gt; An admin must be able to enforce that the same user cannot perform both maker and checker roles in the same workflow instance. _x000d__x000a__x000d__x000a_&gt; An admin must be able to define rules for assigning checkers (e.g., based on transaction type, workers profile, business unit, availability)._x000d__x000a__x000d__x000a_&gt; An admin must be able to configure whether one or multiple checkers are required before an item moves forward. _x000d__x000a__x000d__x000a_&gt; An admin must be able to set conditions (e.g., value thresholds, registration characteristics) that trigger additional approval steps. _x000d__x000a__x000d__x000a_&gt; An admin must be able to configure escalation paths if approvals are delayed beyond a defined time. _x000d__x000a__x000d__x000a_&gt; An admin must be able to configure which users(roles) receive notifications when an action is required._x000d__x000a__x000d__x000a_&gt; An admin must be able to set reminder frequencies and escalation notifications. _x000d__x000a__x000d__x000a_&gt; An admin must be able to configure who can view pending, approved, or rejected workflow items. _x000d__x000a__x000d__x000a_&gt; An admin must be able to monitor the status of workflow instances (pending, approved, rejected, completed)._x000d__x000a__x000d__x000a_&gt; An admin must be able to ensure all workflow actions are logged with user ID, timestamp, and action type. _x000d__x000a__x000d__x000a_&gt; An admin must be able to generate reports on workflow performance (e.g., approval times, bottlenecks, compliance with four-eyes). _x000d__x000a__x000d__x000a_&gt; An admin must be able to define workflow steps once and reuse them across different business processes. _x000d__x000a__x000d__x000a_&gt; An admin must be able to configure workflows without coding, using parameters (roles, thresholds, states). _x000d__x000a__x000d__x000a_&gt; An admin _must be able to maintain multiple versions of a workflow template and activate/deactivate them as needed.__x000d__x000a__x000d__x000a_ "/>
  </r>
  <r>
    <s v="IRM-29434"/>
    <x v="0"/>
    <x v="2"/>
    <s v="Usability Enhancements"/>
    <s v="Display and search by Source and timestamp columns in Codelists, Parties and Addresses"/>
    <s v="HLD"/>
    <n v="1.1000000000000001"/>
    <s v="GRC"/>
    <x v="0"/>
    <x v="56"/>
    <s v="p2"/>
    <s v="2025-09-08T10:25:58.000+0300"/>
    <s v="GR,LEFTOVERS,TshirtSize_S,pi27_candidate,pi28_candidate,pi28_p2"/>
    <m/>
    <s v="Display and search by Source and timestamp columns in Codelists, Parties and Addresses"/>
    <s v="As a user I need to see the timestamp and the origin of the records that I see or search for in Code lists, parties, addresses. _x000d__x000a_The records were initially created in  IRM-27267  , IRM-29175  ,  IRM-27394 _x000d__x000a__x000d__x000a_*Functional requirements*_x000d__x000a__x000d__x000a_*A. Address* _x000d__x000a_ # User can see in record pages &quot;{*}Source{*}&quot; , &quot;{*}Creation Date{*}&quot; , &quot;{*}Modification Date{*}&quot; as RO, in *Addresses*_x000d__x000a_ # User can see in search results optionally the columns &quot;Source&quot; , &quot;Creation Date&quot; , &quot;Modification Date&quot;  in  *Addresses*_x000d__x000a_ # User can search by &quot;Source&quot; , &quot;Creation Date&quot; , &quot;Modification Date&quot; in *Addresses*_x000d__x000a__x000d__x000a_*B. Other*_x000d__x000a_ # User can see in search results optionally the columns &quot;Source&quot; , &quot;Creation Date&quot; , &quot;Modification Date&quot;  in  {*}Codelists items{*}, *Parties*_x000d__x000a_ # User can search by &quot;Source&quot; , &quot;Creation Date&quot; , &quot;Modification Date&quot; in  {*}Codelists{*}, *Parties* _x000d__x000a_Source field  is filled using  global CL list created. The default value may be defined by the customers._x000d__x000a_ # Source field for manually created records_x000d__x000a_Field is filled in by a Manual /Current system value in global CL list created. _x000d__x000a_The default value may be changed by the customers when configuring. _x000d__x000a__x000d__x000a_ "/>
    <s v="-"/>
    <s v="*A. Address* _x000d__x000a_ # User can see in record pages &quot;{*}Source{*}&quot; , &quot;{*}Creation Date{*}&quot; , &quot;{*}Modification Date{*}&quot; as RO, in *Addresses*_x000d__x000a_ # User can see in search results optionally the columns &quot;Source&quot; , &quot;Creation Date&quot; , &quot;Modification Date&quot;  in  *Addresses*_x000d__x000a_ # User can search by &quot;Source&quot; , &quot;Creation Date&quot; , &quot;Modification Date&quot; in *Addresses*_x000d__x000a__x000d__x000a_*B. Other*_x000d__x000a_ # User can see in search results optionally the columns &quot;Source&quot; , &quot;Creation Date&quot; , &quot;Modification Date&quot;  in  {*}Codelists items{*}, *Parties*_x000d__x000a_ # User can search by &quot;Source&quot; , &quot;Creation Date&quot; , &quot;Modification Date&quot; in  {*}Codelists items{*}, *Parties*_x000d__x000a_ # Source field  is filled using  global CL list created. The default value may be defined by the customers. _x000d__x000a__x000d__x000a_ "/>
  </r>
  <r>
    <s v="IRM-29430"/>
    <x v="2"/>
    <x v="30"/>
    <s v="Penalty &amp; Interest Enhancements"/>
    <s v="Enhance Credit Interest Calculation to include unallocated payment segments"/>
    <s v="Waiting Analysis Approval"/>
    <n v="1066.7"/>
    <s v="GTM"/>
    <x v="0"/>
    <x v="13"/>
    <s v="p1"/>
    <s v="2025-09-07T22:58:29.000+0300"/>
    <s v="GTM,SKV,TshirtSize_XXL,estimation_inaccuracy_high,pi28_candidate,pi28_p1"/>
    <m/>
    <s v="Enhance Credit Interest Calculation to include unallocated payment segments"/>
    <s v="As a revenue authority officer I would like Solon RM to consider in credit interest calculation, all payments received from a taxpayer, both allocated and unallocated, so that final interest calculation is accurate and can be used in relevant processes.  _x000d__x000a__x000d__x000a_*Introduction*_x000d__x000a_This feature was originally introduced for SKV implementation of Reimbursement Interest in [https://jira.intrasoft-intl.com/browse/IRM-15910] the credits from Bill segments are considered in the calculations. To complete this interest calculation, system needs to consider all payment segments as well. _x000d__x000a__x000d__x000a_Moving forward for the implemetation of the Tax Account in Northern countries but also for other implementations, in order to calculate interest accurately all payment segments, allocated and unallocated needs to be considered.  _x000d__x000a__x000d__x000a_Update the existing CREDIT_INT PI (Penalty &amp; Interest) rule to calculate reimbursement interest on credit unallocated payment segments for tax account scenarios, ensures taxpayers receive proper interest on all credit amounts._x000d__x000a__x000d__x000a_Currently, the system calculates interest only on bill segment balances. However, when for example liability amendments occur (e.g., reducing a VAT liability from €100 to €80 after a €100 payment has been made), the resulting €20 credit unallocated payment segment does not accrue interest in favor of the taxpayer. This creates an unfair situation where taxpayer funds held by the tax authority do not earn the required interest. _x000d__x000a__x000d__x000a_To enhance understanding of this feature and facilitate analysis tasks please find below a business example as well as business cases where Solon Tax results in unallocated payment segments._x000d__x000a__x000d__x000a_*System Requirements*_x000d__x000a_ * PI Rule Enhancement: Rule Code = CREDIT_INT (Reimbursement Interest Rule) Enhancement: Update calculation logic to include credit unallocated payment segments (next to credits on bill segments that is already implemented). _x000d__x000a__x000d__x000a_*Business Example*_x000d__x000a__x000d__x000a_&gt; Initial State:_x000d__x000a__x000d__x000a_VAT Liability: €100 (debit)_x000d__x000a__x000d__x000a_Payment Made: €100 (credit)_x000d__x000a__x000d__x000a_Result: Liability fully paid, balance = €0_x000d__x000a__x000d__x000a_&gt; After Amendment:_x000d__x000a__x000d__x000a_Amendment: VAT liability reduced by €20 (becomes €80)_x000d__x000a__x000d__x000a_Payment Remains: €100 (unchanged)_x000d__x000a__x000d__x000a_Result: €20 credit unallocated payment segment_x000d__x000a__x000d__x000a__Current Behavior:__x000d__x000a__x000d__x000a_Interest calculated only on bill segment balances, thus €20 credit unallocated payment segment earns no interest_x000d__x000a__x000d__x000a__Required Behavior:__x000d__x000a__x000d__x000a_Interest calculated on bill segment balances AND credit unallocated payment segments, thus €20 credit unallocated payment segment earns monthly interest in favor of taxpayer_x000d__x000a__x000d__x000a_ _x000d__x000a__x000d__x000a_*Example Business Cases resulting in Unallocated Payment Segments*_x000d__x000a_ # Payment Suspense Scenarios, where for example invalid reference number results to a payment that cannot be allocated to a specific party role._x000d__x000a_ # Payment File Processing Errors during automated payment file processing due to for example corrupted payment data or reference number mismatch._x000d__x000a_ # Insufficient liability balance for full allocation as per the business example above. _x000d__x000a_ # Payment Event State Transitions, when for example re-opening completed payment events where original segments need to be cancelled or payment event re-distribution scenarios requiring segment reallocation. _x000d__x000a__x000d__x000a_*Documentation*_x000d__x000a_Document all the above adjustments for penalty and interest rule &quot;CREDIT_INT&quot;. _x000d__x000a__x000d__x000a_ _x000d__x000a__x000d__x000a_*Non functional requirements*_x000d__x000a_Performance , Security, Traceability, Accessibility, Usability  DODs should be fulfilled. "/>
    <s v="Enhance credit interest calculation to include unallocated payment segments, so as to provide an accurate interest calculation. "/>
    <s v="Calculate *credit* / reimbursement interest for *unallocated credits on a payment segment* (next to credits on bill segments that is already implemented)."/>
  </r>
  <r>
    <s v="IRM-29344"/>
    <x v="5"/>
    <x v="14"/>
    <s v="Reference Data Enhancements"/>
    <s v="Codelists : Attributes Field types and codelist relation"/>
    <s v="Under Verification"/>
    <n v="160"/>
    <s v="GRC"/>
    <x v="3"/>
    <x v="9"/>
    <s v="p2"/>
    <s v="2025-09-02T20:10:21.000+0300"/>
    <s v="GR,GR_Early_D,IRM:PI27S01_start,IRM:PI27S04_end,MVP,No_Doc,REFERENCE_DATA,TshirtSize_XL,pi26_candidate,pi26_p3,pi27_candidate,pi27_p2,ready"/>
    <s v="3.0.0"/>
    <s v="Codelists : Attributes Field types and codelist relation"/>
    <s v="As an admin I need to be able to have many options on how I work with codelist attributes, use a friendly UI  and the attributes to be able to be reported along with codelist items with proper localized where applicable details._x000d__x000a__x000d__x000a_ _x000d__x000a__x000d__x000a_*Introduction* _x000d__x000a_In the application are supported the following attribute value types: _x000d__x000a_java.lang.Integer_x000d__x000a_java.lang.String_x000d__x000a_java.time.LocalDate_x000d__x000a_java.lang.Boolean_x000d__x000a_Plus for the relation of a Codelist Item to a codelist item the &quot;relatedItem&quot; metadata  may be used (along with the relation of codelists that are supported)  _x000d__x000a__x000d__x000a_In this feature we need to : _x000d__x000a_A) clarify on the visibility and values boolean attributes may receive, _x000d__x000a_B) include a new relationship with codelist (all the values to be available for admin to select), _x000d__x000a_C) usage of an existing Label that can be translated as an attribute value, and thus to be able to appear with localized label.  _x000d__x000a__x000d__x000a_+Summary+ _x000d__x000a_||Attribute value type||Other || || ||_x000d__x000a_|java.lang.Integer| |Available| |_x000d__x000a_|java.lang.String| |Available| |_x000d__x000a_|java.time.LocalDate| |Available| |_x000d__x000a_|java.lang.Boolean| |Available / Updated unified values and UI)| |_x000d__x000a_|Value from a codelist item|Values one of the codelist item of a codelist_x000d__x000a_Configure the supportive Codelist in Metadato item|New| |_x000d__x000a_|Value a translatable string/label|Value as a translatable label|New| |_x000d__x000a_| |RelatedItem|Available| |_x000d__x000a__x000d__x000a_ Note :  [https://jira.intrasoft-intl.com/browse/IRM-29340] descriptions characters number should be supported. _x000d__x000a__x000d__x000a_ _x000d__x000a__x000d__x000a_ _x000d__x000a__x000d__x000a_*Functional Requirements*_x000d__x000a_ * -Codelists and Codelist items will be supported by a *user-friendly UI* that allows Admins to define the attribute value types described below. Depending on user language preferences, attributes'  *localized* values will be displayed where applicable.-  MOVED TO https://jira.intrasoft-intl.com/browse/IRM-33364 _x000d__x000a__x000d__x000a_ * Codelists and their items when  exported in reports (created by admin) and if reports are defined to display localized values,  attributes' *localized* values will be included when available (note: some strings may not have translations). _x000d__x000a__x000d__x000a_ * The following additional/enhanced *attribute value types will be supported* , in addition to the existing value types:_x000d__x000a__x000d__x000a_ _x000d__x000a__x000d__x000a_*A) Boolean Values* _x000d__x000a_ Value should be 1/0 or true/false, or yes/no , in a way that UI may understand the values and a report as well and same value to be used for all the related attributes. For any existing values that cannot be changed because of the effort or breaking change, a note will be added in the documentation and technical dept ticket will be capture the need to reevaluate this change. _x000d__x000a__x000d__x000a_E{_}xample:{_}  _x000d__x000a_{_}C{_}{_}odelist e.g.  &quot;PartyOriginType&quot;,  with codelist values  : A, B, C{_}  _x000d__x000a__Metadata /Attribute:_     _EN: Members exist/ GR: Ύπαρξη Μελών_  _x000d__x000a__Finally  :_  {_}PartyOriginType{_}{_}, item = A, attribute{_} _Members exist_  _= Yes/True -&gt; ticked checkbox__x000d__x000a__x000d__x000a_ _x000d__x000a__x000d__x000a_*B)* Attribute Values via a *Codelist*  _x000d__x000a_Metadato item may be related with an existing codelist. This means that the attribute may take value from the items of the codelist. Will not be related specific codelist items. _x000d__x000a__x000d__x000a_ _x000d__x000a__x000d__x000a__Example:_ _x000d__x000a_{_}C{_}{_}odelist e.g.  &quot;PartyOriginType&quot;,  with codelist values  : A, B, C{_} _x000d__x000a__Supportive_  _Codelist = Supportive_DSourceA , values_  _: Interfaces, Manual Data Entry, other External ...__x000d__x000a__Metadata /Attribute: EN: Data source /GR: Προέλευση Δεδομένου  , linked  Codelist = Supportive_DSourceA__x000d__x000a__x000d__x000a_ {_}when setting the attribute &quot;{_}{_}Registration source&quot;{_}  _, for item &quot;A&quot; admin may select one the values of the       Reg_sourceA  codelist._ _x000d__x000a_ _Finally  :_  {_}PartyOriginType{_}{_}, item = A, attribute Registration source  = Manual Data Entry{_}_x000d__x000a__x000d__x000a_ _x000d__x000a__x000d__x000a_ _x000d__x000a__x000d__x000a_*C)* Attribute Values sourced from a *translatable  label/string*_x000d__x000a_This type is similar to a string, but with the added requirement that the text value must support translation._x000d__x000a__x000d__x000a_In practice, the attribute may store a value that is technically a string, but it should be displayed as a translated description when viewing the list of attributes or when generating reports with codelist details. The value may correspond to an existing label, a label pending translation, or another item requiring translation, as described earlier. _x000d__x000a__x000d__x000a__Notes: namespace : CodelistItemsAttributes ,  item category : Label , Item key : a key to be added when value is created__x000d__x000a__x000d__x000a_ _x000d__x000a__x000d__x000a__Example:_ _x000d__x000a_{_}C{_}{_}odelist e.g.  &quot;PartyOriginType&quot;,  with codelist values  : A, B, C{_} _x000d__x000a_{_}Metadata /Attribute{_}{_}: EN: UI Text  /GR: Κείμενο διεπαφής χρήστη    , values taken from new/existing labels or string that can be translated{_}  _x000d__x000a_  _x000d__x000a_{_}when setting the attribute &quot;{_}UI Text{_}{{_}}{_}&quot;{_}  _, for item &quot;A&quot; admin may  add a string in all the available languages or use an existing label from the system ._ _x000d__x000a__x000d__x000a_ _x000d__x000a__x000d__x000a_*Consideration* : Customers may be advised to clear unused labels from the system. _x000d__x000a__x000d__x000a_ _x000d__x000a__x000d__x000a_             !image-2025-09-02-21-17-47-147.png|width=319,height=361!_x000d__x000a__x000d__x000a_ _x000d__x000a__x000d__x000a_ _x000d__x000a__x000d__x000a_*Documentation*_x000d__x000a_Document all the above adjustments. _x000d__x000a__x000d__x000a_ _x000d__x000a__x000d__x000a_*Non functional requirements*_x000d__x000a_Performance , Security, Accessibility, Usability  DODs should be fulfilled. **_x000d__x000a__x000d__x000a_ "/>
    <s v="By standardizing attribute values across Boolean fields, linked codelists, and translatable labels, we will ensure consistency, usability, and localization in both the UI and reporting."/>
    <s v="# Boolean Values_x000d__x000a_ ## Boolean attributes must store values as 1/0, true/false, or yes/no in a consistent way across UI and reports.  The same representation must be used for all related attributes._x000d__x000a_ #  Attribute Values via a Codelist_x000d__x000a_ ## Admins must be able to link metadata items to an existing supportive codelist._x000d__x000a_ ## In the Metadata page, Admins must be able to select the supportive codelist when creating an item._x000d__x000a_ ## When assigning attributes to a codelist item, Admins must be able to select from the supportive codelist’s items._x000d__x000a_ ## Localized values of supportive codelist items must be displayed in the UI based on user language preference._x000d__x000a_ ## The attribute must not be tied to specific items in the main codelist, only to the supportive codelist as a whole._x000d__x000a_ # Attribute Values from a Translatable Label/String_x000d__x000a_ ## Metadata items of this type must support translations in all available languages. (see point 3 below)_x000d__x000a_ ## Admins must be able to create metadata items of this type._x000d__x000a_ ## Admins must be able to:  Enter a new string with translations in all available languages, or Reuse an existing system label."/>
  </r>
  <r>
    <s v="IRM-29317"/>
    <x v="5"/>
    <x v="14"/>
    <s v="Reference Data Enhancements"/>
    <s v="Codelists : Translatable Metadata/Attributes labels "/>
    <s v="Under Validation"/>
    <n v="26.7"/>
    <s v="GRC"/>
    <x v="3"/>
    <x v="15"/>
    <s v="p2"/>
    <s v="2025-09-01T14:29:29.000+0300"/>
    <s v="C1,GR,GR_Early_C,IRM:PI27S01_start,IRM:PI27S03_end,MVP,REFERENCE_DATA,TshirtSize_M,breaking_change,pi26_candidate,pi26_p3,pi27_candidate,pi27_p2,ready"/>
    <s v="3.0.0"/>
    <s v="Codelists : Translatable Metadata/Attributes labels "/>
    <s v="As an Admin I need to be able to display in pages that are available for the users the codelist items attributes and thus these should be localized when needed. _x000d__x000a__x000d__x000a_ _x000d__x000a__x000d__x000a_*Introduction*_x000d__x000a__x000d__x000a_Currently, the Metadata (refdata_metadata) table includes descriptions that are not translatable, unlike other descriptions in the application._x000d__x000a__x000d__x000a_In Greek project, there is a requirement to export all codelist-related information into a table that will be used as a Reference Table (see  PSD-12521, PSD-11681). When this reference table is displayed and the Admin/User is using the Greek UI, all labels—including column labels—should be translated into Greek._x000d__x000a__x000d__x000a_Follow  [https://jira.intrasoft-intl.com/browse/IRM-29340]  as per the number of characters to be supported in descriptions.  _x000d__x000a__x000d__x000a_ _x000d__x000a__x000d__x000a_*Functional Requirements*_x000d__x000a_ * *Translation Support for Metadata Items*_x000d__x000a_Metadata items description should be available in both English (default) and localized descriptions._x000d__x000a_Codelist item attributes columns labels (instead of just attribute key)  should be available in both English (default) and localized descriptions._x000d__x000a_Translations should be handled consistently with how Solon Tax allows other labels._x000d__x000a_Translations can be added regardless of the ownership value (Product, National, Customer)._x000d__x000a_Notes:  Metadata table labels must support multiple languages._x000d__x000a__x000d__x000a_ * *UI and Query/Reporting Behavior*_x000d__x000a_(For any new implementation as an advise - {*}not need to review existing queries{*}) _x000d__x000a_Admins should be able to add metadata translations directly in the UI._x000d__x000a_When multiple languages are configured (e.g., EN and GR), and metadata labels , attributes columns labels are translated. _x000d__x000a_In Codelist items, Attributes section, Attribute description along with key is displayed. The selectin of the attribute key will display description labels. After the selection key will appear as RO. _x000d__x000a_The Admin/User sees metadata list and  attribute columns in codelist items in the language of their UI selection._x000d__x000a_Example: if both EN and GR are supported, and the Admin switches UI to Greek, the codelist item attribute columns should appear in Greek._x000d__x000a_Translations should also apply when the data is exported for reporting purposes._x000d__x000a__x000d__x000a_ _x000d__x000a__x000d__x000a_ _x000d__x000a__x000d__x000a_*Documentation*_x000d__x000a_Document all the above adjustments. _x000d__x000a_Document that the translations can be added in existing items in the system to be able to view the localized attributes. _x000d__x000a__x000d__x000a_ _x000d__x000a__x000d__x000a_*Non functional requirements*_x000d__x000a_Performance , Security, Accessibility, Usability  DODs should be fulfilled. _x000d__x000a_----_x000d__x000a_Metadata _x000d__x000a_Can add translations_x000d__x000a__x000d__x000a_!image-2025-09-02-19-02-37-524.png|width=1283,height=275!_x000d__x000a__x000d__x000a_ _x000d__x000a__x000d__x000a_!image-2025-09-02-09-47-02-809.png|width=837,height=272!_x000d__x000a__x000d__x000a_ _x000d__x000a__x000d__x000a_!image-2025-09-02-19-57-10-395.png!_x000d__x000a__x000d__x000a_ "/>
    <s v="By enabling localization of metadata and codelist item attributes, Admins and end users will be able to view, manage, and export data in their preferred language. This improves usability, reduces errors caused by misunderstanding non-localized labels, and ensures compliance with local regulatory and business requirements (e.g., Greek UI usage)."/>
    <s v="# Translation Support for Metadata Items_x000d__x000a_ ## Metadata item descriptions must be available in both English (default) and any configured localized language(s)._x000d__x000a_ ## When translations are added, then both the English description and localized description(s) should be available._x000d__x000a_ ## Codelist item attribute column labels must be available in both English (default) and localized descriptions (instead of only showing attribute keys)._x000d__x000a_ ## Translations must follow the same logic and behavior as other labels in Solon Tax._x000d__x000a_ ## Translations can be added and maintained regardless of ownership value (Base, Demo, Customer) - following the system ground rules on ownerships and how we work with translations. _x000d__x000a_ ## Metadata table labels must support multiple languages._x000d__x000a_ #  (FOR NEW QUERIES/ REPORTS - not for existing) UI and Reporting Behavior_x000d__x000a_ ## Admins must be able to add metadata translations directly through the UI._x000d__x000a_ ## When multiple languages are configured (e.g., EN and GR) and translations exist:_x000d__x000a_ ## In the Codelist Items, and in the  Attributes section: Both the attribute key and attribute description are displayed._x000d__x000a_ ## When an attribute key is selected, the localized description label is shown._x000d__x000a_ ## After selection, the attribute key appears as read-only._x000d__x000a_ ## The Admin/User must see the metadata list and attribute column labels in the language of their UI selection._x000d__x000a_ ## Translations must also apply when data is exported for reporting purposes (exported tables should reflect the user’s UI language selection if translations are available)."/>
  </r>
  <r>
    <s v="IRM-29306"/>
    <x v="0"/>
    <x v="2"/>
    <s v="Usability Enhancements"/>
    <s v="Export Filtered List Table to Excel /Registration List pages"/>
    <s v="Under Verification"/>
    <n v="213.3"/>
    <s v="GRC"/>
    <x v="3"/>
    <x v="1"/>
    <s v="p2"/>
    <s v="2025-08-29T14:40:39.000+0300"/>
    <s v="C1,Early_D,GR,GR_Early_D,IRM:PI27S01_start,IRM:PI27S03_end,IRM:PI27S04_end,Juniors_Candidate,MVP,TshirtSize_L,USABILITY,pi26_candidate,pi27_candidate,pi27_p2,ready"/>
    <s v="3.0.0"/>
    <s v="Export Filtered List Table to Excel /Registration List pages"/>
    <s v="As a user, I want to export the data in a table to Excel, so that I can manipulate and analyze that data in Excel._x000d__x000a__x000d__x000a_*Introduction*_x000d__x000a__x000d__x000a_Previously was implemented the [https://jira.intrasoft-intl.com/browse/IRM-17202. |https://jira.intrasoft-intl.com/browse/IRM-17202]_x000d__x000a_with some limitations as to export into excel only the data that is visible on the UI.  In admin side the [https://jira.intrasoft-intl.com/browse/IRM-17203] was implemented as to enable by ui schemas this capability. _x000d__x000a__x000d__x000a_The new requirements are that we need to expand the functionality, as to be able to export all the results listed after a filter is applied. _x000d__x000a_Additionally, we need to define the max number of rows that will be possible to be exported in one file. If the result is more than this number, and user tried to export them , then a message will be displayed in the screen for informational purposes and exported them in batches as per max number of rows defined. _x000d__x000a__x000d__x000a_ _x000d__x000a__x000d__x000a_*Functional Requirements*_x000d__x000a_ * *Export Row Limit*  (parameter)_x000d__x000a_ ** The system must have a *configurable maximum number of rows* allowed for export (system parameter). Default limit: 5000 records.  Purpose: safeguard performance and reassure users of the export expected behavior. _x000d__x000a__x000d__x000a_ * *Exporting* _x000d__x000a_ ** A user can *request export* of data from a specific table in the UI - as already implemented- ._x000d__x000a_ ** Export is only possible if the administrator has *enabled export for that table* (see IRM-17203) and the search results (listed rows) are greater than  0._x000d__x000a_ ** Users must be able to select the location where the Excel file will be saved (as implemented). Once a location is chosen, the user can trigger the export_x000d__x000a_ ** Export may happen for the screen displayed items (as implemented)  or all resulted items._x000d__x000a_ ** Export may happen in xls or csv format and encoding UTF-8  (?) ._x000d__x000a_ ** (?) Is it possible to maintain a user permission to be able or not export to excel? _x000d__x000a__x000d__x000a_ * *Columns*_x000d__x000a_ ** Only visible columns in the UI will be exported._x000d__x000a_ ** Users can configure which columns are visible for each table using existing options._x000d__x000a_ ** The columns labels are same as the UI screen visible labels (same language)._x000d__x000a_ ** The column order will follow UI order._x000d__x000a_ * *Row* Selection and Filtering_x000d__x000a_ ** Exported rows are based on the result set after filters/search criteria have been applied._x000d__x000a_ ** The system will export up to the configured maximum row limit, even if more results exist._x000d__x000a_Example: Party table has 1000 records. User applies a filter → 700 records remain. Export row limit = 500. -&gt; Only the first 500 filtered records (as ordered in the UI list) are exported._x000d__x000a_ ** If the user attempts to export more rows than allowed, the system displays an informational message._x000d__x000a_ *** If the filtered result set exceeds the permitted row limit, the exported rows must follow the ordering currently defined in the UI list._x000d__x000a_ *** ({{*}}{*}{*} need to investigate and decide this - See below decision in Notes section)_x000d__x000a_ *** Example message : &quot;The number of rows that can be exported  in one file is up to &lt;parameter&gt; rows. Because of that, several files will be exported to complete your request. &quot;_x000d__x000a_ * Post-Export *messages*_x000d__x000a_ ** If export is successful → the user sees the Excel file saved in the selected location._x000d__x000a_ ** If export fails → the user sees a clear error message._x000d__x000a__x000d__x000a_{*}In Scope Example{*}:_x000d__x000a_*Registration only.* _x000d__x000a_Enable exporting in xls for Party (if needed to be implemented in one type select Individuals)  and  for Party roles. _x000d__x000a__x000d__x000a_+Notes:+ _x000d__x000a__x000d__x000a_({*}Decision - Discus additional effort :{*} _x000d__x000a_(?) sequency of exports per maximum number automated by the system till all the rows to be exported , Export all data resulted by search criteria per batches in different xls as per maximum number of rows parameter . _x000d__x000a_exporting finally as many files as needed to complete exporting all the rows in list._x000d__x000a__x000d__x000a_)_x000d__x000a__x000d__x000a_ _x000d__x000a__x000d__x000a_*Documentation*_x000d__x000a_Document all the above adjustments. _x000d__x000a__x000d__x000a_ _x000d__x000a__x000d__x000a_*Non functional requirements*_x000d__x000a_Performance , Security, Accessibility, Usability  DODs should be fulfilled. "/>
    <s v="By expanding the export functionality beyond just the visible rows on the screen, users will: Save time by avoiding repetitive manual copy/paste.  Be able to analyze complete filtered datasets, not just UI subsets. Increase efficiency and productivity in reporting, reconciliation, and data analysis tasks. _x000d__x000a_Gain confidence in the system’s performance and reliability through clear limits and error messages. This will result in higher user satisfaction, reduced workaround/manual effort, and better adoption of the product for data-heavy workflows."/>
    <s v="*1  Export Permission &amp; Process*_x000d__x000a_1.1. User can only export data from tables where export is enabled by the administrator._x000d__x000a_1.2. If export is not enabled for a table, the export option is not available to the user._x000d__x000a_1.3. User can select the export format: Excel (.xls) or CSV (.csv)._x000d__x000a_1.4. Exported files are encoded in UTF-8._x000d__x000a_1.5. User can select the file save location before initiating the export._x000d__x000a_1.6. Once a location is selected, the user can trigger the export via the UI control._x000d__x000a__x000d__x000a_*2  Filtering &amp; Row Selection*_x000d__x000a_2.1. Exported rows must reflect applied filters and search criteria._x000d__x000a_2.2. If no rows remain after filtering, the export option is disabled (or produces an empty file)._x000d__x000a_2.3. Ordering of exported rows matches the ordering currently defined in the UI list._x000d__x000a__x000d__x000a_*3  Column Rules*_x000d__x000a_3.1. Only columns visible in the UI are exported._x000d__x000a_3.2. Exported column headers match the UI labels (in the user’s active language)._x000d__x000a_3.3. Exported column order matches the column order shown in the UI._x000d__x000a__x000d__x000a_*4  Post-Export Feedback*_x000d__x000a_4.1. If the export completes successfully, the file is created in the selected location._x000d__x000a_4.2. If the export fails, the user sees a clear and descriptive error message._x000d__x000a_4.3. If the export process takes longer than a configurable threshold (e.g., 5 seconds), the user sees a progress indicator. _(optional)__x000d__x000a__x000d__x000a_*-5  Row Limits- (NOT implemented due to row level security).*_x000d__x000a_5.1. The system has a configurable export row limit (default = 5000 records)._x000d__x000a_5.2. If the filtered result set exceeds the row limit, only the top N rows (according to the current UI order) are exported._x000d__x000a_5.3. If the user attempts to export more rows than allowed, the system displays an *informational message,* and continues the export in several files (tbc)_x000d__x000a__x000d__x000a_{*}6. Example{*}: _x000d__x000a_Scope: Registration _x000d__x000a_Enable exporting in xls for Party (if needed to be implemented in one type select Individuals)  and  for Party roles.  "/>
  </r>
  <r>
    <s v="IRM-29268"/>
    <x v="0"/>
    <x v="1"/>
    <s v="Maintainability Enhancements"/>
    <s v="POC/Fixed effort - Config Items Management ( Packaging &amp; versioning) : Enable delivery teams to safely and selectively migrate configurations across environments"/>
    <s v="Waiting Analysis Approval"/>
    <n v="800"/>
    <s v="Other"/>
    <x v="0"/>
    <x v="49"/>
    <s v="p2"/>
    <s v="2025-08-27T11:18:49.000+0300"/>
    <s v="OPERABILITY,SKV_Internal,TshirtSize_XXL,pi28_candidate,pi28_p2"/>
    <m/>
    <s v="POC/Fixed effort - Config Items Management ( Packaging &amp; versioning) : Enable delivery teams to safely and selectively migrate configurations across environments"/>
    <s v="As a Solon Tax Delivery team, I need to be able to: _x000d__x000a_-  safely and selectively, via guided steps, to migrate configurations across environments (Dev → Stg → Prod),_x000d__x000a_-  maintain versions of the configurations/other artifacts migrated to other environments and of the release/migration  (e.g. artifact version, release version)   _x000d__x000a_-  provide report on the results of the deployment process, _x000d__x000a_-  see the history of the migrations, _x000d__x000a_-  support zero/near-zero downtime deployments   (?)_x000d__x000a_-  support scheduled activation/ make effective the changes to destination environment,_x000d__x000a_-  enable team to flag changes as &quot;ready to be migrated&quot; , and capture ownership details_x000d__x000a_-  filter in a longer list of items based on predefine flags or versions the items to be added in the package for the migration,_x000d__x000a_-  enable team to select,  implementations, supporting them with  prechecks (Pre‑checks: environment compatibility, dependency resolution, conflict detection, schema compatibility, dry‑run simulation), dependencies and conflicts checks, _x000d__x000a_-  provide rollback and recovery options,_x000d__x000a_-  enable team to select source and destination environments, _x000d__x000a_-  ensure security, performance,  and compliance,_x000d__x000a_-  enforce governance with roles, performance and approval flows._x000d__x000a__x000d__x000a_{color:#0747a6}*BECAUSE OF THE COMPAXITY OF THE TOOL TO BE IMPLEMENTED WE WILL INITIATE THE DESIGN BY A POC.* {color}_x000d__x000a_{color:#0747a6}*The POC scope will be defined by PD team.* {color}_x000d__x000a_{color:#0747a6}*The POC will have fixed effort.* {color}_x000d__x000a__x000d__x000a__x000d__x000a__x000d__x000a_*Background:*_x000d__x000a_ _x000d__x000a_Configuration Data_x000d__x000a_ * Entity types (c_ objects) , Codelists/codelist items, , System parameters (codelist item attributes), _x000d__x000a_queries, other config data (users, exchange rates, calendars, worker profiles, roles, object access groups, user access groups, ledgers, GL accounts numbers, rates etc), UI schemas/forms.'_x000d__x000a__x000d__x000a_Translations_x000d__x000a_ * Labels ( _l objects) _x000d__x000a__x000d__x000a_TBC: _x000d__x000a_ * (?) User defined characteristics,_x000d__x000a_ * Drools_x000d__x000a_ * (?) Other customizations_x000d__x000a__x000d__x000a_Ownerships _x000d__x000a_ * Config items are flagged with its ownership , i.e. :  on who is responsible for their maintenance (Product team, national delivery team, or client-specific team) restricting areas that should not be used,  their intended scope of usage / applicability (global, regional, or specific clients) , whether they are reusable across implementations Additionally provide controlling mechanism on which items based on owner are eligible to be migrated (e.g. do not deploy base items, unless it is an attribute of a system parameter, entity schema help url, or labels.)   [https://jira.intrasoft-intl.com/browse/IRM-26335]  _x000d__x000a__x000d__x000a_*Functional Requirements:*_x000d__x000a__x000d__x000a_*+Preparation+* _x000d__x000a_ * *Prerequisites*_x000d__x000a_ ** Define environments that can be source and destinations_x000d__x000a_ ** Define the versioning numbering that will be used for all the items (?)_x000d__x000a_ * *Flag configuration items*_x000d__x000a_ ** Beforehand, the developer/admin should label Ownership of the component. _x000d__x000a_ ** Beforehand, the developer/admin may label configurations implemented as  &quot;Ready for export&quot;.  ([https://jira.intrasoft-intl.com/browse/PSD-11032)|https://jira.intrasoft-intl.com/browse/PSD-11032])_x000d__x000a_ ** Beforehand, version of the items to be migrated may be defined. _x000d__x000a_ ** Beforehand, the developer/admin optionally may label the component with the Functionality or Scope or Product component will support.  _x000d__x000a_ ** Beforehand, the developer/admin may select if the Cong items will be activated while migrated or will remain inactive till admin manually activate them the destination environment. _x000d__x000a_ ** Beforehand, the developer/admin may upload the file where applicable (labels - translations) should be uploaded. _x000d__x000a_ ** Beforehand, the developer/admin may select the source and destination environments.  _x000d__x000a__x000d__x000a_ * *Roles and permissions*_x000d__x000a_ ** Permitted users can use the packaging tool and perform the mentioned actions_x000d__x000a__x000d__x000a_              consideration :  ? Could it be extended to use approval processes?_x000d__x000a__x000d__x000a_ _x000d__x000a__x000d__x000a_*+Core+*_x000d__x000a_ * *Ui*_x000d__x000a_ ** Admin may see the details of previous local releases/ deployments as well as historical data on the local releases/ deployments_x000d__x000a_ ** Admin/developer may check out and then check in any non Base config item_x000d__x000a_ *** Checked in item receives automatically a version_x000d__x000a_ *** Validation when trying to check out a Base item_x000d__x000a_ ** Admin may initiate a new deployment (create release) _x000d__x000a_ *** Select source and destination environment_x000d__x000a_ *** UI or CLI to *select/export/inspect/import* configurations, code, flows, templates, etc._x000d__x000a_ *** Select to proceed with the deployment_x000d__x000a_ *** Admin may use filters  (as per flags added above , version number ,  along with other items e.g. category field) to locate the items to be included in the package. _x000d__x000a_ *** Admin can add comments per item and per local release. _x000d__x000a_ ** Admin may see details under each logged release_x000d__x000a_ *** Admin can see timestamp and historical details on the local release. _x000d__x000a_ *** Admin can see list of exceptions before and after the deployment_x000d__x000a_ ** Admin after deployment will be able to make effective/enable the version/selected items in destination environment. _x000d__x000a__x000d__x000a_ _x000d__x000a__x000d__x000a_+*Deployment process*+_x000d__x000a__x000d__x000a_ _x000d__x000a_ * *Suggest items to be selected*_x000d__x000a_ ** Provide Delta support to select elements that are new or modified -  where applicable._x000d__x000a_ ** Exclude BASE items with exceptions (help urls, labels, attributes in system parameters)._x000d__x000a_ ** Indicate possible conflicts._x000d__x000a_ * *Dependency management*  - Select items to be migrated (metadata, content ... ) from a list ._x000d__x000a_ ** Identify dependencies and indicate what related items need to move together._x000d__x000a_Identify and warn if related components must be exported together._x000d__x000a_ ** Support  when certain settings (like endpoint URLs, external credentials, currency precision) may need to differ by environment - need a way to parameterize or externalize environment-specific config.)_x000d__x000a__x000d__x000a_ * *Standard Format &amp; Packaging*_x000d__x000a_ ** Define a standard export/import format   (e.g., JSON, XML, YAML or other per component type) _x000d__x000a_ ** Group exported artifacts into packages. _x000d__x000a_ ** Be able to define the expiration date / inactivation date of an older version per component and have available mechanisms to validate that the new version will be available when old is expired. _x000d__x000a_ *  *Import &amp; Validation* : _x000d__x000a_ ** Examine if needs to define states for each deployable (e.g., {_}Draft → Approved → Deployed → Deprecated{_})._x000d__x000a_ ** Ensure compatibility and prevent unintended overwrites._x000d__x000a_ ** Run automated validations in a dry run mode_x000d__x000a_ ** Indicate possible conflicts._x000d__x000a_ ** Simulate a deployment before actual promotion_x000d__x000a_ ** Advice smoke testing after deployment_x000d__x000a__x000d__x000a_ * *Auditability and Reporting* _x000d__x000a_ ** Audit Trail of  who changed what, when, and where in the target environment. (See also relevant section on  [https://jira.intrasoft-intl.com/browse/IRM-27058] ) _x000d__x000a_ ** Be able to see the result of the migration process. Monitor what succeeded, failed, or was skipped._x000d__x000a_ _x000d__x000a_ * *Rollback Mechanism  / go back to a previous version*  _x000d__x000a_ ** Ability to revert a deployment if needed either fully or selectively.  See also relevant section on  [https://jira.intrasoft-intl.com/browse/IRM-27058] _x000d__x000a_ ** Ability to set when old version should be expired as new version should be active.  See also relevant section on  [https://jira.intrasoft-intl.com/browse/IRM-27058] _x000d__x000a__x000d__x000a_ * Compliance/ *Data security* privacy (Certain configuration or integration artifacts may handle sensitive data)_x000d__x000a_ ** Dev and Stg environments are created without taxpayer data, but include configuration and custom logic. i.e.,  when exporting from production to other envs, do not deploy data. _x000d__x000a_ * Other_x000d__x000a_ ** Consider also translation management needs as described in  IRM-24809  _x000d__x000a__x000d__x000a_ _x000d__x000a__x000d__x000a_ _x000d__x000a__x000d__x000a_*Documentation*_x000d__x000a_ * Documentation will be delivered with the steps to install the application and tools needed plus how to use the tool with example. _x000d__x000a__x000d__x000a_*Non Functional Requirements:*_x000d__x000a_ * Tool can be handled by delivery teams._x000d__x000a_ * Performance and security DODs should be considered. _x000d__x000a__x000d__x000a_----_x000d__x000a_ _x000d__x000a__x000d__x000a_Similar solution_x000d__x000a_!image-2025-08-27-11-26-51-929.png!_x000d__x000a__x000d__x000a_ _x000d__x000a__x000d__x000a_!image-2025-08-27-12-57-16-410.png!_x000d__x000a__x000d__x000a_!image-2025-08-27-13-09-21-753.png!_x000d__x000a__x000d__x000a_!image-2025-08-27-11-29-46-330.png!_x000d__x000a__x000d__x000a_!image-2025-08-27-11-29-23-860.png!_x000d__x000a__x000d__x000a_!image-2025-08-27-11-28-14-100.png!"/>
    <s v="Providing a solution for migrating Config items will empower delivery teams to fully leverage the product’s high configurability, enabling faster and more reliable deployments, ensuring consistency across environments and reducing manual overhead. Additionally, delivery teams can more effectively utilize the product's flexibility, resulting in faster time-to-value and improved rollout quality."/>
    <s v="FIXED EFFORT POC to analyze the solution : _x000d__x000a_Tool to allow securely and via guided steps to allow a team to _x000d__x000a_a) select elements to be deployed checking dependencies and conflicts_x000d__x000a_b) packaging them_x000d__x000a_c) selects destinations_x000d__x000a_d) validating the actions_x000d__x000a_e) deploy _x000d__x000a_f)  be able to rollback"/>
  </r>
  <r>
    <s v="IRM-28521"/>
    <x v="5"/>
    <x v="19"/>
    <s v="Document Management Integration Enhancements"/>
    <s v="Generic component - Support for Embedded 3rd-Party Digital Signature and Document Preview Components in RM pages"/>
    <s v="Closed"/>
    <n v="37.299999999999997"/>
    <s v="Other"/>
    <x v="1"/>
    <x v="28"/>
    <s v="p1"/>
    <s v="2025-07-28T20:56:53.000+0300"/>
    <s v="FATnottestable,IATNotTestable,IRM:PI25S04,No_Doc,PI25_extrascope,pi25_candidate,pi25_p1,wont-automate"/>
    <s v="2.1.0"/>
    <s v="Generic component - Support for Embedded 3rd-Party Digital Signature and Document Preview Components in RM pages"/>
    <s v="As an delivery team and admin I need the ability to integrate 3rd-party components such as digital signature dialogs and embedded document/PDF previewers into the Solon UI, so that we can support customer-specific implementations._x000d__x000a_As a revenue authority user, I want to preview forms and assist taxpayers in digitally signing documents directly within the Registration Module (RM), in order to comply with national requirements and improve support service at physical desks._x000d__x000a__x000d__x000a_On these Solon will not provide any out of the self integration with these tools but will provide a widget to enable partners on that. _x000d__x000a__x000d__x000a_*Introduction*_x000d__x000a__x000d__x000a_According to the Lithuanian law, when signing documents electronically, the user should be able to preview the document in the Web page. Furthermore, the customers want to be able to preview signed or unsigned documents within the web app._x000d__x000a_Moreover, there are user flows provided by the client, where users need to preview PDF documents directly within the application. However, the current UI/JSON schema system does not support rendering or embedding PDF viewers, making it impossible to include this functionality through the schema._x000d__x000a__x000d__x000a_Currently, Solon's UI metadata schema (UI/JSON) does not support rendering embedded components like PDF viewers or signature popups. As a result, these features cannot be implemented declaratively through configuration alone. Similar components will be used in ISS by LT delivery teams  (using external portal platform). _x000d__x000a_Relevant: _x000d__x000a_[https://jira.intrasoft-intl.com/browse/PSD-11428]_x000d__x000a_[https://jira.intrasoft-intl.com/browse/PSD-12028] _x000d__x000a__x000d__x000a_Solon {*}will not deliver native integrations with specific 3rd-party signature providers or preview tools{*}. However, to support flexibility and enable integration at project level, Solon will provide a generic UI extension mechanism (widget) that can be configured to load and render such external components._x000d__x000a__x000d__x000a_+Considerations+ _x000d__x000a_ * _This widget/tag will allow embedding or linking to external components,  such as:__x000d__x000a_ ** _PDF  document viewers (e.g. in form page preview form and attachments in a relevant preview mode)__x000d__x000a_ *** _External digital signature modules.__x000d__x000a__WHAT IS/could be  INCLUDED IN THE iframe and the support of all its usages is Out of scope_ _x000d__x000a__In scope: Be able to add iframes in modals and pages._ _x000d__x000a_ ** _The new tag if used in an appropriate widget that is expected to be implemented by delivery , it will be able to support_ _x000d__x000a_ *** _rendering the embedded content inline_ _x000d__x000a_ *** _or  opening it as a dialog/popup/modal. (such as receiving input request from digital signature app)__x000d__x000a_ *** _being triggerable by actions of user (e.g. sign button)__x000d__x000a_ *** _pass parameters  via urls or post messages_ _x000d__x000a_ *** _return control to Solon tax ui on success of the process (e.g. sign properly) ._ _x000d__x000a__x000d__x000a_ _x000d__x000a__x000d__x000a_*Functional requirements*_x000d__x000a_ * A new *custom widget framework  (i.e.*  *widget-based framework* *using* *secure iframe embedding)* will be introduced in the UI schema system._x000d__x000a_ ** Product based on type of widget  (pdf viewer, digital signature)  the proper sandbox attributes should be used_x000d__x000a_(iframes preferably should have the {{sandbox}} attribute to restrict the content of the embedded page. Any features that are needed (execute scripts, submit forms, etc.) can be explicitly enabled per case when needed)._x000d__x000a_ ** Closing window callbacks may be functional. _x000d__x000a_ ** Be agnostic to signature providers._x000d__x000a_ ** Be reusable / configurable _x000d__x000a__x000d__x000a_Out of scope : _x000d__x000a_Ui interaction/ post messages _x000d__x000a_Custom error messages _x000d__x000a__x000d__x000a_ _x000d__x000a__x000d__x000a_*Assumption* :_x000d__x000a_Integration is {*}properly implemented{*}._x000d__x000a_The delivery teams must ensure that the embedded solutions conform to {*}data protection{*}, {*}security policies{*}, and *access control rules* already applied in Solon._x000d__x000a__x000d__x000a_ _x000d__x000a__x000d__x000a_*Documentation*_x000d__x000a__x000d__x000a_Document all the above adjustments and any suggestion on good usage of the iframe while posting messages. _x000d__x000a__x000d__x000a_ _x000d__x000a__x000d__x000a_*Non functional requirements*_x000d__x000a__x000d__x000a_Performance and Security DODs should be fulfilled. _x000d__x000a_----_x000d__x000a_!image-2025-07-31-14-51-32-673.png!_x000d__x000a__x000d__x000a_!image-2025-07-28-21-14-34-600.png|width=1146,height=625!_x000d__x000a__x000d__x000a_ _x000d__x000a__x000d__x000a_ _x000d__x000a_----_x000d__x000a_Flow :_x000d__x000a__x000d__x000a_*E-Signature Workflow Overview*_x000d__x000a_ # *User Initiates Signing* (frontend)_x000d__x000a__x000d__x000a_The user clicks the *&quot;Sign&quot;* button._x000d__x000a_ # *Signing Initialization Request* (backend)_x000d__x000a__x000d__x000a_A request is sent to the {*}electronic signature service{*}, which:_x000d__x000a_ * Uploads the files to the {*}signature provider{*}._x000d__x000a_ * Initializes the signing process with a specified returnUrl, used to redirect the user back to our system after signing._x000d__x000a_ * Returns an {*}external signing UID{*}._x000d__x000a__x000d__x000a_ # *Popup with Embedded Signing UI* (frontend)_x000d__x000a__x000d__x000a_A popup window is opened containing an iframe._x000d__x000a_The iframe loads the signing page using the URL that includes the *external signing UID* as a query parameter._x000d__x000a__x000d__x000a_*_[DASKALAKIS Ioannis] Please provide, if possible, some more details on the authentication and authorization scheme that may need to be followed to facilitate loading service’s provider URL for the given UID with  the User’s  browser session._*_x000d__x000a__x000d__x000a_*_No authentication needs to be done from the browser. Only the backend IP needs to be whitelisted on the service provider and our service accepting the callback needs to be exposed and reachable by the service provider. We have started a discussion about this on another channel, still waiting for a response._*_x000d__x000a_ # *User Signs Documents* (frontend)_x000d__x000a__x000d__x000a_The user completes the signing process within the loaded iframe page._x000d__x000a_ # *Callback and Document Handling* (backend)_x000d__x000a__x000d__x000a_Our service receives a *callback* from the signature provider when the document status changes (e.g., signing completed)._x000d__x000a_At this point, we:_x000d__x000a_ * {*}Download{*}the signed version of the document from the provider._x000d__x000a_ * {*}Validate{*}the signed document._x000d__x000a_ * {*}Upload{*}it via the document-management_x000d__x000a__x000d__x000a_*_[DASKALAKIS Ioannis] This, along with #3, suggests that any document exchange between our system and the signature provider will only take place via service API calls with an adapter implemented in the scope of the project. Please confirm._*_x000d__x000a__x000d__x000a_*_Yes, that is correct._*_x000d__x000a_ # *User Redirection and UI Update* (frontend)_x000d__x000a__x000d__x000a_After signing, the user sees a *success message* on the provider's page and is *redirected to the* {*}returnUrl{*}._x000d__x000a_If we are able to detect this redirect within the popup, we can:_x000d__x000a_ * Automatically {*}close the popup{*}._x000d__x000a_ * {*}Load the signed document{*}and its metadata in our system for the user to review._x000d__x000a__x000d__x000a_*_[DASKALAKIS Ioannis] Is this required to be a document preview functionality, or it is a direct document download?_*_x000d__x000a__x000d__x000a_*_Preview is required according to project requirements._*"/>
    <s v="Introducing a configurable widget framework for embedding external components in iframe tag,  (e.g., PDF viewers, signature dialogs) will enable delivery teams and administrators to support customer-specific implementations without requiring native product development and_x000d__x000a_provide a reusable, provider-agnostic mechanism that can adapt to different 3rd-party tools across jurisdictions."/>
    <s v="Fe developers of RM Solon tax may use iframe tag to include an iframe that can be used to deliver other components._x000d__x000a__x000d__x000a_A widget will be available with agnostic iframe to be used. Closing window callbacks may be functional. _x000d__x000a__x000d__x000a_ "/>
  </r>
  <r>
    <s v="IRM-28303"/>
    <x v="5"/>
    <x v="19"/>
    <s v="Document Management Integration Enhancements"/>
    <s v="Documents Management - Revenue management - Manage Party Role Documents  - User"/>
    <s v="Ready for Release"/>
    <n v="160"/>
    <s v="GRC"/>
    <x v="3"/>
    <x v="9"/>
    <s v="p1"/>
    <s v="2025-07-21T18:08:01.000+0300"/>
    <s v="DOCUMENT_MANAGEMENT_INTEGRATION,GR,GR_Early_A,IATNotTestable,IRM:PI26IP_end,MVP,No_Doc,PI26,pi26_candidate,pi26_leftover,pi26_p1,pi27_p2"/>
    <s v="3.0.0"/>
    <s v="Documents Management - Revenue management - Manage Party Role Documents  - User"/>
    <s v="As a Revenue Authority Officer,  I need to be able to access, filter, search, and update flags on documents related to party,  party roles,   so that I can review, manage, and reuse documents that are system-generated, taxpayer-uploaded, or uploaded by the revenue authority._x000d__x000a__x000d__x000a_ _x000d__x000a__x000d__x000a_*Introduction*_x000d__x000a__x000d__x000a_The system currently logs all attachments in the relevant microservices and may be integrated with a Document Management System (DMS)._x000d__x000a_Notes: _x000d__x000a_In development environments, integration with Alfresco is available as demo._x000d__x000a_This feature depends on the  [https://jira.intrasoft-intl.com/browse/IRM-28301] where party role folder creation is defined._x000d__x000a__x000d__x000a_Assumptions: _x000d__x000a_The system is integrated with a DMS server that supports the necessary functions for document access, metadata management, and retrieval._x000d__x000a_If a document is related with a party then it will be visible in all the related party roles.  _x000d__x000a_Row level security on documents permissions will be a different subject that will be managed via flags category and topic. _x000d__x000a__x000d__x000a_ _x000d__x000a__x000d__x000a_*Functional Requirement* _x000d__x000a__x000d__x000a_*Core*_x000d__x000a_ - Revenue authority officer can *see* all taxpayer documents , and can *search* for the documents in a specific area in the application, plus when need to search and *upload* an existing as an attachment, e.g. form, case. _x000d__x000a_ - Documents versions are maintained as per DMS functionality. _x000d__x000a__x000d__x000a_*What is visible:* _x000d__x000a_ - The documents Taxpayer uploads or the documents uploaded by the revenue officer and relevant to party roles revenue authority has access to (that will not be restricted by any row level access based on documents categorization - not a matter of this feature)._x000d__x000a__x000d__x000a_Document {*}Metadata and Flags{*}:_x000d__x000a_ - Each document is flagged by: _x000d__x000a_ -- File name_x000d__x000a_ -- Uploaded date_x000d__x000a_ -- Uploaded by_x000d__x000a_ - Each document may optionally_x000d__x000a_ -- be related to other records in the system (Form, Case) , entity CL, Entity ID_x000d__x000a_ -- be related to a DMS ID_x000d__x000a_ - Each document is flagged by *optional* fields: _x000d__x000a_ -- Source cl (the global cl to be used)_x000d__x000a_ -- Type [Examples: - (Default),  Disclaimer,  Certificate,   (see in notes below for some examples)   ]_x000d__x000a_ -- Status  [ Examples: Public (default), Obsolete ] _x000d__x000a_ -- Document Category (CL)  [Examples: - (Default),  Taxpayer, External Party,  Authority]  (different than the Attachment Category)_x000d__x000a_ -- -Topic  [Free text]-_x000d__x000a_ -- -Subtopic [Free text]-_x000d__x000a_ -- Document metadata : Created by , Created date, size, file type_x000d__x000a_ -- (by system autogenerated or manually entered) Related party_x000d__x000a_ -- (by system autogenerated or manually entered) Related party role_x000d__x000a_ -- (by system autogenerated) Related user (ISS)_x000d__x000a_ -- (By system autogenerated) related entity (!) More than one entity's record may be related. _x000d__x000a_ - Permissions_x000d__x000a_ -- Policy applied [Free text] (Note: the usability of this field will be discussed in another feature)_x000d__x000a_ -- *Restricted to SS* (default OFF - used in special occasions - It will be considered ONLY if it is set as restricted, and the functionality will be not to be available in SS) _x000d__x000a__Note: The row level security per operation types is expected to apply additional security based on documents categorization. Not a matter for this feature._ _x000d__x000a__x000d__x000a_*Navigation*_x000d__x000a_ * _x000d__x000a_ -- User has available a page :  All Documents  , listing all documents user has access. (Similarly admin may see a list of all documents available as per permissions )  (list page) _x000d__x000a_ -- User can see the list of documents per party , in a list under party   (If a document is related with a party then it will be visible in all the related party roles but it is clear that are related to party , and the vise versa ) _x000d__x000a_ -- User can see the list of documents per party role (documents may be linked to party or specific party role records - not a different party role))_x000d__x000a_ -- User can see the list of documents per related entity attachments (e.g. Forms) _x000d__x000a__x000d__x000a_*Search* / *Filter*_x000d__x000a_ * _x000d__x000a_ -- User may search in the list of documents using preselected filters as per above flags [ Name, Source,  Type, Status, Category, Topic, Subtopic, related item, Uploaded date, Uploaded by, User id)_x000d__x000a_ -- User may see and search by party identifier or party role. When searching by party ALL party role related documents will appear. _x000d__x000a__x000d__x000a_*Actions*_x000d__x000a_ * _x000d__x000a_ -- Admin can update _x000d__x000a_ --- Source_x000d__x000a_ --- Related entities plus if applicable related party, party role_x000d__x000a_ --- Policy applied [Free text]_x000d__x000a_ -- User can update _x000d__x000a_ --- Status_x000d__x000a_ --- Type_x000d__x000a_ --- Category (CL)_x000d__x000a_ --- -Topic-_x000d__x000a_ --- -Subtopic-_x000d__x000a_ --- Data Area  i.e. User define characteristics available_x000d__x000a_ --- Related entity (Party , party role .. )_x000d__x000a_ --- Comments_x000d__x000a_ -- User can download the document._x000d__x000a_ -- User can access and use the documents in the folder to upload them in other related records (e.g.  forms)_x000d__x000a__x000d__x000a_Notes: _x000d__x000a_[https://dev-docs.swpd/swpd-doc/docs-solon-tax/solon-tax/2.0.0/sad/partials/document_management_cmis.html] _x000d__x000a__x000d__x000a_*Documentation*_x000d__x000a_Document all the above adjustments. _x000d__x000a__x000d__x000a_*Non functional requirements*_x000d__x000a_Performance , Security, Accessibility, Usability  DODs should be fulfilled. _x000d__x000a__x000d__x000a_!image-2025-10-13-08-55-14-941.png|width=755,height=426!_x000d__x000a__x000d__x000a_ _x000d__x000a_----_x000d__x000a_!image-2025-10-13-08-50-26-426.png|width=734,height=414!_x000d__x000a__x000d__x000a_ _x000d__x000a__x000d__x000a_!image-2025-10-13-10-00-17-919.png|width=466,height=329!_x000d__x000a__x000d__x000a_!image-2025-10-13-10-21-47-272.png|width=708,height=305!_x000d__x000a__x000d__x000a_Notes: _x000d__x000a__x000d__x000a_*Document Types*_x000d__x000a_|*Κωδικός Τύπου Εγγράφου*|*Περιγραφή Τύπου Εγγράφου*|_x000d__x000a_|1|ΠΛΗΡΕΞΟΥΣΙΟ ΕΙΔΙΚΟ|_x000d__x000a_|3|ΔΙΚΑΣΤΙΚΗ ΑΠΟΦΑΣΗ|_x000d__x000a_|2|ΠΛΗΡΕΞΟΥΣΙΟ ΓΕΝΙΚΟ|_x000d__x000a_|4|ΛΗΞΙΑΡΧΙΚΗ ΠΡΑΞΗ ΓΑΜΟΥ|_x000d__x000a_|5|ΔΙΑΖΕΥΚΤΗΡΙΟ|_x000d__x000a_|6|ΛΗΞΙΑΡΧΙΚΗ ΠΡΑΞΗ ΘΑΝΑΤΟΥ|_x000d__x000a_|0|ΑΓΝΩΣΤΟ ΕΙΔΟΣ ΕΓΓΡΑΦΟΥ|_x000d__x000a_|7|ΚΑΤΑΣΤΑΤΙΚΟ|_x000d__x000a_|99|ΜΕΤΑΠΤΩΣΗ|_x000d__x000a_|8|ΔΙΑΘΗΚΗ|_x000d__x000a_|9|ΠΙΣΤΟΠΟΙΗΤΙΚΟ ΕΓΓΥΤΕΡΩΝ ΣΥΓΓΕΝΩΝ|_x000d__x000a_|11|ΛΗΞΙΑΡΧΙΚΗ ΠΡΑΞΗ ΣΥΜΦΩΝΟΥ ΣΥΜΒΙΩΣΗΣ|_x000d__x000a_|12|ΑΠΟΠΟΙΗΣΗ ΚΛΗΡΟΝΟΜΙΑΣ|_x000d__x000a_|13|ΠΙΣΤΟΠΟΙΗΤΙΚΟ ΓΕΝΝΗΣΗΣ|_x000d__x000a_|14|ΥΠΕΥΘΥΝΗ ΔΗΛΩΣΗ|_x000d__x000a_|10|ΠΙΣΤΟΠΟΙΗΤΙΚΟ ΟΙΚΟΓΕΝΕΙΑΚΗΣ ΚΑΤΑΣΤΑΣΗΣ|_x000d__x000a_|15|ΛΗΞΙΑΡΧΙΚΗ ΠΡΑΞΗ ΓΕΝΝΗΣΗΣ|_x000d__x000a_|16|ΕΞΟΥΣΙΟΔΟΤΗΣΗ|_x000d__x000a_|17|ΚΛΗΡΟΝΟΜΗΤΗΡΙΟ|_x000d__x000a_|18|ΔΗΛΩΣΗ ΚΛΗΡΟΝΟΜΙΑΣ|_x000d__x000a__x000d__x000a_*Status*_x000d__x000a__x000d__x000a_RESTRICTED_x000d__x000a__x000d__x000a_AUTHORITY ONLY_x000d__x000a__x000d__x000a_PUBLIC_x000d__x000a__x000d__x000a_*Categories* _x000d__x000a__x000d__x000a_TAXPAYER ORIGIN (taxpayer submitted the document i.e. ΛΗΞΙΑΡΧΙΚΗ ΠΡΑΞΗ ΙΔΡΥΣΗΣ ΕΤΑΙΡΙΑΣ)_x000d__x000a__x000d__x000a_AUTHORITY ORIGIN (Authority created the document i.e. Βεβαίωση Απόδοσης ΑΦΜ)_x000d__x000a__x000d__x000a_EXTERNAL PARTY ORIGIN (externally submitted document i.e. ΠΙΣΤΟΠΟΙΗΤΙΚΟ ΟΙΚΟΓΕΝΕΙΑΚΗ ΚΑΤΑΣΤΑΣΗΣ που πάρθηκε κατευθείας από τον Δήμο)_x000d__x000a_ * Type : Disclaimer,  Certificate,  Identification, Will,  Statute, Authorization, Valuation ,  _x000d__x000a_ * Document Category :  Taxpayer Details,  External Party,  Authority Paperwork , Cases Paperwork , Legal Paperwork , Financial Paperwork, Memos, Audit Reports , Licences _x000d__x000a__x000d__x000a_Topic could be more open and ad a new dimension like what will be used for : _x000d__x000a_Family status certificate_x000d__x000a_Debt recovery Appointment -Authorization_x000d__x000a_Licenses for new Activity _x000d__x000a_Updated Property Valuation for the latest amendments _x000d__x000a_Approval for write off memo_x000d__x000a_Extrajudicial agreement Announcement_x000d__x000a_ "/>
    <s v="If revenue authority officers can effectively search, filter, and update metadata (flags) of documents related to party roles,_x000d__x000a_then they will be able to streamline document review and reuse, leading to increased operational efficiency, reduced duplication, and improved audit traceability."/>
    <s v="*1. Core*_x000d__x000a_ # Revenue authority officer can *see* all taxpayer documents , and can *search* for the documents in a specific area in the application, plus when need to search and *upload* an existing as an attachment, e.g. form, case. _x000d__x000a__x000d__x000a_*2. What is visible:*_x000d__x000a_ # The documents Taxpayer uploads or the documents uploaded by the revenue officer and relevant to party roles revenue authority has access to (that will not be restricted by any row level access based on documents categorization - not a matter of this feature)._x000d__x000a__x000d__x000a_3. Document {*}Metadata and Flags{*}:_x000d__x000a_ # Each document is flagged by: _x000d__x000a_ ## File name_x000d__x000a_ ## Uploaded date_x000d__x000a_ ## Uploaded by_x000d__x000a_ # Each document may optionally_x000d__x000a_ ## be related to other records in the system (Form, Case) , entity CL, Entity ID_x000d__x000a_ ## be related to a DMS ID_x000d__x000a_ # Each document is flagged by *optional* fields: _x000d__x000a_ ## Source cl (the global cl to be used)_x000d__x000a_ ## Type [Examples: - (Default),  Disclaimer,  Certificate,   (see in notes below for some examples)   ]_x000d__x000a_ ## Status  [ Examples: Public (default), Obsolete ] _x000d__x000a_ ## Document Category (CL)  [Examples: - (Default),  Taxpayer, External Party,  Authority]  (different than the Attachment Category)_x000d__x000a_ ## -Topic  [Free text]-_x000d__x000a_ ## -Subtopic [Free text]-_x000d__x000a_ ## Document metadata : Created by , Created date, size, file type_x000d__x000a_ ## (by system autogenerated or manually entered) Related party_x000d__x000a_ ## (by system autogenerated or manually entered) Related party role_x000d__x000a_ ## (by system autogenerated) Related user (ISS)_x000d__x000a_ ## (By system autogenerated) related entities/records_x000d__x000a__x000d__x000a_4.  *Permissions*_x000d__x000a_ # Policy applied [Free text] (Note: the usability of this field will be discussed in another feature)_x000d__x000a_ # *Restricted to SS* (default OFF - used in special occasions - It will be considered ONLY if it is set as restricted, and the functionality will be not to be available in SS) _x000d__x000a__Note: The row level security per operation types is expected to apply additional security based on documents categorization. Not a matter for this feature.__x000d__x000a__x000d__x000a_*5. Navigation*_x000d__x000a_ # User has available a page :  All Documents  , listing all documents user has access. (Similarly admin may see a list of all documents available as per permissions )  (list page) _x000d__x000a_ # User can see the list of documents per party , in a list under party   (If a document is related with a party then it will be visible in all the related party roles but it is clear that are related to party , and the vise versa ) _x000d__x000a_ # User can see the list of documents per party role (documents may be linked to party or specific party role records - not a different party role))_x000d__x000a_ # User can see the list of documents per related entity attachments (e.g. Forms)_x000d__x000a__x000d__x000a_6. *Search* / *Filter*_x000d__x000a_ # User may search in the list of documents using preselected filters as per above flags [ Name, Source,  Type, Status, Category, Topic, Subtopic, related item, Uploaded date, Uploaded by, User id)_x000d__x000a_ # User may see and search by party identifier or party role. When searching by party ALL party role related documents will appear. _x000d__x000a__x000d__x000a_*7. Actions*_x000d__x000a_ # Admin can update _x000d__x000a_ # Source_x000d__x000a_ # Related entities plus if applicable related party, party role_x000d__x000a_ # Policy applied [Free text]_x000d__x000a_ # User can update _x000d__x000a_ # Status_x000d__x000a_ # Type_x000d__x000a_ # Category (CL)_x000d__x000a_ # -Topic-_x000d__x000a_ # -Subtopic-_x000d__x000a_ # Related entity -ies  (Party , party role , plus form case or other party child object or contact.. )_x000d__x000a_ # Comments_x000d__x000a_ # User can download the document._x000d__x000a_ # User can access and use the documents in the view to upload them in other related records (e.g.  forms)"/>
  </r>
  <r>
    <s v="IRM-28302"/>
    <x v="5"/>
    <x v="19"/>
    <s v="Document Management Integration Enhancements"/>
    <s v="Documents Management - Self Service - Manage My Documents - User"/>
    <s v="Ready for Release"/>
    <n v="46"/>
    <s v="GRC"/>
    <x v="3"/>
    <x v="57"/>
    <s v="p1"/>
    <s v="2025-07-21T17:18:14.000+0300"/>
    <s v="C1,DOCUMENT_MANAGEMENT_INTEGRATION,GR,GR_Early_A,IRM:PI26IP_end,MVP,No_Doc,pi26_candidate,pi26_leftover,pi26_p1,pi27_p2"/>
    <s v="3.0.0"/>
    <s v="Documents Management - Self Service - Manage My Documents - User"/>
    <s v="As a ss user /taxpayer, I need to be able to access, search and update all of the documents I previously uploaded in the system for any usage (e.g. submitted to tax authority) or documents tax authority created for me in my personal view, all together in a location in the application environment in order to property manage all of my documents, search, sort, download, review etc. The documents I am uploading and other documents revenue authority officer uploads will be visible if not flagged otherwise. _x000d__x000a_Additionally in this area :   I want to be able to attach documents in a request (e.g. form) submitted to the tax authority ,  so that I can provide the required information needed for my request.  I can upload and use in a request, or upload in the requested and see them in document management area related to me and the request I made. _x000d__x000a_Similarly I can see all the documents I am permitted to see and related to me. _x000d__x000a_ _x000d__x000a__x000d__x000a_*Introduction*_x000d__x000a__x000d__x000a_At that moment system logs all attachments in relevant ms and may be integrated with a DMS (in devs environments there is a connection with Alfresco). _x000d__x000a__x000d__x000a_It depends on the  [https://jira.intrasoft-intl.com/browse/IRM-28301] where party role view creation is defined and it is related  with [https://jira.intrasoft-intl.com/browse/IRM-28303] where revenue authority can view and update the documents. _x000d__x000a__x000d__x000a_Be sure that what is the SS and what is the RM applications is clear. _x000d__x000a_Be sure that what is the ss-user and what accounts related as well as user rights is clear. _x000d__x000a__x000d__x000a_*Functional Requirement* _x000d__x000a__x000d__x000a_*Core*_x000d__x000a_ - Taxpayer can *see* documents related to their accounts, and they can *search* for their related documents in a specific area in the application, plus they can locate already uploaded documents and use them when need to search and *upload* an existing as an attachment, e.g. form, human task_x000d__x000a_ - Documents versions are maintained as per DMS functionality. _x000d__x000a__x000d__x000a_*What is visible:* _x000d__x000a_ - The documents Taxpayer uploads or the documents uploaded by the revenue officer and relevant to party roles ss-user have access to, and not restricted to SS should be available. _x000d__x000a_ - If  &quot;Restricted to SS&quot; in a document is checked, then document will be not to be available in SS._x000d__x000a_ - SS user (e.g. accountant)  that can see more than one accounts: *For each party role the views* will be visible. __ _x000d__x000a__(Account is the related party role with the user ,_ _See also functionality : User Right. A party role relationship between a a self-service user and an account can have rights. These rights characterize what the account owner has authorized the self-service user to do.)__x000d__x000a_ - If a document is related to a party then it will be visible in all the related party roles._x000d__x000a_In case I am an account viewing many party roles, the permission to see all documents should be defined in the system. _x000d__x000a_ - The assumption is that the documents that are visible are documents related to records that are available in SS. (e.g. if Human tasks are not exposed to SS, then it is not expected the relevant documents to be visible). _x000d__x000a__x000d__x000a_*Navigation*_x000d__x000a_ - User can see the list of documents per party role (documents may be linked to party or specific party role records - not a different party role))_x000d__x000a_ - User can see the list of documents per related entity attachments (e.g. Forms) that are related to specific party role or party (not a different party role) _x000d__x000a_ - The relation column will state that this is related to a party or party role_x000d__x000a__x000d__x000a_*Actions* _x000d__x000a_ - User can access documents list :&quot;My Documents&quot;_x000d__x000a_ - User may search in the list of documents using preselected filters as per above flags [ Name, Source,  Type, Status, Category, Topic, Subtopic, related item(s), Uploaded date, Uploaded by, user Id, submission date ]_x000d__x000a_ - User can update _x000d__x000a_ ** _x000d__x000a_ --- Status_x000d__x000a_ --- Type_x000d__x000a_ --- Category (CL)_x000d__x000a_ --- Topic_x000d__x000a_ --- Subtopic_x000d__x000a_ --- Comments_x000d__x000a_ - User can download the document (as per existing validation- if available in this stage)_x000d__x000a_ - User can access and use the documents in the view to upload them in other related records (e.g.  forms  party child objects , case, contact)_x000d__x000a_ - In SS not all the entities are available. The documents related for the entities approved to be visible in SS will be visible to Taxpayers. _x000d__x000a_ - Each document is flagged by *optional* fields: _x000d__x000a_ -- Source cl (the global cl to be used)_x000d__x000a_ -- Type [Examples: - (Default),  Disclaimer,  Certificate,   (see in notes below for some examples)   ]_x000d__x000a_ -- Status  [ Examples: Public (default), Obsolete ] _x000d__x000a_ -- Document Category (CL)  [Examples: - (Default),  Taxpayer, External Party,  Authority]  (different than the Attachment Category)_x000d__x000a_ -- Topic  [Free text]_x000d__x000a_ -- Subtopic [Free text]_x000d__x000a_ -- Document metadata : Created by , Created date, size, file type_x000d__x000a_ -- (by system autogenerated or manually entered) Related party_x000d__x000a_ -- (by system autogenerated or manually entered) Related party role_x000d__x000a_ -- (by system autogenerated) Related user (ISS)_x000d__x000a_ -- (By system autogenerated) related entity (!) More than one entity's record may be related. _x000d__x000a_ -- Policy applied [Free text] (Note: the usability of this field will be discussed in another feature)_x000d__x000a__x000d__x000a_Notes: _x000d__x000a_[https://dev-docs.swpd/swpd-doc/docs-solon-tax/solon-tax/2.0.0/sad/partials/document_entity.html] _x000d__x000a_[https://jira.intrasoft-intl.com/browse/IRM-26708]_x000d__x000a__x000d__x000a_ _x000d__x000a__x000d__x000a_ _x000d__x000a__x000d__x000a_*!image-2025-10-13-08-56-04-231.png|width=778,height=439!*_x000d__x000a__x000d__x000a_*!image-2025-10-13-09-06-02-314.png|width=340,height=502!*_x000d__x000a__x000d__x000a_*Documentation*_x000d__x000a_Document all the above adjustments. _x000d__x000a__x000d__x000a_*Non functional requirements*_x000d__x000a_Performance , Security, Accessibility, Usability  DODs should be fulfilled. "/>
    <s v="As a self-service (SS) user or taxpayer,_x000d__x000a_I need access to all documents I’ve previously uploaded or received from the tax authority—organized in one location within the application environment,_x000d__x000a_so that I can effectively manage, search, review, and reuse documents for future actions, including attaching them to new requests or forms submitted to the tax authority._x000d__x000a__x000d__x000a_This unified document space enhances user autonomy, reduces duplicate uploads, and ensures that required documents are readily accessible for reuse or reference."/>
    <s v="# SS user that can see more than one accounts: *For each party role the views* will be visible. _x000d__x000a_ # User can view the list of documents per party role_x000d__x000a_ # User can view the list of documents per related entity attachments (e.g. Forms)_x000d__x000a_ # User can access documents list :&quot;My Documents&quot;_x000d__x000a_ # User may search in the list of documents using preselected filters as per below mentioned flags [ Name, Source,  Type, Status, Category, Topic, Subtopic, related item, Uploaded date, Uploaded by)_x000d__x000a_ # Each document is flagged by *optional* fields: _x000d__x000a_ -- Source cl (the global cl to be used)_x000d__x000a_ -- Type [Examples: - (Default),  Disclaimer,  Certificate,   (see in notes below for some examples)   ]_x000d__x000a_ -- Status  [ Examples: Public (default), Obsolete ] _x000d__x000a_ -- Document Category (CL)  [Examples: - (Default),  Taxpayer, External Party,  Authority]  (different than the Attachment Category)_x000d__x000a_ -- Topic  [Free text]_x000d__x000a_ -- Subtopic [Free text]_x000d__x000a_ -- Document metadata : Created by , Created date, size, file type_x000d__x000a_ -- (by system autogenerated or manually entered) Related party_x000d__x000a_ -- (by system autogenerated or manually entered) Related party role_x000d__x000a_ -- (by system autogenerated) Related user (ISS)_x000d__x000a_ -- (By system autogenerated) related entity_x000d__x000a_ -- Policy applied [Free text] (Note: the usability of this field will be discussed in another feature)_x000d__x000a_ # User can update _x000d__x000a_ ## Status_x000d__x000a_ ## Type_x000d__x000a_ ## Category (CL)_x000d__x000a_ ## Topic_x000d__x000a_ ## Subtopic_x000d__x000a_ ## Comments_x000d__x000a_ # User can download the document_x000d__x000a_ # User can use the documents to upload them in other related records (e.g.  forms)"/>
  </r>
  <r>
    <s v="IRM-28301"/>
    <x v="5"/>
    <x v="19"/>
    <s v="Document Management Integration Enhancements"/>
    <s v="Documents Management - Manage Party Role Documents - Admin"/>
    <s v="Ready for Release"/>
    <n v="38"/>
    <s v="GRC"/>
    <x v="3"/>
    <x v="58"/>
    <s v="p1"/>
    <s v="2025-07-21T13:40:41.000+0300"/>
    <s v="C1,DOCUMENT_MANAGEMENT_INTEGRATION,GR,GR_Early_A,IRM:PI26IP_end,MVP,No_Doc,pi26_candidate,pi26_leftover,pi26_p1,pi27_p2"/>
    <s v="3.0.0"/>
    <s v="Documents Management - Manage Party Role Documents - Admin"/>
    <s v="As an admin and user, I need documents uploaded or generated  located under specific document views in the system in order to be able to easily access all of the documents available. _x000d__x000a__x000d__x000a_ _x000d__x000a__x000d__x000a_*Introduction*_x000d__x000a__x000d__x000a_The system currently logs all attachments  and contacts,  in the relevant microservices and may be integrated with a Document Management System (DMS).  In development environments, integration with Alfresco is available._x000d__x000a__x000d__x000a_Assumptions : _x000d__x000a_ - The system is integrated with a DMS server that supports the necessary functions for document access, metadata management, and retrieval._x000d__x000a_ - Autogenerated documents /attachments/contacts, integrated or manually uploaded can be relayed to a party role via related records or defined by user or process.  (see more details in functional requirements). _x000d__x000a_ - Row level security on documents permissions will be a different subject that will be managed via flags category and type. ([https://jira.intrasoft-intl.com/browse/IRM-28522])_x000d__x000a__x000d__x000a_ _x000d__x000a__x000d__x000a_Feature will be needed in RM: [https://jira.intrasoft-intl.com/browse/IRM-28303] and SS: [https://jira.intrasoft-intl.com/browse/IRM-28302] _x000d__x000a__x000d__x000a_Note: View mentioned below concerns/expresses a way to group documents per related records/entities.  _x000d__x000a__x000d__x000a_ _x000d__x000a__x000d__x000a_*Functional Requirement* _x000d__x000a_ - Each party has a dedicated personal view (= grouping of records)._x000d__x000a_ -- The system automatically creates this view when a party  is created._x000d__x000a_ -- Files automatically generated by the system and related * to party , are placed under that view . _x000d__x000a_ -- Files uploaded by users (ss or rm) and related* to party  are automatically placed under that view. _x000d__x000a_ -- Files integrated and related* to party are automatically placed under that view. _x000d__x000a_ - Each party role has a dedicated personal view  (= grouping of records)._x000d__x000a_ -- The system automatically creates this view when a  party role is created._x000d__x000a_ -- Files automatically generated by the system and related * to party role, are placed under that view. _x000d__x000a_ -- Files uploaded by users (ss or rm) and related* to party role are automatically placed under that view. _x000d__x000a_ -- Files integrated and related* to party role are automatically placed under that view. _x000d__x000a_ - Permissions (securable objects and row level) _x000d__x000a_ -- SS &amp; RM Users and Admins with access to party or  party role have access to view and to the related documents. (row level)_x000d__x000a_ -- SS &amp; RM Users and Admins can see metadata of the view (creation date, size).   (securable objects) _x000d__x000a_ -- Permission to -Processes and admins- users, that may access and upload documents generated by the system._x000d__x000a_ --- SS users visibility is affected by user rights _x000d__x000a_ --- If  &quot;Restricted to SS&quot; in a document is checked, then document will be not to be available in SS.  (row level additional filter) _x000d__x000a__Note: The row level security per operation types is expected to apply additional security based on documents categorization. Not a matter for this feature._ _x000d__x000a_ - Apart of the specific restrictions all the documents are common in SS and RM._x000d__x000a_ - Documents versions are maintained as per DMS functionality. _x000d__x000a_ - All users can search ad filter documents as per available flags and details (se also [https://jira.intrasoft-intl.com/browse/IRM-28303] )_x000d__x000a__x000d__x000a_ _x000d__x000a__x000d__x000a_ ( *  ) Relation of a document, attachment , contact  to a specific party role may happen: a) because of the direct relation of the record (e.g.  form , case, human task , contact etc), to the party role, b) because manually the user or the process or the integration , defined the related party role for the document. _x000d__x000a_In case of relation of the related record to more that one party roles, the document should be available to both views.  _x000d__x000a_In case of relation of the related record to a party and not to party role,  the document should be available to both views._x000d__x000a__x000d__x000a_!image-2025-10-13-09-19-20-232.png|width=584,height=442!_x000d__x000a__x000d__x000a_!image-2025-10-13-10-23-07-054.png|width=605,height=261!_x000d__x000a__x000d__x000a_ _x000d__x000a__x000d__x000a_ _x000d__x000a__x000d__x000a_ _x000d__x000a__x000d__x000a_ _x000d__x000a__x000d__x000a_Notes: _x000d__x000a_Migration should be performed to the existing dev/test environments optionally, and relevant instructions should be suggested to the existing implementations. _x000d__x000a__x000d__x000a_ _x000d__x000a__x000d__x000a_ _x000d__x000a__x000d__x000a_ _x000d__x000a__x000d__x000a_ _x000d__x000a__x000d__x000a_!image-2025-10-13-08-49-16-624.png|width=1018,height=574!_x000d__x000a__x000d__x000a_*!image-2025-10-13-09-22-55-479.png|width=373,height=360!*_x000d__x000a_*Documentation*_x000d__x000a_Document all the above adjustments. _x000d__x000a__x000d__x000a_*Non functional requirements*_x000d__x000a_Performance , Security, Accessibility, Usability  DODs should be fulfilled. "/>
    <s v="If revenue authority officers can effectively search, filter, and update metadata (flags) of documents related to party roles,_x000d__x000a_then they will be able to streamline document review and reuse, leading to increased operational efficiency, reduced duplication, and improved audit traceability."/>
    <s v="# The system automatically creates this view when a party role is created._x000d__x000a_ # Files automatically generated by the system and related to party role, are placed under that view._x000d__x000a_ # Files uploaded by users (ss or rm) and related to party role are automatically placed under that view. _x000d__x000a_ # Files integrated and related to party role are automatically placed under that view. _x000d__x000a_ # SS &amp; RM Users and Admins with access to party role have access to view and related documents._x000d__x000a_ # SS &amp; RM Users and Admins can see metadata of the views (creation date, size). _x000d__x000a_ # Processes and admins with permissions may access views to upload documents generated by the system _x000d__x000a_ # SS users visibility is affected by user rights_x000d__x000a_ # If  &quot;Restricted to SS&quot; in a document is checked, then document will be not to be available in SS._x000d__x000a_ # Apart of the exceptions, documents are common in SS and RM._x000d__x000a_ # Documents versions are maintained as per DMS functionality. _x000d__x000a_ # All users can search and filter documents as per available flags and details"/>
  </r>
  <r>
    <s v="IRM-27733"/>
    <x v="1"/>
    <x v="3"/>
    <s v="Ark"/>
    <s v="Enforce applicable guidelines in CI"/>
    <s v="To Do"/>
    <m/>
    <s v="Other"/>
    <x v="2"/>
    <x v="0"/>
    <s v="p3"/>
    <s v="2025-06-23T15:28:06.000+0300"/>
    <s v="Documentation,pi26_candidate,pi27_candidate,pi27_p3,pi28_candidate"/>
    <m/>
    <m/>
    <m/>
    <m/>
    <m/>
  </r>
  <r>
    <s v="IRM-27731"/>
    <x v="1"/>
    <x v="3"/>
    <s v="Ark"/>
    <s v="Augment additional Guidelines for items not covered in template (Spring/Spring Boot/Kafka etc)"/>
    <s v="Waiting Analysis Approval"/>
    <m/>
    <s v="Other"/>
    <x v="2"/>
    <x v="0"/>
    <s v="p3"/>
    <s v="2025-06-23T14:48:58.000+0300"/>
    <s v="AppSec,Documentation,pi26_candidate,pi27_candidate,pi27_p3,pi28_candidate"/>
    <m/>
    <m/>
    <m/>
    <m/>
    <m/>
  </r>
  <r>
    <s v="IRM-27340"/>
    <x v="5"/>
    <x v="14"/>
    <s v="Reference Data Enhancements"/>
    <s v="Filtering Relating Codelist items in tree view - Part 3 (leftover)"/>
    <s v="Under Verification"/>
    <n v="101.3"/>
    <s v="GRC"/>
    <x v="3"/>
    <x v="59"/>
    <s v="p2"/>
    <s v="2025-06-06T13:44:13.000+0300"/>
    <s v="GR,GR_Early_B,IRM:PI27S02_start,IRM:PI27S03_end,MVP_new,REFERENCE_DATA,TshirtSize_M,pi27_candidate,pi27_p2"/>
    <s v="3.0.0"/>
    <s v="Filtering Relating Codelist items in tree view - Part 3 (leftover)"/>
    <s v="As an admin, I need the ability to search and filter values of the codelist items when in tree view. _x000d__x000a__x000d__x000a_ _x000d__x000a__x000d__x000a_*Introduction*_x000d__x000a__x000d__x000a_The codelists tree vew implemented in features;  [https://jira.intrasoft-intl.com/browse/IRM-26824] , [https://jira.intrasoft-intl.com/browse/IRM-27327] _x000d__x000a_are not searchable in a way that user to be able to easily select the item needed from a long list. _x000d__x000a__x000d__x000a_ _x000d__x000a__x000d__x000a_*Functional Requirements*_x000d__x000a__x000d__x000a_We need to be able to search for the values in a tree view by Name of the value of the  top level item or attributes of the parent list item._x000d__x000a_The search will happen in the top level, and then the search results will display the tree of the child items. _x000d__x000a__x000d__x000a_{color:#505f79}_Examples:_ {color}_x000d__x000a_ * {color:#505f79}_Prefix of the code of codelist item (e.g., first 2 characters   , filter by items with code 22)_ {color}_x000d__x000a_ * {color:#505f79}_Keywords or patterns in descriptions  (e.g. filter items when starts with characters &quot;22&quot; )_ {color}_x000d__x000a_ * {color:#505f79}_Filter by attribute (e.g. Only if attribute 'Max value' = 5)__x000d__x000a__x000d__x000a_!image-2026-01-09-13-32-26-275.png!{color}_x000d__x000a__x000d__x000a_{color:#505f79}Note that UI will be implemented in  [https://jira.intrasoft-intl.com/browse/IRM-27326 , https://jira.intrasoft-intl.com/browse/IRM-27327|https://jira.intrasoft-intl.com/browse/IRM-27326]{color}_x000d__x000a__x000d__x000a_ _x000d__x000a__x000d__x000a_{color:#505f79}_{*}-Examples{*}/ Reference Implementations :_ {color}_x000d__x000a_ * {color:#505f79}_Enhance Activities codelist_  {color}_x000d__x000a_ ** {color:#505f79}_Filtering valued of the list by an b=new attribute  &quot;Books Financial Category&quot; ( possible values: A,B,C )_ _x000d__x000a__if available as example or use an existing attribute to demo this functionality_ {color}_x000d__x000a_ * {color:#505f79}_Postal Codes_ {color}_x000d__x000a_ ** {color:#505f79}_Defining parent item to create tree of postal codes based on 2 first letters of the  a rule , e.g.  '20' , '21'. '22' , ...   )_   {color}_x000d__x000a__x000d__x000a_{color:#505f79} __ {color}_x000d__x000a__x000d__x000a_ _x000d__x000a__x000d__x000a_*Documentation*_x000d__x000a_Document all the above adjustments. _x000d__x000a__x000d__x000a_ _x000d__x000a__x000d__x000a_*Non functional requirements*_x000d__x000a_Performance , Security, Accessibility, Usability  DODs should be fulfilled. _x000d__x000a_----_x000d__x000a_ "/>
    <s v="By introducing structured, hierarchical, and relational modeling to codelists, we expect to deliver a more adaptable platform that improves usability, accelerates delivery, and simplifies ongoing maintenance and governance."/>
    <s v="-We need be able to further filter the codelist items appear in a list  (tree view) based on the top level of the items of the tree_x000d__x000a_-Examples to demo the functionality"/>
  </r>
  <r>
    <s v="IRM-26951"/>
    <x v="5"/>
    <x v="21"/>
    <s v="Contact Management Enhancements"/>
    <s v="Send Outbound Message Manually to Multiple Recipients - Admin"/>
    <s v="Under Verification"/>
    <n v="40"/>
    <s v="GRC"/>
    <x v="3"/>
    <x v="60"/>
    <s v="p1"/>
    <s v="2025-05-26T09:27:33.000+0300"/>
    <s v="CONTACT_MANAGEMENT,Early_D,GR,IRM:PI27S03_start,IRM:PI27S04_end,IRM:PI27S05_end,LT,MVP,No_Doc,TshirtSize_S,irm_pd_pdm_agreed,pi26_descoped,pi26_p1+,pi27_candidate,pi27_p2"/>
    <s v="3.0.0"/>
    <s v="Send Outbound Message Manually to Multiple Recipients - Admin"/>
    <s v="As an Admin I can define some contact types can be sent to multiple recipients manually to be used when they  need to be able to send one contact to a list of recipients using a list so I can mass sent to all the contact that are interest. _x000d__x000a__x000d__x000a_This feature will support [https://jira.intrasoft-intl.com/browse/IRM-766] that will provide the functionality to user. _x000d__x000a__x000d__x000a_*Functional requirements*_x000d__x000a_ * Admin can define if a contact type can be set as able to be sent to multiple recipients using a list. _x000d__x000a_ * Admin may define a parameter to limit the number of recipients that may be selected._x000d__x000a_Note: How to be used : If more that the limited is selected a message will appear. _x000d__x000a__x000d__x000a_These items will be visible in UI and in product documentation after the https://jira.intrasoft-intl.com/browse/IRM-766 implementation. _x000d__x000a_ * -Admin may monitor any exceptions from the generation of the contacts sent to multiple recipients (per recipient) .- _x000d__x000a__x000d__x000a_Note: Based on [https://jira.intrasoft-intl.com/browse/IRM-774]  ,  admin may define the content per recipient type. _x000d__x000a_----_x000d__x000a_ _x000d__x000a__x000d__x000a_ _x000d__x000a__x000d__x000a_ "/>
    <s v="Requirement for Lithuania"/>
    <s v="* Admin can define if a contact type can be set as able to be sent to multiple recipients using a list. _x000d__x000a_ * Admin may define a parameter to limit the number of recipients that may be selected._x000d__x000a__x000d__x000a_ "/>
  </r>
  <r>
    <s v="IRM-26949"/>
    <x v="5"/>
    <x v="21"/>
    <s v="Contact Management Enhancements"/>
    <s v="Assign Unique Number to Incoming and Outgoing Documents"/>
    <s v="HLD"/>
    <n v="253.3"/>
    <s v="GRC"/>
    <x v="0"/>
    <x v="61"/>
    <s v="p1"/>
    <s v="2025-05-26T09:18:55.000+0300"/>
    <s v="DOCUMENT_MANAGEMENT_INTEGRATION,GR,MVP,TshirtSize_L,pi25_candidate,pi27_candidate,pi28_candidate,pi28_p1"/>
    <m/>
    <s v="Assign Unique Number to Incoming and Outgoing Documents"/>
    <s v=" As an admin I can define a rule to generate reference ID in a relevant field for incoming and outgoing documents in the system in order to comply with legal requirements part that refers to the Identification of the document. _x000d__x000a__x000d__x000a_ _x000d__x000a__x000d__x000a_*Introduction* **_x000d__x000a__x000d__x000a_Using functionality as defined by the solution of [https://jira.intrasoft-intl.com/browse/IRM-435]    **    ,  we may define the Document using a specific format. _x000d__x000a__x000d__x000a_ _x000d__x000a__x000d__x000a_*Functional Requirements*_x000d__x000a_ * Configurator, should be able to define the name of the file to be visible_x000d__x000a_ ** Option A : Configurator generated a file name according their needs, when generating a document (e.g. Operational report or export of form as in related psd). _x000d__x000a_ ** Option B : If product may not allow configurators to define the file name themselves then  a &quot;Alternative Name&quot; filed is available for documents incoming or outgoing,_x000d__x000a_ *** _x000d__x000a_ **** Field  can be visible in relevant pages/related lists_x000d__x000a_ **** Field in visible in Attachments related section next to file Name column_x000d__x000a_ **** I can search documents by this field. _x000d__x000a_ **** The field in logged in audit log._x000d__x000a_ **** Customers may define the  &quot;Alternative Name&quot;, that  will construct and  _x000d__x000a_ (relevant IRM-435 ) _x000d__x000a_ ** Special care on performance and error handling of the generation should be taken into consideration. _x000d__x000a__x000d__x000a_ * -Example / Base rule to format the Reference ID  :  **-  _x000d__x000a_  -a) Primary related entity type from which was generated, description  (e.g. Form)-_x000d__x000a_  -b)-  {-}Seperator &quot;{-}&quot;-_x000d__x000a_ -c) Related party role primary Identifier-_x000d__x000a_ -d)- {-}Seperator &quot;{-}&quot;-_x000d__x000a_  -e)  YYYTMMDDHH (Year 4 digits + Month 3 digits+ Day 2 digits + HH+MM+SS)-_x000d__x000a_  {-}d)  Seperator &quot;{-}&quot;- _x000d__x000a_  -e) String that will be &quot;IN&quot; for Inbound documents,  &quot;OUT&quot; for Outbound documents, &quot;SYS&quot; for System generated documents-_x000d__x000a__x000d__x000a_ _x000d__x000a__x000d__x000a_*Documentation*_x000d__x000a_Document all the above adjustments. _x000d__x000a__x000d__x000a_ _x000d__x000a__x000d__x000a_*Non functional requirements*_x000d__x000a_Performance , Security, Accessibility, Usability _x000d__x000a__x000d__x000a_DODs should be fulfilled. _x000d__x000a__x000d__x000a_ _x000d__x000a__x000d__x000a_ _x000d__x000a__x000d__x000a_ _x000d__x000a__x000d__x000a_ _x000d__x000a_----_x000d__x000a_-More details on Legal requirements for Documents :- _x000d__x000a_ -LT:- _x000d__x000a_|-Every document, whether incoming or system-generated (e.g. forms, letters), must receive a unique registration number.-_x000d__x000a_-Forms are documents, so forms submitted by users must also have metadata as below:.-|_x000d__x000a_||-Field-||-Description-||_x000d__x000a_|-*Document Name*-|-Human-readable title-|_x000d__x000a_|-*Creator / Author*-|-User or system module creating the document-|_x000d__x000a_|-*Sender / Receiver*-| * -For sent docs: add recipient.-_x000d__x000a_ * -For received docs: record sender, their reg. number, original date/title.-|_x000d__x000a_|-*Date*-|-Created and registered timestamps, YYYY-MM-DD-|_x000d__x000a_|-*Registration Number*-|-MAP automatically assigns a unique document registration number with a prefix and yearly resetting counter (e.g., 2025-IN-0001, 2025-OUT-0002).-|_x000d__x000a_|-*Original Document Ref.*-|-Links to the original document (e.g. response to request)-|_x000d__x000a__x000d__x000a_-Depending on the document type{*},{*} additional metadata fields may be required (e.g., contact email, case ID, type of correspondence).|-"/>
    <s v="By enabling admins to define and automate the generation of a structured Reference ID for all incoming and outgoing documents, the system ensures compliance with legal requirements related to document identification. This functionality improves traceability, facilitates audits, and enhances searchability and organization of documents across the system._x000d__x000a_This is a legal requirement for Lithuania"/>
    <s v="* Customers may define the name of the pdf or zip produced by operational report or contact._x000d__x000a_ * Example"/>
  </r>
  <r>
    <s v="IRM-26090"/>
    <x v="0"/>
    <x v="1"/>
    <s v="Maintainability Enhancements"/>
    <s v="Technology Management - Breaking Changes for Solon 3.0.0 (Current PI27)"/>
    <s v="In Progress"/>
    <n v="69.3"/>
    <s v="GRC"/>
    <x v="3"/>
    <x v="20"/>
    <s v="p1"/>
    <s v="2025-04-08T13:30:30.000+0300"/>
    <s v="FATnottestable,GR,IATNotTestable,breaking_change,pi27_candidate,pi27_p1"/>
    <s v="3.0.0"/>
    <s v="Technology Management - Breaking Changes for Solon 3.0.0 (Current PI27)"/>
    <s v="This enabler aims to bucket tasks that require introducing breaking changes. Should be planned as a prerequisite for Solon 3.0.0_x000d__x000a_ * Removal of deprecated_x000d__x000a_ * Spring Boot 4 /Spring Cloud-&gt; IRM-33555_x000d__x000a_ * Java 25 -&gt; IRM-30464_x000d__x000a_ * Elastic 9 (DevOps)_x000d__x000a_ * SCDF removal -&gt;  IRM-34326_x000d__x000a_ * Drools 10_x000d__x000a_ * Oracle 26ai -&gt; IRM-32830, IRM-33531_x000d__x000a_ * -Camunda 8.8 -&gt;- IRM-31876_x000d__x000a_ * Decomission Camunda 8 -&gt; IRM-34509_x000d__x000a_ * Kafka 4.x &amp; Redis 8.x (DevOps)_x000d__x000a_ * K8s Ingress Controller -&gt; IRM-32132 (DevOps)"/>
    <s v="TBD"/>
    <s v="TBD"/>
  </r>
  <r>
    <s v="IRM-25436"/>
    <x v="4"/>
    <x v="31"/>
    <s v="Reference Implementation - Self Service Filing &amp; Payments"/>
    <s v="SS Enhancements - Refactor existing self service pages to work through services implementation - part 4 / Important"/>
    <s v="Under Analysis"/>
    <n v="373.3"/>
    <s v="GRC"/>
    <x v="2"/>
    <x v="53"/>
    <s v="p1"/>
    <s v="2025-03-04T13:13:23.000+0200"/>
    <s v="ALREADY_IMPLEMENTED?,DeScope_Candidate,GR,LT,SELF_SERVICE_SERVICES_MANAGEMENT,TshirtSize_M,pi29_candidate,pi29_p1"/>
    <m/>
    <s v="SS Enhancements - Refactor existing self service pages to work through services implementation - part 4 / Important"/>
    <s v="As an admin, I want to define what services are provided on the portal (e.g. view account overview, view obligation overview, view CIT return, file CIT return, pay an obligation, or file an objection) and what portal resources (e.g. menu item, input form, page or action) and permissible operations are required for each of these services, so that a portal user can easily grant sub-users and/or representative users access to these services for the parties in specific roles to which this portal user has been linked or has been granted access to._x000d__x000a__x000d__x000a_ _x000d__x000a__x000d__x000a_Specifically, it should include the security solution for submitting forms and making payments which were descoped from part 1 feature. Any other item required according to architecture decisions should be considered here._x000d__x000a__x000d__x000a_When this is implemented the self service application should not user any pass through endponts towards the backend system _x000d__x000a__x000d__x000a_ _x000d__x000a__x000d__x000a_Check linked stories for relevant work in this feature"/>
    <s v="See functional and non-functional requirements"/>
    <s v="See functional and non-functional requirements"/>
  </r>
  <r>
    <s v="IRM-20399"/>
    <x v="1"/>
    <x v="3"/>
    <s v="Security"/>
    <s v="PenTest - Harden API requests with expression patterns allowed"/>
    <s v="Ready for Dev"/>
    <n v="266.7"/>
    <s v="Other"/>
    <x v="2"/>
    <x v="12"/>
    <s v="p2"/>
    <s v="2024-09-18T12:02:45.000+0300"/>
    <s v="pi25_candidate,pi25_p3,pi26_candidate,pi26_p2,pi27_candidate,pi28_candidate"/>
    <m/>
    <m/>
    <m/>
    <m/>
    <m/>
  </r>
  <r>
    <s v="IRM-20329"/>
    <x v="0"/>
    <x v="8"/>
    <s v="Security Enhancements"/>
    <s v="Data Security - Restrict Access to Personal Data GDPR- Admin (based on data classifications) - Part 1/4"/>
    <s v="Waiting Analysis Approval"/>
    <n v="434.7"/>
    <s v="Other"/>
    <x v="0"/>
    <x v="62"/>
    <s v="p2"/>
    <s v="2024-09-17T12:55:00.000+0300"/>
    <s v="SECURITY,TshirtSize_XXL,pi25_candidate,pi27_candidate,pi28_candidate,pi28_p2"/>
    <m/>
    <s v="Data Security - Restrict Access to Personal Data GDPR- Admin (based on data classifications) - Part 1/4"/>
    <s v="As an admin, I want to restrict access to sensitive personal data, so that only users that have a legitimate reason to access this data are granted access and unauthorized access to this data is prevented._x000d__x000a__x000d__x000a_*Introduction*_x000d__x000a__x000d__x000a_This feature is related to the epic IRM-3106 in which requirements have been documented to secure the information in the revenue management system from unauthorized access._x000d__x000a__x000d__x000a_This feature is related to IRM-30322 in which requirements have been documented to classify fields  (or characteristics or categories of attachments) in the application as fields that contain non-personal, personal or sensitive personal data GDPR. However, not each field that has been classified to contain (sensitive) personal data will always contain personal data, as these fields (e.g. identifier or address fields) may also be used to record data for parties that are not natural persons. Only if the data in these fields is related to a natural person (see IRM-20315), it can be considered personal data. Exception to this rule is data that cannot be related to or has not yet been related to a specific party, such as data in forms, uploaded payment data or messages in the message store that cannot or not yet be related to a specific party. This data should be considered personal if the data has been classified as such._x000d__x000a_Depends on [https://jira.intrasoft-intl.com/browse/IRM-20322] _x000d__x000a__x000d__x000a_ _x000d__x000a__x000d__x000a_*Out of scope :* _x000d__x000a_Archive db_x000d__x000a_Define classifications for financial details and relevant datasets (see [https://jira.intrasoft-intl.com/browse/IRM-23836] )_x000d__x000a__x000d__x000a_ _x000d__x000a__x000d__x000a_+Clarifications:+_x000d__x000a_classify fields  : as discussed  we mean restrict access to records based on record type and defined classification levels _x000d__x000a__x000d__x000a_+Expected Behaviors to be available :+ _x000d__x000a_+Visibility:+ _x000d__x000a_Field masking, e.g. Name = *****_x000d__x000a_Record hidden , e.g. record not returned_x000d__x000a_+Search+_x000d__x000a_Record hidden, e.g., No results returned, Result excluded completely_x000d__x000a_Field masking,  e.g., Result returned but masked_x000d__x000a_+Logs+_x000d__x000a_Logs should be immutable. Information may be masked. _x000d__x000a_ _x000d__x000a__x000d__x000a_*Functional Requirements*_x000d__x000a__x000d__x000a_*For Party , Party Roles, Attachments:*  _x000d__x000a_ * Admin can restrict access to sensitive personal data based on classification level and group of users (e.g. using user access groups)._x000d__x000a_The classification levels are defined in  [https://jira.intrasoft-intl.com/browse/IRM-20322] _x000d__x000a__x000d__x000a_ * Admin can restrict based on classification levels, who can :_x000d__x000a_ ** _Create__x000d__x000a_ ** _Read ( 2 modes to be able to be configured :  masked or not listing the record)_ _x000d__x000a_ ** _Update_  _x000d__x000a_ ** _Delete__x000d__x000a_ ** _Search_ _x000d__x000a_ ** The above permissions must be enforceable for operations initiated via the UI, direct service calls, or APIs._x000d__x000a__Suggestion:  Data Access Layer Enforcement of permissions__x000d__x000a_ **  __ It is expected that the visibility of the classified details may be configured by configurators as : masked or non visible. (see also ILs)_x000d__x000a__x000d__x000a_ * Admin should be able to remove (masking or removing record visibility)  access of records based on classification levels, from data areas of Party,  party role, Attachments_x000d__x000a__x000d__x000a_+Examples:+ _x000d__x000a_An Admin can successfully configure a User Access Group to have &quot;Read&quot; access to &quot;Personal Data&quot; but be denied &quot;Read&quot; access to &quot;Sensitive Personal Data&quot;._x000d__x000a_When a user from that group views a list of parties, parties with only &quot;Personal Data&quot; are visible, while parties with &quot;Sensitive Personal Data&quot; are either hidden or have their sensitive fields masked, as configured._x000d__x000a_When the same user performs a search, the results correctly exclude or mask records containing &quot;Sensitive Personal Data&quot;._x000d__x000a__x000d__x000a_*{color:#172b4d}Identification Labels{color}*_x000d__x000a_ * {color:#172b4d}Identification labels should be displayed according the relevant classifications restrictions. _x000d__x000a_E.g. : If the identifier used in IL (i.e. the primary) is sensitive and not visible by user  (John Takis, Tax Identification Number: 123456789) _x000d__x000a_a) if the mode is to mask sensitive detail -&gt; IL appears with stars instead of identifier. (John Takis, Tax Identification Number: ********** )_x000d__x000a_b) if the mode is that the data should not appear in the results -&gt; IL appears  with empty details  (John Takis, Tax Identification Number:  ){color}{color:#172b4d}Similarly in other ILs related with classified data. {color}_x000d__x000a__x000d__x000a_{color:#172b4d}*Message store*{color}_x000d__x000a_ * {color:#172b4d}Admin should be able to remove (masking or removing record visibility)  access of records based on classification levels, from Message store. Permission set as per above mentioned list (view, search ,etc.).{color}_x000d__x000a__x000d__x000a_*{color:#172b4d}Operational Reports{color}*_x000d__x000a_ * {color:#172b4d}Visibility of records in Operational reports are restricted (masking or removing record visibility) based on above mentioned classification levels and permissions. {color}_x000d__x000a__x000d__x000a_*{color:#172b4d}Other related entities/cross-entity propagation{color}*_x000d__x000a_ * {color:#172b4d}Restrictions must propagate to any entity that displays or uses classified data._x000d__x000a_Visibility of records in all system records*  are restricted (masking or removing record visibility) based on above mentioned classification levels and permissions._x000d__x000a_*Examples :  {color}_x000d__x000a__x000d__x000a_ * _x000d__x000a_ ** Forms,_x000d__x000a_ ** Cases,_x000d__x000a_ ** Human task,_x000d__x000a_ ** Taxpayer accounts related (e.g. : liabilities, bill segments, bills, Fts, Journal entries, suppression, assessments)_x000d__x000a_ ** Registration related (e.g. : Candidate lists, Operational Plans, Calendar records - timeoff, assignments-, Organizational units , Asset relationships,  revenue type Registrations, Obligations, user right) _x000d__x000a_ ** Users, user roles,  Object access groups_x000d__x000a_ ** Notifications_x000d__x000a_ ** Contacts_x000d__x000a_ ** Notes_x000d__x000a__x000d__x000a_ _x000d__x000a__x000d__x000a_*Governance* _x000d__x000a_The permissions will be defined by admin as described In [https://jira.intrasoft-intl.com/browse/IRM-39113] _x000d__x000a__x000d__x000a_ _x000d__x000a__x000d__x000a_*Documentation*_x000d__x000a_Document all the above adjustments. _x000d__x000a__x000d__x000a_ _x000d__x000a__x000d__x000a_*Non functional requirements*_x000d__x000a_It is expected to reassure that relevant NFRs (Performance , Security, Accessibility, Usability ) are tested and are not negatively affecting the product.  _x000d__x000a_DODs should be fulfilled. _x000d__x000a_----_x000d__x000a_Notes: _x000d__x000a__x000d__x000a_!image-2025-06-17-07-42-29-150.png|width=761,height=434!"/>
    <s v="Enabling administrators to restrict access to sensitive personal data based on defined classifications will significantly strengthen data privacy, compliance, and governance within Solon Tax. By allowing granular control over who can read, update, or delete personal data—either via the UI or APIs—organizations can enforce data protection policies aligned with legal and regulatory requirements (e.g., GDPR). The ability to configure whether restricted information is masked, encrypted, or hidden entirely enhances both transparency and control. Additionally, extending data privacy protections to logs, messages, and other data sources ensures that sensitive details are not inadvertently exposed, even during exception handling or auditing. This functionality will reduce the risk of unauthorized data access, support compliance, and build greater trust with end users and stakeholders."/>
    <s v="*A) For Party , Party Roles, Attachments:*  _x000d__x000a_ # Admin can restrict access to sensitive personal data based on classification level and group of users (e.g. using user access groups)._x000d__x000a_ # Admin can restrict based on classification levels, who can :_x000d__x000a_ ## _Create__x000d__x000a_ ## _Read ( 2 modes to be able to be configured :  masked or not listing the record)_ _x000d__x000a_ ## _Update_  _x000d__x000a_ ## _Delete__x000d__x000a_ ## _Search_ _x000d__x000a_ ## The above permissions must be enforceable for operations initiated via the UI, direct service calls, or APIs._x000d__x000a__Suggestion:  Data Access Layer Enforcement of permissions__x000d__x000a_ ##  It is expected that the visibility of the classified details may be configured by configurators as : masked or non visible. (see also ILs)_x000d__x000a_ # Admin should be able to remove (masking or removing record visibility)  access of records based on classification levels, from data areas of Party,  party role, Attachments_x000d__x000a_ # An API call made by the user's credentials returns data consistent with their configured permissions._x000d__x000a_ # Admin should be able to remove (masking or removing record visibility)  access of records based on classification levels, from logs:  Security, Audit, Access logs , Exceptions_x000d__x000a__x000d__x000a_*{color:#172b4d}B) Identification Labels{color}*_x000d__x000a_ # {color:#172b4d}Identification labels should be displayed according the relevant classifications restrictions. {color}_x000d__x000a__x000d__x000a_{color:#172b4d}*C) Message store*{color}_x000d__x000a_ # {color:#172b4d}Admin should be able to remove (masking or removing record visibility)  access of records based on classification levels, from Message store. Permission set as per above mentioned list (view, search ,etc.).{color}_x000d__x000a__x000d__x000a_*{color:#172b4d}D) Operational Reports{color}*_x000d__x000a_ # {color:#172b4d}Visibility of records in Operational reports are restricted (masking or removing record visibility) based on above mentioned classification levels and permissions. {color}_x000d__x000a__x000d__x000a_*{color:#172b4d}E) Other related entities/cross-entity propagation{color}*_x000d__x000a_ # {color:#172b4d}Restrictions must propagate to any entity that displays or uses classified data._x000d__x000a_Visibility of records in all system records*  are restricted (masking or removing record visibility) based on above mentioned classification levels and permissions.{color}_x000d__x000a__x000d__x000a_ * _x000d__x000a_ ** Forms,_x000d__x000a_ ** Cases,_x000d__x000a_ ** Human task,_x000d__x000a_ ** Taxpayer accounts related (e.g. : liabilities, bill segments, bills, Fts, Journal entries, suppression, assessments)_x000d__x000a_ ** Registration related (e.g. : Candidate lists, Operational Plans, Calendar records - timeoff, assignments-, Organizational units , Asset relationships,  revenue type Registrations, Obligations, user right) _x000d__x000a_ ** Users, user roles,  Object access groups_x000d__x000a_ ** Notifications_x000d__x000a_ ** Contacts_x000d__x000a_ ** Notes_x000d__x000a__x000d__x000a_*F) Governance* _x000d__x000a_The permissions will be defined by admin as described In [https://jira.intrasoft-intl.com/browse/IRM-39113] _x000d__x000a__x000d__x000a_*G) Other*_x000d__x000a_ * All related technical documentation is updated."/>
  </r>
  <r>
    <s v="IRM-19514"/>
    <x v="2"/>
    <x v="17"/>
    <s v="Billing &amp; Assessments Enhancements"/>
    <s v="Add and Maintain Ad-hoc Obligations – Pay Instalment Actions and Categories"/>
    <s v="HLD"/>
    <n v="293.3"/>
    <s v="GRC"/>
    <x v="0"/>
    <x v="63"/>
    <s v="p1"/>
    <s v="2024-08-16T17:24:56.000+0300"/>
    <s v="GR,OBLIGATIONS_LIABILITIES,TshirtSize_L,pi28_candidate,pi28_p1"/>
    <m/>
    <s v="Add and Maintain Ad-hoc Obligations – Pay Instalment Actions and Categories"/>
    <s v="For Ad-hoc obligations : _x000d__x000a_As a revenue official, I want to see that a party in a specific role was, is or is going to be obliged to pay an assessment in instalments, so that I can check whether this party in a specific role is meeting the obligation to pay these instalments on time and in full and can take measures if this is not the case. i.e, I need to be able to add several payment action under an ad-hoc obligations to represent Installments similarly to what is happening in the Periodic Obligations.  _x000d__x000a_This can be used for Inheritance tax, legacy data migration processes, other cases like Guarantees. _x000d__x000a__x000d__x000a_The goal is to be able to add more than payment obligation actions per obligation for ad-hoc obligations, similarly to what happens with periodic obligations. _x000d__x000a__x000d__x000a_Relevant : [https://jira.intrasoft-intl.com/browse/IRM-11522] , [https://jira.intrasoft-intl.com/browse/IRM-10419] _x000d__x000a__x000d__x000a_*Functional Requirements*_x000d__x000a__x000d__x000a_*Basics*_x000d__x000a_ * User and admin can create multiple payment obligation actions under an ad-hoc obligation (revenue type category = Ad-hoc)  as installments, following the structure of the non ad-hoc obligations with installments. _x000d__x000a_ ** User can add a Filing and more that one Payment Actions in ad-hoc Obligation, flagged as Installments _x000d__x000a_ ** User can define the Category as is in periodic ones : Preliminary, Original_x000d__x000a_ ** User can define the due date (as happens now)_x000d__x000a_ ** Status is managed by the system (as happens now). _x000d__x000a_ ** One set of actions per category will be permitted and I can add more that one payment actions if type is installment but one if it is once- off,  . I.e., same validations as in periodic ones regarding grouping per category, _x000d__x000a_ * User can see the list of pay instalment actions that a party in a specific role -  was, is or is going to be  - obliged to perform for a specific revenue type for a specific revenue period or once-off. User can see information that identifies a pay instalment action and its status to the user, such as action category (e.g. preliminary or original), action type, action reference number, action due date, amount and action status (e.g. active or closed)._x000d__x000a_ * User can create manually the payment obligation actions (as happens now)._x000d__x000a_ * User can sort the list._x000d__x000a_ * User can open a pay instalment action to see more details and update if needed. _x000d__x000a__x000d__x000a_ _x000d__x000a__x000d__x000a_-*Advanced:*- _x000d__x000a__x000d__x000a_-*Additional functionality:*- _x000d__x000a_-To be able for the user to create several installments, a set of predefined rules may be ready in a way that  :- _x000d__x000a_-User will add some parameters such as already logged start date, due date , will add some additional such as : number of installments,  duration between installments, type of action (payment) to be created and margin to grace date. Will click a button and installments will be created.  Then user will be able to update the entries.- _x000d__x000a_ * -Admin can define the rule in the revenue type on how  to create the installments for ad-hoc revenue types (suggestion : Dynamic Rules)- _x000d__x000a_ ** -Rules will be able via parameters added by user to generate payment actions under an ad-hoc obligation.-  _x000d__x000a_ ** -Rule will calculate a) the ad-hoc installments / payment actions :  according set by user start date, duration between installments , number of installments , margin of grace date, category . b) Filing actions according Start date , due date of the obligation, margin of Grace date , category-_x000d__x000a__x000d__x000a_-+Consideration+-_x000d__x000a_-User should be able to define the rule to create the installments (e.g.  Dynamic Rules or batches)- _x000d__x000a_-Rules should be able via parameters added by user to generate payment actions under an ad-hoc obligation.-  _x000d__x000a_-Rule may calculate a) the ad-hoc installments / payment actions :  according set by user start date, duration between installments , number of installments , margin of grace date, category . b) Filing actions according Start date , due date of the obligation, margin of Grace date , category-_x000d__x000a__x000d__x000a_ _x000d__x000a__x000d__x000a_*Documentation*_x000d__x000a_Document all the above adjustments. _x000d__x000a__x000d__x000a_ _x000d__x000a__x000d__x000a_*Non functional requirements*_x000d__x000a_It is expected that the NFRs are considered and examined: Performance , Security, Accessibility, Usability _x000d__x000a__x000d__x000a_DODs should be fulfilled. _x000d__x000a__x000d__x000a_ _x000d__x000a__x000d__x000a_ _x000d__x000a_----_x000d__x000a_Notes_x000d__x000a_[https://dev.icarus/revenue-management/page/Obligation/2c578925-f183-475b-a19a-82cb25ebeb11?subType=ADHOC]_x000d__x000a__x000d__x000a_!image-2024-08-16-17-29-08-392.png!_x000d__x000a_----_x000d__x000a_Notes: _x000d__x000a__x000d__x000a_ "/>
    <s v="-"/>
    <s v="# User and admin can create multiple payment obligation actions under an ad-hoc obligation (revenue type category = Ad-hoc)  as installments, following the structure of the non ad-hoc obligations with installments. _x000d__x000a_ ## User can add a Filing and more that one Payment Actions in ad-hoc Obligation, flagged as Installments _x000d__x000a_ ## User can define the Category as is in periodic ones : Preliminary, Original_x000d__x000a_ ## User can define the due date (as happens now)_x000d__x000a_ ## Status is managed by the system (as happens now). _x000d__x000a_ ## One set of actions per category will be permitted and I can add more that one payment actions if type is installment but one if it is once- off,  . I.e., same validations as in periodic ones regarding grouping per category, _x000d__x000a_ # User can see the list of pay instalment actions and relevant details_x000d__x000a_ # User can create manually the payment obligation actions (as happens now)._x000d__x000a_ # User can sort the list._x000d__x000a_ # User can open a pay instalment action to see more details and update if needed. "/>
  </r>
  <r>
    <s v="IRM-19256"/>
    <x v="1"/>
    <x v="3"/>
    <s v="Reference Implementation - PIT"/>
    <s v="PIT -  Support saving a declaration form in ISS where calculated tax is displayed prior submitting "/>
    <s v="Ready for Dev"/>
    <n v="2.7"/>
    <s v="GRC"/>
    <x v="2"/>
    <x v="34"/>
    <s v="p1"/>
    <s v="2024-08-01T19:31:29.000+0300"/>
    <s v="GR,Greek_Demo,MVP,SELF_SERVICE_SERVICES_MANAGEMENT,TshirtSize_XS,pi21_candidate,pi21_leftover,pi21_p1,pi27_candidate"/>
    <m/>
    <s v="PIT -  Support saving a declaration form in ISS where calculated tax is displayed prior submitting "/>
    <s v="As a taxpayer I want to be able to see calculated tax in a declaration form (ie VAT) in taxpayers' portal prior submitting and save this as a draft form, so as to be able to meet requirements for Greek demo._x000a__x000a_*Functional Requirement*_x000a__x000a_&gt; User can see in  ISS a tax declaration form ie VAT total tax amount calculated prior submitting the form, save form as a draft and then open to submit. "/>
    <s v="Demo pending/saved draft form in ISS, where taxpayer can see tax calculated prior submitting"/>
    <s v="Meet Functional Requirements"/>
  </r>
  <r>
    <s v="IRM-18730"/>
    <x v="5"/>
    <x v="14"/>
    <s v="Reference Data Enhancements"/>
    <s v="Export Code List"/>
    <s v="Waiting Analysis Approval"/>
    <n v="140"/>
    <s v="GRC"/>
    <x v="2"/>
    <x v="47"/>
    <s v="p3"/>
    <s v="2024-07-08T12:37:39.000+0300"/>
    <s v="GR,REFERENCE_DATA,TshirtSize_M,pi29_candidate,pi29_p3"/>
    <m/>
    <s v="Export Code List"/>
    <s v="As an admin or user with proper permissions, I want to export the information of a specific code list and its related code list items, so that this information can be edited or used in another tool._x000d__x000a__x000d__x000a_*Functional Requirements*_x000d__x000a_ * Admin can choose to download the information of a specific code list and its related code list items in a structured format (e.g. using XML, csv, xls) , in selected language. _x000d__x000a_Will contain information with codes and descriptions (where applicable) for  : _x000d__x000a_ ** Codelist  , related categories and attributes_x000d__x000a_ ** Codelist Items  with columns_x000d__x000a_a) Code,  b) Description, c) Order,   d)Attributes and attribute values, _x000d__x000a_e) Related codelist items in category cross (with codelist-s related info) (codelist code, description , codelist item code description) , _x000d__x000a_f)   related codelist items within codelist _x000d__x000a_ * Admin can provide a name for the file in which the information must be stored and can indicate in what folder this file should be saved_x000d__x000a_ * Admin can see that a file with the information for that specific code list and its related code list items was created after the download was completed._x000d__x000a_ * UI: User may see controls to export codelist in common codelist UI page. and in codelists list view._x000d__x000a__x000d__x000a_ _x000d__x000a__x000d__x000a_*Documentation*_x000d__x000a_Document all the above adjustments. _x000d__x000a__x000d__x000a_ _x000d__x000a__x000d__x000a_*Non functional requirements*_x000d__x000a_Performance , Security, Accessibility, Usability  DODs should be fulfilled. "/>
    <s v="See functional and non-functional requirements"/>
    <s v="* Admin can choose to download the information of a specific code list and its related code list items in a structured format (e.g. using XML, csv, xls) , in selected language. _x000d__x000a_Will contain information with codes and descriptions (where applicable) for  : _x000d__x000a_ ** Codelist  , related categories and attributes_x000d__x000a_ ** Codelist Items  with columns_x000d__x000a_a) Code,  b) Description, c) Order,   d)Attributes and attribute values,_x000d__x000a_e) Related codelist items in category cross (with codelist-s related info) (codelist code, description , codelist item code description) ,_x000d__x000a_f)   related codelist items within codelist _x000d__x000a_ * Admin can provide a name for the file in which the information must be stored and can indicate in what folder this file should be saved_x000d__x000a_ * Admin can see that a file with the information for that specific code list and its related code list items was created after the download was completed._x000d__x000a_ * UI: User may see controls to export codelist in common codelist UI page. and in codelists list view._x000d__x000a__x000d__x000a_ "/>
  </r>
  <r>
    <s v="IRM-18729"/>
    <x v="5"/>
    <x v="14"/>
    <s v="Reference Data Enhancements"/>
    <s v="Import Code Lists - Admin"/>
    <s v="Waiting Analysis Approval"/>
    <n v="140"/>
    <s v="GRC"/>
    <x v="2"/>
    <x v="47"/>
    <s v="p3"/>
    <s v="2024-07-08T12:36:04.000+0300"/>
    <s v="GR,REFERENCE_DATA,TshirtSize_M,pi27_candidate,pi29_candidate"/>
    <m/>
    <s v="Import Code Lists - Admin"/>
    <s v="As an admin, I want to import information for one or more code lists, so that this information can be used to add or update these code lists and their related code list items._x000d__x000a__x000d__x000a_*Functional Requirements*_x000d__x000a_ * Admin can select a file that contains structured information (e.g. in XML format) on one or more code lists and their related code list items. The file structure will be available in the Solon documentation. _x000d__x000a_ * Admin can upload the information from the selected file. _x000d__x000a_Assumption is that admin can by uploading the file add new code lists and their related code list items, add a new code list item to an existing code list, and add or update new data pertaining an existing code list or code list item except for any data that uniquely identifies this code list or code list item. _x000d__x000a_Assumption that admin cannot by uploading the file delete any code lists or code list items._x000d__x000a_ * Admin can see that the information from the selected file was used to add or update the code lists and their related code list items for which information was included in the selected file._x000d__x000a_ * UI: Admin may access controls to upload an codelist with codelist items  with attributes and relationships._x000d__x000a_ * Exceptions will be thrown if upload cannot be successfully completed with error descriptions. _x000d__x000a_(non available related item, non available attribute, wrong expiration dates) "/>
    <s v="See functional and non-functional requirements"/>
    <s v="See functional and non-functional requirements"/>
  </r>
  <r>
    <s v="IRM-17803"/>
    <x v="0"/>
    <x v="18"/>
    <s v="Reliability Enhancements"/>
    <s v="Analysis : When Fts/Journal Entries creation fails, admin can re-create them using a system process"/>
    <s v="To Do"/>
    <n v="46.7"/>
    <s v="GRC"/>
    <x v="1"/>
    <x v="46"/>
    <s v="p3"/>
    <s v="2024-06-05T17:09:04.000+0300"/>
    <s v="GR,MVP,TAXPAYER_ACCOUNTING,TshirtSize_S"/>
    <m/>
    <s v="Analysis : When Fts/Journal Entries creation fails, admin can re-create them using a system process"/>
    <s v="When FTs or/and  journal entries creation fails, -  records cannot be created - ._x000d__x000a_What if kafka has a process and moved event to dead letters topic ? _x000d__x000a_(For journal entries  system will throw an exception as implemented by [https://jira.intrasoft-intl.com/browse/IRM-17070] ) _x000d__x000a__x000d__x000a_Admin will not be able to rerun the process to create the Fts and journal entries automatically. If admin has the relevant system access, may create manually the expected journal entries, making the decisions on accounting rules to be used and amounts per journal entry logged. It would be better to support admin on rerunning the part of the process /kafka event that creates the journal entries on settings predefines in fts or assessments etc. _x000d__x000a__x000d__x000a_(!)  Investigation and decision is needed  on how to move on. _x000d__x000a__x000d__x000a_(?) Is it similar issue with Financial transactions creation faults? _x000d__x000a__x000d__x000a_ _x000d__x000a__x000d__x000a_+Suggested Action :+_x000d__x000a_ -  An api (supported or not by a UI button) to run when no journal entries created while expected - &gt;(re) send the kafka event as to try recreate records. - run dead letter items in queue _x000d__x000a_(?) Similar to the rerun allocation process under Obligations _x000d__x000a_ - (?) BSs cannot created/cancelled/change status if Fts not created._x000d__x000a__x000d__x000a_ _x000d__x000a__x000d__x000a_+Notes:+  _x000d__x000a_Topics that needs additional investigation: _x000d__x000a_ - how to define the Journal entries amounts in Allocation segments_x000d__x000a_ - how to define that journal entries rules are instructed by Assessments calculation rules. _x000d__x000a__x000d__x000a_Additionally, possibly it would be useful to generate in this situation : _x000d__x000a_ - Human task , notification to admin that journal entries are not created 9"/>
    <s v="-"/>
    <s v="As per description"/>
  </r>
  <r>
    <s v="IRM-17620"/>
    <x v="0"/>
    <x v="13"/>
    <s v="Traceability Enhancements"/>
    <s v="Support Audit Trail for Statute of Limitation Date modifications in IRM - Admin"/>
    <s v="To Do"/>
    <n v="213.3"/>
    <s v="Other"/>
    <x v="2"/>
    <x v="1"/>
    <s v="p3"/>
    <s v="2024-05-30T12:36:10.000+0300"/>
    <s v="AuditLog,TshirtSize_L,pi27_candidate"/>
    <m/>
    <s v="Support Audit Trail for Statute of Limitation Date modifications in IRM - Admin"/>
    <s v="As an IRM Admin I should be able to support audit trail functionality on the Statute of Limitation period in IRM defined in IRM, so that a revenue authority can comply with  requirement established by law. _x000a__x000a_*Introduction* _x000a__x000a_As a result of the feature IRM-746 for the support of statute of limitation date, audit trail functionality of this date is essential for a revenue authority to be able to comply with legal requirements. _x000a__x000a_*Functional Requirements*_x000a__x000a_The admin should be able to identify on which events an instance of statute of limitation date was altered, and whether this was done via an automatic process or manual (by which user). The aim is to be able to provide details of the modifications on a statute of limitation date. "/>
    <s v="Support Audit Trail for Statute of Limitation Date in IRM"/>
    <s v="Support Audit Trail for Statute of Limitation Date in IRM"/>
  </r>
  <r>
    <s v="IRM-16516"/>
    <x v="4"/>
    <x v="32"/>
    <s v="Reference Implementation - Self Service Account Overview"/>
    <s v="SS  Payments - See Taxpayer Account Overview - User - Part 3 - Open/Edit Registration Details"/>
    <s v="Waiting Analysis Approval"/>
    <n v="26.7"/>
    <s v="Other"/>
    <x v="2"/>
    <x v="15"/>
    <s v="p3"/>
    <s v="2024-03-29T12:00:50.000+0200"/>
    <s v="obj_iss_examples,pi07_candidate,pi27_candidate"/>
    <s v="0.4.0"/>
    <s v="SS  Payments - See Taxpayer Account Overview - User - Part 3 - Open/Edit Registration Details"/>
    <s v="As a self service user, I want to see an overview of a taxpayer account that I can access, so that I can confirm this is the taxpayer account that I intended to access, can understand the obligations for this account, can see notifications sent to this account and see the taxpayer account balances._x000a__x000a_*Introduction*_x000a__x000a_This feature is related to IRM-3447 in which requirements have been doccumented to see an overview of a taxpayer account on the self service._x000a__x000a_Some example wireframes have been attached to this feature.  In case the content on the wireframes differs from the functional requirements, then the functional requirement should be used as input when implementing this feature._x000a__x000a_*Functional requirements*_x000a_ * User can see registration details of the taxpayer._x000a_ ** {color:#c1c7d0}Data set:{color}_x000a_ *** {color:#c1c7d0}Name: the primary name of the taxpayer for which the account overview is shown{color}_x000a_ *** {color:#c1c7d0}ID type: the type of the primary identifier of the taxpayer for which the account overview is shown{color}_x000a_ *** {color:#c1c7d0}ID number: the primary identifier number of the taxpayer for which the account overview is shown{color}_x000a_ *** {color:#c1c7d0}Address: the preferred address for communication with the taxpayer for which the account overview is shown{color}_x000a_ *** {color:#c1c7d0}Email: the preferred email address for communication with the taxpayer for which the account overview is shown{color}_x000a_ ** Actions:_x000a_ *** {color:#172b4d}User can open the registration details{color}_x000a_ *** {color:#172b4d}User can open and update the registration details{color}_x000a_ * {color:#c1c7d0}User can see the current balances for each tax type for which this taxpayer was registered{color}_x000a_ ** {color:#c1c7d0}Data set - can contain data for multiple tax types{color}_x000a_ *** {color:#c1c7d0}Tax type: a tax type for which this taxpayer was registered{color}_x000a_ *** {color:#c1c7d0}Balance: the current balance for a tax type for which a taxpayer was registered - any period in which the tax type was applicable for this taxpayer should be considered when calculating the balance{color}_x000a_ ** {color:#c1c7d0}Actions:{color}_x000a_ *** {color:#c1c7d0}User can open the details for a specific tax type for which this taxpayer was registered (see IRM-3449){color}_x000a_ * {color:#c1c7d0}User can see the past, present, and future obligations and their status for the taxpayer account in a timeline{color}_x000a_ ** {color:#c1c7d0}Data set - can contain data for multiple obligations{color}_x000a_ *** {color:#c1c7d0}Tax type: the tax type for which the obligation exists{color}_x000a_ *** {color:#c1c7d0}Obligation action type: the type of action that the taxpayer is obliged to take{color}_x000a_ *** {color:#c1c7d0}Period: the period for which the obligation exists (if any){color}_x000a_ *** {color:#c1c7d0}Status: the status of the action that the taxpayer is obliged to take - user can for example see if the action has been completed or not - and see for actions that have not been completed yet whether the action is considered overdue or not (e.g. overdue is red, due is orange and completed is green){color}_x000a_ *** {color:#c1c7d0}Obligation Due date: the date by which the action, that the taxpayer is obliged to take, must be completed{color}_x000a_ ** {color:#c1c7d0}Actions:{color}_x000a_ *** {color:#c1c7d0}User can open the details for a specific obligation{color} (see IRM-3451)_x000a_ * {color:#c1c7d0}User can see the latest notifications{color}_x000a_ ** {color:#c1c7d0}Data set - can contain data for multiple notifications{color}_x000a_ *** {color:#c1c7d0}Notification date: the date the notification was sent to the taxpayer{color}_x000a_ *** {color:#c1c7d0}Notification message: the notification message header{color}_x000a_ *** {color:#c1c7d0}Notification read or unread: indication whether the user has read the message ate least once or not{color}_x000a_ *** {color:#c1c7d0}Notification importance: the importance of the notification{color}_x000a_ ** {color:#c1c7d0}Actions:{color}_x000a_ *** {color:#c1c7d0}User can open the details for a specific notification{color}"/>
    <s v="See functional and non-functional requirements"/>
    <s v="See functional and non-functional requirements"/>
  </r>
  <r>
    <s v="IRM-16273"/>
    <x v="1"/>
    <x v="3"/>
    <s v="Reference Implementation - PIT"/>
    <s v="PIT - Amend Original Personal Income Tax Return from Self Service – User"/>
    <s v="Under Analysis"/>
    <n v="46.7"/>
    <s v="Other"/>
    <x v="1"/>
    <x v="46"/>
    <s v="p3"/>
    <s v="2024-03-18T21:14:31.000+0200"/>
    <s v="MVP,PIT,TshirtSize_S"/>
    <m/>
    <s v="PIT - Amend Original Personal Income Tax Return from Self Service – User"/>
    <s v="As a self service user, I want to amend an already submitted original personal income tax return, so that changes in my income or deductions are reflected in the adjusted personal income tax return._x000a__x000a_*Introduction*_x000a__x000a_This feature is related to IRM-16272 in which requirements have been documented to enable a self service user to file an original personal income tax return for a specific filing period._x000a__x000a_Amended personal income tax return that will be presented on the self service will have the same form sections and form fields as the example personal income tax return that has been described in IRM-14601._x000a__x000a_This feature is related to IRM-1973 in which requirements have been documented to record adjustments to the data in an input form that was already posted and post any differences that result from these adjustments._x000a__x000a_*Functional Requirements*_x000a_ * User can amend an original personal income tax return that was submitted and processed. User can only amend the personal income tax return for the current filing period or for the two prior filing periods. And a user can amend an original personal income tax return more than once. User cannot amend an original personal income tax return if the original personal income tax return has not been submitted or processed yet. If an original income tax return was already amended, then the user can only amend the income tax return again if the previously amended return has also been submitted and processed._x000a_ * User can see that the pending amended personal income tax return is prefilled with data from the submitted and processed original personal income tax return or from the latest submitted and processed personal income tax return that amended this original personal income tax return._x000a_ * User can update the necessary details in the bank account details, income details, details on deductions, cost of living details, final tax assessment and attachments form sections of the pending amended personal income tax return_x000a_ * User can submit the pending amended personal income tax return once completed_x000a_ * User can see if there are any validation exceptions that prevent the pending amended personal income tax return from being submitted. User can navigate from a validation exception to the related form section and form field(s) to resolve any issues._x000a_ * User can see what amendments have been submitted when for a specific original personal income tax return_x000a_ * User can open a submitted amended personal income tax return to see what data was included in that return_x000a_ * Any updates to the personal income tax return input form, form rules and process that have been implemented in the Revenue Management application (see IRM-14601), that are required to support amended tax returns are also in scope of this feature. When processing an amended original personal income tax return in the Revenue Management application, the difference between the personal income tax assessment in this return and the assessment of the original personal income tax return or the latest submitted and processed personal income tax return that amended this original personal income tax return should be posted."/>
    <s v="See functional and non-functional requirements"/>
    <s v="See functional and non-functional requirements"/>
  </r>
  <r>
    <s v="IRM-16272"/>
    <x v="1"/>
    <x v="3"/>
    <s v="Reference Implementation - PIT"/>
    <s v="PIT - File Original Personal Income Tax Return from Self Service – User"/>
    <s v="Under Analysis"/>
    <n v="46.7"/>
    <s v="Other"/>
    <x v="1"/>
    <x v="46"/>
    <s v="p3"/>
    <s v="2024-03-18T21:11:26.000+0200"/>
    <s v="MVP,PIT,TshirtSize_S"/>
    <m/>
    <s v="PIT - File Original Personal Income Tax Return from Self Service – User"/>
    <s v="As a self service user, I want to file an original personal income tax return for a specific filing period, so that I can meet my obligation to file a personal income tax return with correct data and on time as stipulated in the tax law._x000a__x000a_*Introduction*_x000a__x000a_Personal income tax return that will be presented on the self service will have the same form sections and form fields as the example personal income tax return that has been described in IRM-14601._x000a__x000a_Assumption is that the following self service requirements related to personal income tax are already supported:_x000a_ * User can login to the self service portal to deal with the tax matters for a specific party in a specific to which this user has been granted access_x000a_ * User can see what filing obligations exist for this party in a specific role for personal income tax and see the status of each of these obligations_x000a_ * User can see the personal income tax assessment for a specific filing / payment obligation_x000a_ * User can see what payment obligations exist for personal income tax assessments for which this specific party in a specific role is liable_x000a_ * User can see what payment obligations exist for any additional charges that have been levied towards a personal tax assessment (e.g. late payment interest) and for which this party in a specific role is considered liable_x000a_ * User can pay a liability that exists for a personal income tax assessment and any related charges for this party in a specific role_x000a_ * User can see the balance for personal income tax for this party in a specific role_x000a__x000a_Following self service requirements related to the personal income tax have not been implemented yet and are not in scope of this feature._x000a_ * User can see that income that was paid by employers to this party in a specific role, and that the taxes and social contributions that were already deducted by these employers, are prefilled in the income form section of a pending personal income tax return_x000a_ * User can save a draft of a pending personal income tax return, and can open and complete a draft personal income tax return at a later point in time_x000a_ * User can see a notification that the personal income tax has been assessed for the filing period for which the personal income tax return was submitted_x000a__x000a_*Functional Requirements*_x000a_ * User can create a pending original personal income tax return for a filing period for which no original personal income tax has been submitted yet. User can see the form sections for taxpayer details, bank account details, income details, details on deductions, cost of living details, final tax assessment and attachments, and the related form fields as described in IRM-14601. Any meta data related to a personal income tax return (e.g. form source, related risk observations and related bill segments) should not be shown on the self service._x000a_ * User can see that the taxpayer details and bank account details are prefilled in a pending personal income tax return_x000a_ * User can fill in the necessary details in the bank account details, income details, details on deductions, cost of living details, final tax assessment and attachments form sections_x000a_ * User can submit the personal income tax return once completed_x000a_ * User can see if there are any validation exceptions that prevent the pending personal income tax return from being submitted. User can navigate from a validation exception to the related form section and form field(s) to resolve any issues._x000a_ * User can open a submitted personal income tax return to see what data was included in that return"/>
    <s v="See functional and non-functional requirements"/>
    <s v="See functional and non-functional requirements"/>
  </r>
  <r>
    <s v="IRM-12465"/>
    <x v="5"/>
    <x v="26"/>
    <s v="Case Management Enhancements"/>
    <s v="Define and Maintain Case Type - Case Worker Profiles - Use Availability - Admin"/>
    <s v="Waiting Analysis Approval"/>
    <n v="140"/>
    <s v="GRC"/>
    <x v="2"/>
    <x v="47"/>
    <s v="p3"/>
    <s v="2023-08-15T14:43:46.000+0300"/>
    <s v="CASE_MANAGEMENT,GR,MVP,TshirtSize_M,pi27_candidate"/>
    <m/>
    <s v="Define and Maintain Case Type - Case Worker Profiles - Use Availability - Admin"/>
    <s v="As an admin, I want to use the case worker’s availability as a criterion in a case worker’s profile. So that only case workers that have a certain availability can be assigned to cases for which this case worker’s profile is applicable._x000a__x000a_*Introduction*_x000a__x000a_This feature extends IRM-702 in which requirements have been documented to define what case worker’s profiles are required to perform a certain type of case._x000a__x000a_*Functional Requirements*_x000a_ * Admin can use the following matching criteria when defining profiles for the most suitable case workers for a specific type of case:_x000a_ ** Average Allocation: can be calculated by dividing the sum of the allocated effort of a worker within a given period (from the start date up until the end date of a case) by the sum of the available man-hours in that same period based on the resource calendars that are effective for the case worker in that period. Admin can for example define that the average allocation should be equal to or less than 0.8._x000a_ ** Available man-hours: can be calculated by subtracting the sum of the allocated effort of a case worker within a given period (from the start date up until the end date of a case) from the sum of the available man-hours in that same period based on the resource calendars that are effective for the case worker in that period. Admin can for example define that a worker should at least have 8 hours unallocated man-hours within a period."/>
    <s v="See functional and non-functional requirements"/>
    <s v="See functional and non-functional requirements"/>
  </r>
  <r>
    <s v="IRM-12464"/>
    <x v="5"/>
    <x v="26"/>
    <s v="Case Management Enhancements"/>
    <s v="Add and Maintain Case - Assign and Unassign Case Workers - Effort - User"/>
    <s v="Waiting Analysis Approval"/>
    <n v="140"/>
    <s v="GRC"/>
    <x v="2"/>
    <x v="47"/>
    <s v="p3"/>
    <s v="2023-08-15T14:41:17.000+0300"/>
    <s v="CASE_MANAGEMENT,GR,MVP,TshirtSize_M,pi27_candidate"/>
    <m/>
    <s v="Add and Maintain Case - Assign and Unassign Case Workers - Effort - User"/>
    <s v="As a revenue official, I want to assign case workers (user) that have a required profile (e.g. skills, experience and part of a certain organizational unit) to a case while also considering the availability of the suitable candidates, so that a capable worker (user) with sufficient availability can work on and complete the case. Also, I want to see how much effort is involved for each assigned case worker and for the case in total._x000a__x000a_*Introduction*_x000a__x000a_This feature extends IRM-680 in which requirements have been documented to assign and unassign a worker to/from a case. IRM-680 includes a requirement that the user can specify the expected allocation of a case worker for a case._x000a__x000a_This feature is related to IRM-12459 in which requirements have been documented to assign and unassign one or more resource calendars to a worker._x000a__x000a_*Functional Requirements*_x000a_ * Eligible Workers_x000a_ ** User can see the average allocation from the case start date up until the case end date for each case worker that meets any of the worker’s profiles for the case. Average allocation can be calculated by dividing the sum of the allocated effort of a case worker from the start date up until the end date of a case by the sum of the available man-hours in that same period based on the resource calendars that are effective for the case worker in that period_x000a_ ** User can see the availability in man-hours from the case start date up until the case end date for each case worker that meets any of the case worker’s profiles for the case. Available man-hours can be calculated by subtracting the sum of the allocated effort for a case worker from the start date up until the end date of a case from the sum of the available man-hours in that same period based on the resource calendars that are effective for the case worker in that period._x000a_ * Worker’s Assignment_x000a_ ** User can see what effort has been calculated based on the provided expected allocation for the case worker’s assignment and the resource calendar(s) that are effective for this worker from the case start date up until the case end date. Effort can only be calculated if (1) a start date and end date have been defined for the related case, and (2) an expected allocation has been provided. Period(s) within the start and end date of the case for which no effective resource calendar has been defined for the case worker are considered non-working periods. Assumption is that the effort will be recalculated if (1) the case start or end date are updated, (2) the expected allocation for that case worker for that case is updated, and/or (3) a resource calendar of an assigned case worker that falls within the period in which the case has been scheduled, is updated._x000a_ * User can see the total calculated effort for the case. Total effort is equal to the sum of the effort that was calculated for each case worker that was assigned to the case."/>
    <s v="See functional and non-functional requirements"/>
    <s v="See functional and non-functional requirements"/>
  </r>
  <r>
    <s v="IRM-11539"/>
    <x v="2"/>
    <x v="16"/>
    <s v="Registration Enhancements"/>
    <s v="View Organizational structure and taxpayers hierarchy structure – User / Part 1 of 2"/>
    <s v="Under Verification"/>
    <n v="42.7"/>
    <s v="GRC"/>
    <x v="3"/>
    <x v="24"/>
    <s v="p3"/>
    <s v="2023-06-17T22:02:49.000+0300"/>
    <s v="GR,IRM:PI27S03_start,IRM:PI27S04_end,ORGANIZATIONAL_STRUCTURE,PI27,TshirtSize_L,estimation_inaccuracy_high,irm_pd_pdm_agreed,nice-to-have"/>
    <s v="3.0.0"/>
    <s v="View Organizational structure and taxpayers hierarchy structure – User / Part 1 of 2"/>
    <s v="As a revenue official, I want to view a graphical representation of the organizational structure, so that I can see what organizational units are part of the organizational structure and see how these organizational units are related to one another._x000d__x000a__x000d__x000a_Similarly for party to party hierarchy, I need to be able to see similar representation. _x000d__x000a_a) Org units : Revenue department itself is structured (e.g., Head Office -&gt; Regional Office -&gt; Local Branch)._x000d__x000a_b) Taxpayers:  relationships between legal entities, such as a Holding Company and its subsidiaries, or a franchisor and franchisees or main brand with branches -WHEN THESE FOR A BUSINESS REASON are not expresses in the system as party roles (that is recommended) _x000d__x000a__x000d__x000a_Dependency:  IRM-36002 _x000d__x000a__x000d__x000a_*SCOPE : View hierarchy is details page* _x000d__x000a__x000d__x000a_ _x000d__x000a__x000d__x000a_*Functional Requirements*_x000d__x000a__x000d__x000a_Organizations / Taxpayers (Parties)_x000d__x000a_ * -In list page: User may see parent party in list views as link. User may click the link to open the parent party.- _x000d__x000a_ * -In Party page: User may see the parent party as a link. User can click to open parent party.  (implemented in [https://jira.intrasoft-intl.com/browse/IRM-36002] )- _x000d__x000a_ * In Party parent page: User can click a button see an parties tree where each node in the tree represents an party For each party the user can see information that uniquely identifies a party. _x000d__x000a_ * Displayed information on each node are Primary Full Name, Primary Identifier and Party Type. _x000d__x000a_ * User can open an party unit to see more details._x000d__x000a_ * -User may search by parent party a party.-_x000d__x000a_ * -The list should contain only parties (all party types)-_x000d__x000a__x000d__x000a_+Example :+ _x000d__x000a_A button available in Level 1 Taxpayer  &quot;Show Hierarchy&quot; _x000d__x000a_When click a modal with tree format appears: _x000d__x000a__x000d__x000a_Level 1 Taxpayer A (Business account/ Brand HQs  &amp; Accounting unit)_x000d__x000a__x000d__x000a_            Level 2 TaxpayerA1 (branch) _x000d__x000a_            Level 2 TaxpayerA2 (branch) _x000d__x000a_            Level 2 TaxpayerA3 (branch) _x000d__x000a_            Level 2 TaxpayerA4 (branch) _x000d__x000a__x000d__x000a_ _x000d__x000a__x000d__x000a_ _x000d__x000a__x000d__x000a_ _x000d__x000a__x000d__x000a_ _x000d__x000a__x000d__x000a_ _x000d__x000a__x000d__x000a_!image-2026-02-15-12-23-57-978.png!_x000d__x000a__x000d__x000a_*Documentation*_x000d__x000a_Document all the above adjustments. _x000d__x000a__x000d__x000a_ _x000d__x000a__x000d__x000a_*Non functional requirements*_x000d__x000a_It is expected team to get aligned with respective teams and reassure that is not creating issues or the related NFRs will be tested :_x000d__x000a_Performance , Security, Accessibility, Usability _x000d__x000a_DODs should be fulfilled."/>
    <s v="If revenue officials can view a graphical representation (tree structure) of organizational units they will better understand structural relationships, reporting lines, and operational responsibilities, which will improve navigation efficiency, reduce misrouting  and enhance experience. "/>
    <s v="# In Party parent page: User can click a button see an parties tree where each node in the tree represents an party For each party the user can see information that uniquely identifies a party._x000d__x000a_ # User can open an party unit to see more details."/>
  </r>
  <r>
    <s v="IRM-5111"/>
    <x v="4"/>
    <x v="31"/>
    <s v="Reference Implementation - Self Service Filing &amp; Payments"/>
    <s v="SS Payments - See Filing Obligation Details - Part 2"/>
    <s v="To Do"/>
    <n v="140"/>
    <s v="Other"/>
    <x v="2"/>
    <x v="47"/>
    <s v="p3"/>
    <s v="2022-03-03T13:59:07.000+0200"/>
    <s v="TshirtSize_M,obj_iss_examples,pi08_candidate,pi28_candidate,pi28_p3"/>
    <m/>
    <s v="SS Payments - See Filing Obligation Details - Part 2"/>
    <s v="As a self service user, I want to see the details of a specific filing obligation for a specific taxpayer, so that I can see what forms have been created and/or already filed as a result of this obligation, what amounts have been assessed as a result of filing these forms, and what other information has been exchanged with the revenue authority related to this filing obligation such as supporting documents and notices._x000a__x000a_*Introduction*_x000a__x000a_Some example wireframes have been attached to this feature. In case the content on the wireframes differs from the functional requirements, then the functional requirement should be used as input when implementing this feature._x000a__x000a_*Functional Requirements*_x000a_ * User can see the details of a specific filing obligation for a specific taxpayer_x000a__x000a_ ** Actions:_x000a__x000a_ *** {color:#172b4d}User can open a new or draft amended tax return form for a filing obligation. Assumption is that the correct tax return form is opened for the specific tax type for which the overview is provided. Also, the assumption is that the tax return form can be prefilled with data that is already known - for example the taxpayer details, filing period details and data from the original tax return. User can only open a new or draft amended tax return if an original tax return has been submitted for this filing obligation. Assumption is that the user can only amend a tax return for specific tax types (e.g. for corporate income tax).{color}_x000a_ *** {color:#172b4d}User can open a payment form (see IRM-3542 for an example of a payment form) to pay the sum of all current positive balances of any payment obligations that are related to a specific filing obligation (e.g. late filing penalty or tax assessment and any related charges that were added after filing a tax return for this filing obligation). Assumption is that the payment form can be prefilled with data that is already known - for example the taxpayer details and the payment obligation details. User can only open a payment form if there is an outstanding amount that needs to be paid for these payment obligations.{color}_x000a_ *** {color:#172b4d}User can open a form to request a refund if an overpayment exists for one or more payment obligations that are related to a specific filing obligation (e.g. late filing penalty or tax assessment and any related charges that were added after filing a tax return for this filing obligation). Assumption is that the refund request form can be prefilled with data that is already known - for example the taxpayer details and the details of the payment obligations for which an overpayment exists. User can only open a refund request form if an overpayment amount exists for any of the payment obligations.{color}_x000a_ *** {color:#172b4d}User can open a form to request to offset an overpayment that exists for one or more payment obligations that are related to a specific filing obligation (e.g. late filing penalty or tax assessment and any related charges that were added after filing a tax return for this filing obligation). Assumption is that the request overpayment offset form can be prefilled with data that is already known - for example the taxpayer details and the overpayment amount that can be offset.{color}_x000a__x000a_ *** {color:#c1c7d0}User can upload a supporting document that can be used by the revenue authority to validate the content of the submitted tax return. User can only upload a document if the obligation to file a tax return has been met._x000a_ *** User can open a financial overview (see IRM-3452) for the payment obligations that are related to a specific filing obligation (e.g. late filing penalty or tax assessment and any related charges that were added after filing a tax return for this filing obligation)._x000a_ * User can see what amounts have been assessed related to a specific filing obligation (e.g. late filing penalty or tax assessment that was added after filing a tax return for this filing obligation). Any charges (e.g. late payment penalty or interest) that are levied towards these original assessments are not considered in this overview._x000a_ ** Data set - can contain data for multiple assessments_x000a_ *** Filing type: the type of submission that was done (e.g. submit preliminary, original or amended tax return)_x000a_ *** Letter reference number: unique reference number of the assessment notice in which the taxpayer was informed about the assessment_x000a_ *** Assessed amount: the amount that was assessed{color}_x000a__x000a_ _x000a_ * {color:#172b4d}User can see what draft tax returns exist for a specific filing obligation. These tax returns have not been submitted yet.{color}_x000a_ ** {color:#172b4d}Data set - can contain data for multiple draft tax returns - most often just one draft form{color}_x000a_ *** {color:#172b4d}Form type: the type of form that was saved as a draft{color}_x000a_ *** {color:#172b4d}Form reference number: the reference number of the form that was saved as a draft{color}_x000a_ *** {color:#172b4d}Last updated date: the date the draft form was last updated{color}_x000a_ *** {color:#172b4d}Status: the status of the form that was saved as a draft (e.g. saved){color}_x000a_ ** {color:#172b4d}Actions:{color}_x000a_ *** {color:#172b4d}User can open the draft tax return (see IRM-3539 for an example of a value added tax return form){color}_x000a_ * {color:#172b4d}User can see what supporting documents have been uploaded for a specific filing obligation.{color}_x000a_ ** {color:#172b4d}Data set - can contain data for multiple supporting documents{color}_x000a_ *** {color:#172b4d}Document type: the type of supporting document that was submitted to the revenue authority{color}_x000a_ *** {color:#172b4d}Document reference number: a unique reference number of the supporting document that was submitted to the revenue authority{color}_x000a_ *** {color:#172b4d}Submission date: the date the supporting document was submitted to the revenue authority{color}_x000a_ *** {color:#172b4d}Status: the status of submitting a supporting document (e.g. submitted){color}_x000a_ ** {color:#172b4d}Actions:{color}_x000a_ *** {color:#172b4d}User can open a supporting document{color}_x000a_ * {color:#172b4d}User can see what letters (e.g. reminder letter, notice letter) were sent to the taxpayer by the revenue authority.{color}_x000a_ ** {color:#172b4d}Data set:{color}_x000a_ *** {color:#172b4d}Letter type: the type of letter that was sent to the taxpayer{color}_x000a_ *** {color:#172b4d}Letter reference number: a unique reference for the letter that was sent to the taxpayer{color}_x000a_ *** {color:#172b4d}Description: a description of the letter that was sent to the taxpayer{color}_x000a_ *** {color:#172b4d}Letter date: the date the letter was considered to have been delivered to the taxpayer{color}_x000a_ ** {color:#172b4d}Actions:{color}_x000a_ *** {color:#172b4d}User can open a letter (see attached wireframe){color}"/>
    <s v="See functional and non-functional requirements"/>
    <s v="See functional and non-functional requirements"/>
  </r>
  <r>
    <s v="IRM-4293"/>
    <x v="0"/>
    <x v="4"/>
    <s v="Extensibility Enhancements"/>
    <s v="Define User-Defined Characteristics for Payment Event - Admin"/>
    <s v="Waiting Analysis Approval"/>
    <m/>
    <s v="Other"/>
    <x v="2"/>
    <x v="0"/>
    <s v="p3"/>
    <s v="2021-12-12T16:03:07.000+0200"/>
    <s v="pi28_candidate,pi28_p3"/>
    <m/>
    <s v="Define User-Defined Characteristics for Payment Event - Admin"/>
    <s v="As an admin, I want to define and maintain user-defined characteristics for payment events, so that these characteristics can be used to store data on instances of payment events._x000a__x000a_*Functional Requirements*_x000a_ * Admin can define user-defined characteristics that must be available for a payment event_x000a_ * Admin can edit the properties of a user-defined characteristics, such as a unique identifier, description, help text, data type, data length, predefined value, lookup values, required, visible, and display only. Examples of data types that can be supported for these characteristics are string, date/time, number, amount, code list (e.g. region) and a reference to another type of entity in the application._x000a_ * Reference Type of Entity_x000a_ ** Admin can define multiple user-defined characteristics that reference the same type of entity if instances of that type of entity can have a different meaning for a payment event_x000a_ ** Admin can define whether a user-defined characteristic can reference only one or multiple instances of a specific type of entity_x000a_ ** Admin can define what properties are shown for each type of entity that is referenced by a certain user-defined characteristic_x000a_ * Reference Code List_x000a_ ** Admin can define multiple user-defined characteristics that reference the same code list_x000a_ ** Admin can define whether a user-defined characteristic can reference only one or multiple code list items of a specific code list_x000a_ * Admin can remove a user-defined characteristic for a payment event if there are no referential constraints_x000a_ * Admin can disable a user-defined characteristic for a payment event if the characteristic is no longer relevant_x000a_ * Admin can enable a disabled user-defined characteristic for a payment event if the characteristic is deemed relevant again_x000a_ * Admin should be warned when adding or editing user-defined characteristics when payment events exist_x000a_ * Grouping_x000a_ ** Admin can group characteristics. Group can contain sub-groups._x000a_ ** Admin can edit a group, for example the description_x000a_ ** Admin can delete a group, provided there are no referential constraints_x000a_ ** User can rearrange groups and sub-groups_x000a_ ** User can rearrange the characteristics within the payment event, groups or sub-groups_x000a_ * Rules_x000a_ ** Admin can define rules for a characteristic to validate the data that will be entered by the user_x000a_ ** Admin can define rules for a characteristic to determine if the characteristic should be visible or invisible_x000a_ ** Admin can define rules for a characteristic to determine if a characteristic is required or not_x000a_ ** Admin can define rules for a characteristic to determine when the characteristic should be editable or not_x000a_ ** Admin can define an error message that must be shown when the data entered by the user does not comply with the validation rule"/>
    <s v="See functional and non-functional requirements"/>
    <s v="See functional and non-functional requirements"/>
  </r>
  <r>
    <s v="IRM-3545"/>
    <x v="4"/>
    <x v="31"/>
    <s v="Reference Implementation - Self Service Filing &amp; Payments"/>
    <s v="SS Payments - See Payment Details"/>
    <s v="Waiting Analysis Approval"/>
    <n v="140"/>
    <s v="Other"/>
    <x v="2"/>
    <x v="47"/>
    <s v="p3"/>
    <s v="2021-10-01T14:45:20.000+0300"/>
    <s v="TshirtSize_M,pi28_candidate,pi28_p3"/>
    <m/>
    <s v="SS Payments - See Payment Details"/>
    <s v="As a self service user, I want to see the details of a specific payment, so that I can understand when and how the payment was made, understand what was paid and see the related payment receipt._x000a__x000a_*Introduction*_x000a__x000a_Some example wireframes have been attached to this feature. In case the content on the wireframes differs from the functional requirements, then the functional requirement should be used as input when implementing this feature._x000a__x000a_*Functional Requirements*_x000a_ * User can see the details of a specific payment_x000a_ ** Data set:_x000a_ *** Payment date: the date on which a payment was made by the user_x000a_ *** Payment method: the method that was used to make the payment_x000a_ *** Amount paid: the amount that was paid by the user_x000a_ *** Status: the status of the payment that was made by the user (e.g. accepted and cancelled)_x000a_ * User can see what payment form was submitted to make the payment_x000a_ * Data set_x000a_ ** Form type: the type of form that was submitted_x000a_ ** Form reference number: the reference number of the form that was submitted_x000a_ ** Submission date: the date the form was submitted_x000a_ ** Status: the status of the form that was submitted (e.g. submitted, being processed or processed)_x000a_ * Actions:_x000a_ ** User can open a submitted payment form (see IRM-3542 for an example of a payment form)_x000a__x000a__x000a_ * User can see the payment receipt that was provided after having completed the payment_x000a_ ** Data set:_x000a_ *** Receipt number: a unique reference for the payment receipt that was provided_x000a_ *** Creation date: the date the receipt was created_x000a_ ** Actions:_x000a_ *** User can open the receipt (see attached wireframe)_x000a_ * User can see what was paid with the payment._x000a_ ** Data set:_x000a_ *** Tax type: description of the tax type to which the payment was distributed for the taxpayer_x000a_ *** Period: description of the period (if any) to which the payment was distributed for the taxpayer_x000a_ *** Amount paid: the amount that was paid to the specific tax type and period for the taxpayer"/>
    <s v="See functional and non-functional requirements"/>
    <s v="See functional and non-functional requirements"/>
  </r>
  <r>
    <s v="IRM-3543"/>
    <x v="4"/>
    <x v="31"/>
    <s v="Reference Implementation - Self Service Filing &amp; Payments"/>
    <s v="SS Payments - See Payment History"/>
    <s v="Waiting Analysis Approval"/>
    <n v="140"/>
    <s v="Other"/>
    <x v="2"/>
    <x v="47"/>
    <s v="p3"/>
    <s v="2021-10-01T14:08:43.000+0300"/>
    <s v="AuditLog,TshirtSize_M,pi27_candidate"/>
    <m/>
    <s v="SS Payments - See Payment History"/>
    <s v="As a self service user, I want to see what payments were made for a specific taxpayer, so that I understand when those payments were made, what payment methods were used, how much was paid and see the statuses of these payments._x000a__x000a_*Introduction*_x000a__x000a_Some example wireframes have been attached to this feature. In case the content on the wireframes differs from the functional requirements, then the functional requirement should be used as input when implementing this feature._x000a__x000a_*Functional Requirements*_x000a_ * User can see the payments that were made for a specific taxpayer_x000a_ ** Filters:_x000a_ *** Year: user can choose to view the payments for all years or for a specific year_x000a_ *** Status: user can choose to view the payments with any status or to view only payments with a specific status_x000a_ ** Data set:_x000a_ *** Payment date: the date on which a payment was made by the user_x000a_ *** Payment method: the method that was used to make the payment_x000a_ *** Amount paid: the amount that was paid by the user_x000a_ *** Status: the status of the payment that was made by the user (e.g. accepted, rejected and cancelled)_x000a_ ** Actions:_x000a_ *** User can open the details of a specific payment (see IRM-3545)"/>
    <s v="See functional and non-functional requirements"/>
    <s v="See functional and non-functional requirements"/>
  </r>
  <r>
    <s v="IRM-3542"/>
    <x v="4"/>
    <x v="31"/>
    <s v="Reference Implementation - Self Service Filing &amp; Payments"/>
    <s v="SS  Payments - Submit Payment Form"/>
    <s v="Waiting Analysis Approval"/>
    <n v="140"/>
    <s v="Other"/>
    <x v="2"/>
    <x v="47"/>
    <s v="p3"/>
    <s v="2021-10-01T13:36:05.000+0300"/>
    <s v="TshirtSize_M,pi27_candidate"/>
    <m/>
    <s v="SS  Payments - Submit Payment Form"/>
    <s v="As a self service user, I want fill in and submit a payment form to pay the amounts owed for certain payment obligations, so that I can meet these payment obligations towards the revenue authority._x000a__x000a_*Introduction*_x000a__x000a_Some example wireframes have been attached to this feature. In case the content on the wireframes differs from the functional requirements, then the functional requirement should be used as input when implementing this feature._x000a__x000a_*Functional Requirements*_x000a_ * User can see a payment form_x000a_ ** Data set:_x000a_ *** Taxpayer details_x000a_ **** Taxpayer name: name of the taxpayer for which the payment obligations exist - assumption is that the taxpayer name can be prefilled and is read-only_x000a_ **** Identification type: the primary identification type of the taxpayer - assumption is that the identification type can be prefilled and is read-only_x000a_ **** Identification number: the primary identification number of the taxpayer - assumption is that the identification type can be prefilled and is read-only_x000a_ *** Payment details_x000a_ **** Payment method: payment methods that the user can select from - payment method credit card is used as an example in this example_x000a_ **** Payment service provider: payment service providers that the user can select from - payment service provider can only be selected if there are multiple payment service providers that support the selected payment method_x000a_ **** Credit card: types of credit cards that the user can choose from_x000a_ **** Credit card number: number on the user's credit card_x000a_ **** Expiry date month: credit card will expire at the end of this month_x000a_ **** Expiry date year: credit card will expire in this year_x000a_ **** CVV Security Code: security code that can be found on the back of the credit card_x000a_ **** Name: name that is displayed on the front of the card_x000a_ *** Payment Obligations - can contain data of multiple payment obligations_x000a_ **** Tax type: description of the tax type for which the payment obligation exists - assumption is that this information is prefilled based on the payment obligations that were selected on a previous page (see for example IRM-3451 and IRM-3541) and read-only_x000a_ **** Period: description of the period (if any) for which the obligation to pay certain liabilities exist (e.g. late filing penalty or tax assessment and any related charges that were added after filing a tax return for this period) - assumption is that this information is prefilled based on the payment obligations that were selected on a previous page (see for example IRM-3451 and IRM-3541) and read-only_x000a_ **** Payable amount: the total outstanding amount for a payment obligation - assumption is that this information is prefilled based on the payment obligations that were selected on a previous page (see for example IRM-3451 and IRM-3541) and read-only_x000a_ **** Payment amount: amount that the user can enter to indicate how much should be paid for a specific payment obligation - assumption is that the payment amount is equal to the payable amount by default_x000a_ **** Total payable amount: the sum of the payable amounts of the selected payment obligations - assumption is that this amount is calculated and read-only_x000a_ **** Total payment amount: the sum of the amount that will be paid for the selected payment obligations - assumption is that this amount is calculated and read-only_x000a_ ** Actions:_x000a_ *** User can print a payment form as a PDF_x000a_ *** User can submit a payment form once the form has been filled in. User can see if there are any validation issues that need to be resolved before the value added tax return can be submitted. User can see a confirmation if the payment was successfully processed (see attached wireframe). User can open a payment receipt if the payment was successfully processed (see attached wireframe)."/>
    <s v="See functional and non-functional requirements"/>
    <s v="See functional and non-functional requirements"/>
  </r>
  <r>
    <s v="IRM-3541"/>
    <x v="4"/>
    <x v="31"/>
    <s v="Reference Implementation - Self Service Filing &amp; Payments"/>
    <s v="SS  Payments - See Current Payment Obligations"/>
    <s v="Waiting Analysis Approval"/>
    <n v="140"/>
    <s v="Other"/>
    <x v="2"/>
    <x v="47"/>
    <s v="p3"/>
    <s v="2021-10-01T13:19:13.000+0300"/>
    <s v="TshirtSize_M,pi27_candidate"/>
    <m/>
    <s v="SS  Payments - See Current Payment Obligations"/>
    <s v="As a self service user, I want to see what payment obligations exist for a specific taxpayer, so that I can take action to pay what is owed by the taxpayer to the revenue authority._x000a__x000a_*Introduction*_x000a__x000a_Some example wireframes have been attached to this feature. In case the content on the wireframes differs from the functional requirements, then the functional requirement should be used as input when implementing this feature._x000a__x000a_*Functional Requirements*_x000a_ * User can see the current payment obligations for a specific taxpayer_x000a_ ** Data set:_x000a_ *** Tax type: description of the tax type for which the obligation to pay certain liabilities exist_x000a_ *** Period: description of the period (if any) for which the obligation to pay certain liabilities exist (e.g. late filing penalty or tax assessment and any related charges that were added after filing a tax return for this period)_x000a_ *** Payable amount: the amount that the taxpayer is obliged to pay for the specific tax type in the specific period (if any)_x000a_ *** Status: the status of the payment action that the taxpayer is obliged to perform - user can see whether the action is considered overdue or not_x000a_ ** Actions:_x000a_ *** User can select one or more payment obligations for which the user wants to take action to pay what is owed to the revenue authority_x000a_ *** User can open a payment form (see IRM-3542) to provide the information that is required to pay the selected payment obligations"/>
    <s v="See functional and non-functional requirements"/>
    <s v="See functional and non-functional requirements"/>
  </r>
  <r>
    <s v="IRM-790"/>
    <x v="5"/>
    <x v="21"/>
    <s v="Contact Management Enhancements"/>
    <s v="Send Outbound Message Automatically to Multiple Recipients - Admin"/>
    <s v="Waiting Analysis Approval"/>
    <n v="128"/>
    <s v="GRC"/>
    <x v="2"/>
    <x v="18"/>
    <s v="p3"/>
    <s v="2020-11-17T15:21:45.000+0200"/>
    <s v="C1,CONTACT_MANAGEMENT,GR,MVP,TshirtSize_M,nice-to-have,pi27_candidate"/>
    <m/>
    <s v="Send Outbound Message Automatically to Multiple Recipients - Admin"/>
    <s v="As an admin, I want to automatically send a copy of a specific outbound message (e.g. letter, email or text message) to different types of recipients (e.g. taxpayer and tax agent), so that the information in the outbound message can be exchanged with all relevant parties._x000d__x000a__x000d__x000a_*Introduction*_x000d__x000a__x000d__x000a_This feature extends IRM-786 and IRM-789 where requirements have been documented to send an outbound letter and outbound email / text messages automatically to a single party._x000d__x000a__x000d__x000a_*Functional Requirements*_x000d__x000a__x000d__x000a_Admin can enter literal values and/or reference values that will be known at run-time for input parameters that admin has defined for this type of contact and that can be used to automatically select the type of recipients that need to be considered for this type of outbound message, and automatically select a recipient for each type of recipient (based on rules defined by admin). These values can be defined on a 'establish and/or record contact' task within a specific type of business process (see IRM-785)._x000d__x000a__x000d__x000a_When executing the 'establish and/or record contact' task on an instance of this type of business process, the system will automatically generate all outbound messages, store these messages, finalize the messages, select a communication channel for each recipient and send the finalized outbound messages via the selected communication channels (e.g. print letter or send email)."/>
    <s v="See functional and non-functional requirements"/>
    <s v="See functional and non-functional requirements"/>
  </r>
  <r>
    <s v="IRM-775"/>
    <x v="5"/>
    <x v="21"/>
    <s v="Contact Management Enhancements"/>
    <s v="Define and Maintain Contact Types - Select Recipients - Admin"/>
    <s v="Waiting Analysis Approval"/>
    <n v="140"/>
    <s v="GRC"/>
    <x v="2"/>
    <x v="47"/>
    <s v="p3"/>
    <s v="2020-11-05T12:47:52.000+0200"/>
    <s v="CONTACT_MANAGEMENT,GR,MVP,TshirtSize_M,obj_customer_contacts,pi25_candidate,pi27_candidate"/>
    <m/>
    <s v="Define and Maintain Contact Types - Select Recipients - Admin"/>
    <s v="As an admin, I want to define and maintain rules to determine what recipient(s) need to receive a copy of a certain type of outbound message (e.g. certain type of letter, email or SMS), so that duplicate messages can be send to all parties that need to be informed._x000d__x000a__x000d__x000a_*Introduction*_x000d__x000a__x000d__x000a_This feature extends IRM-772 in which requirements have been documented to define and maintain different types of contacts._x000d__x000a__x000d__x000a_Recipients will receive the same information or almost the same information. For example, one letter could contain text to explain that this letter is a copy of the letter that has been sent to the taxpayer representative._x000d__x000a_Relevant to https://jira.intrasoft-intl.com/browse/IRM-774 _x000d__x000a__x000d__x000a_*Functional Requirements*_x000d__x000a_ * Admin can define rules to determine what types of recipients must receive a copy of a specific type of outbound message under certain circumstances. For example, if a certain type of letter is sent to the recipient type 'taxpayer' then a copy of this letter may have to be sent to the recipient type 'tax agent' and/or recipient type 'spouse'._x000d__x000a_ * Admin can define rules to determine the recipient for each type of recipient that will receive a copy of the message. For example, find the 'tax agent' that is representing a 'taxpayer' for a specific type of tax. Input parameters defined on the contact type can be used to select the recipients. Values for these input parameters can be provided at design time (literal values) or can be provided at run-time."/>
    <s v="See functional and non-functional requirements"/>
    <s v="See functional and non-functional requirements"/>
  </r>
  <r>
    <s v="IRM-774"/>
    <x v="5"/>
    <x v="21"/>
    <s v="Contact Management Enhancements"/>
    <s v="Define and Maintain Different Types of Recipients - Admin"/>
    <s v="Waiting Analysis Approval"/>
    <n v="46.7"/>
    <s v="GRC"/>
    <x v="2"/>
    <x v="46"/>
    <s v="p3"/>
    <s v="2020-11-05T12:26:05.000+0200"/>
    <s v="CONTACT_MANAGEMENT,GR,MVP,TshirtSize_S,pi25_candidate,pi27_candidate"/>
    <m/>
    <s v="Define and Maintain Different Types of Recipients - Admin"/>
    <s v="As an admin, I want to define and maintain different types of recipients for outbound messages, so that it can be indicated to what type of recipients a specific message (e.g. letter or email) must be send._x000a__x000a_*Functional Requirements*_x000a_ * Admin can define a new type of recipient. Examples of properties of a recipient are a code and a description._x000a_ * Admin can search a type of recipient_x000a_ * Admin can update a type of recipient_x000a_ * Admin can delete a type of recipient provided there are no referential constraints"/>
    <s v="See functional and non-functional requirements"/>
    <s v="See functional and non-functional requirements"/>
  </r>
  <r>
    <s v="IRM-766"/>
    <x v="5"/>
    <x v="21"/>
    <s v="Contact Management Enhancements"/>
    <s v="Send Outbound Message Manually to Multiple Recipients - User"/>
    <s v="Waiting Analysis Approval"/>
    <n v="264"/>
    <s v="GRC"/>
    <x v="2"/>
    <x v="27"/>
    <s v="p1"/>
    <s v="2020-11-04T16:11:10.000+0200"/>
    <s v="CONTACT_MANAGEMENT,GR,LT,MVP,TshirtSize_L,irm_pd_pdm_agreed,pi26_descoped,pi29_candidate,pi29_p1"/>
    <m/>
    <s v="Send Outbound Message Manually to Multiple Recipients - User"/>
    <s v="As a revenue official, I want to send a copy/version of a specific outbound message (e.g. letter, email or text message) to different types of recipients (e.g. taxpayer and tax agent), so that the information in the outbound message can be exchanged with all relevant parties._x000d__x000a__x000d__x000a_*Introduction*_x000d__x000a__x000d__x000a_This feature extends IRM-762 and IRM-765 where requirements have been documented to send an outbound letter and outbound email / text message manually to a single party._x000d__x000a_Admin feature to support this is the IRM-26951 _x000d__x000a__x000d__x000a_*Functional Requirements*_x000d__x000a_ * *Select recipients*_x000d__x000a_ ** User can select to send a contact to multiple recipients instead of one party role if contact type allows this usage. Option appears to the user to load a list. _x000d__x000a_ *** Optionally select to upload a file with party role IDs.  The party roles appears in a list. _x000d__x000a_ *** Optionally may add recipients manually selecting them and adding in the list. _x000d__x000a_ *** Optionally may select one recipient from the list and click to remove it._x000d__x000a_ *** The contact is send using one record of contact as per the channel selected. -The preferred contact is selected if applicable.-_x000d__x000a_-(Note: it is better to use systems contact details to avoid improper usage of persons emails)-  _x000d__x000a_ ** -User will create the parent contact as per contact type.-_x000d__x000a_ *** -It is expected system , per recipient to generate/send a new contact  - as a child contact to parent contact created.-  _x000d__x000a_ *** -The child contacts should be visible under the parent contact-_x000d__x000a_ ** User will select one channel. _x000d__x000a_ * *Generation and results*_x000d__x000a_ ** User can generate the outbound messages/emails for the recipients selected._x000d__x000a_ ** Different types of recipients may receive different outbound message content. (Based on [https://jira.intrasoft-intl.com/browse/IRM-774] ) Admin need to define the contact template per recipient.  _x000d__x000a_Examples: _x000d__x000a_One outbound message could contain text to explain that this outbound message is a copy of the outbound message that has been sent to another type of recipient._x000d__x000a_Address requested in contact template as well as balance is adjusted as per party selected. _x000d__x000a_Generation requirements as documented in IRM-762 and IRM-765 also apply when sending outbound messages to multiple recipients. (to be moved to a new feature)._x000d__x000a_ ** User can regenerate the outbound messages. Regeneration requirements as documented in IRM-762 and IRM-765 also apply when sending outbound messages to multiple recipients._x000d__x000a_ ** User can finalize the generated outbound messages._x000d__x000a_ ** User can send the finalized outbound messages via the selected communication channel. Send requirements as documented in IRM-762 and IRM-765 also apply when sending outbound messages to multiple recipients._x000d__x000a_ ** User can store the outbound messages. Storage requirements as documented in IRM-762 and IRM-765 also apply when sending outbound messages to multiple recipients._x000d__x000a_ ** User can see the results of the emailing/sms if integration allows so (as per  IRM-27816 ) _x000d__x000a_ ** Solution should be applicable to [https://jira.intrasoft-intl.com/browse/IRM-28177] _x000d__x000a_ * *Exceptions*_x000d__x000a_ ** Errors/exceptions appears if one of the recipients have incorrect/missing contact details for the selected channel and none of the batch  is sent. _x000d__x000a_&quot;Mass contact generation failed&quot; _x000d__x000a_&quot;Mass contact send failed&quot; _x000d__x000a_Note: it is expected is user does not have access as per row level security to the party role, cannot select party role in the list described above._x000d__x000a_ ** Errors/exceptions appears if any of the contacts cannot generate proper content - parameters are missing. _x000d__x000a_ * *History*_x000d__x000a_ ** All Actions and list of sent contacts should be logged in audit trail_x000d__x000a_ * *Admin leftovers*_x000d__x000a_ ** Make visible admin items implemented in [https://jira.intrasoft-intl.com/browse/IRM-26951]  _x000d__x000a__x000d__x000a_ _x000d__x000a_----_x000d__x000a_Notes: _x000d__x000a__x000d__x000a_ _x000d__x000a__x000d__x000a_A)_x000d__x000a__x000d__x000a_By an end customer an idea of how to work with files is: _x000d__x000a__x000d__x000a_!image-2025-09-15-20-42-40-437.png!_x000d__x000a__x000d__x000a_B) _x000d__x000a__x000d__x000a_Requirements for a next version of this functionality : _x000d__x000a_ * -{color:#c1c7d0}User can see what type of recipients are considered for this type of outbound message (based on rules defined by admin){color}-_x000d__x000a_ * -{color:#c1c7d0}User can see what recipients have automatically been selected for each type of recipient that is considered for this type of outbound message (based on rules defined by admin). Values entered by the user for input parameters that provide the context in which the outbound message is created (as described in IRM-762 and IRM-765), are used as input to select the correct recipients.{color}-_x000d__x000a_ * -{color:#c1c7d0}User can override what type of recipients must be considered for this outbound message{color}-_x000d__x000a_ * -{color:#c1c7d0}User can override the selection of recipients for each type of recipient{color}-_x000d__x000a_ * {color:#c1c7d0}-User can see and override the preferred communication channel for each recipient. Requirements to select communication channels as documented in IRM-762 and IRM-765 also apply when sending outbound messages to multiple recipients.-{color}_x000d__x000a_ * User can send the finalized outbound messages via the selected communication channel{-}{color:#c1c7d0}s{color}{-}. Send requirements as documented in IRM-762 and IRM-765 also apply when sending outbound messages to multiple recipients._x000d__x000a_ *  "/>
    <s v="By enabling users to send contacts to multiple recipients in a controlled and configurable way, the system will:_x000d__x000a_ * *Increase efficiency* by eliminating the need to generate and send the same contact individually for each recipient._x000d__x000a__x000d__x000a_ * *Improve consistency* by ensuring that outbound messages follow the same generation, regeneration, and finalization processes already defined (IRM-762, IRM-765)._x000d__x000a__x000d__x000a_ * *Enable scalability* for communication processes, allowing broader outreach (e.g., sending messages to groups of party roles) without additional administrative effort."/>
    <s v="* *Recipient Selection*_x000d__x000a_1.1. User can select multiple recipients if the contact type allows multi-recipient usage._x000d__x000a_1.2. User can upload a file containing party role IDs, and the system loads them into the recipient list._x000d__x000a_1.3. User can manually add recipients by selecting them individually._x000d__x000a_1.4. User can remove a recipient from the list by selecting and deleting it._x000d__x000a_1.5. Recipients not accessible to the user (due to row-level security) are not available for selection._x000d__x000a__x000d__x000a_ * *Contact Generation*_x000d__x000a_2.1. System generates one outbound message record per selected communication channel._x000d__x000a_2.2. Preferred contact details are used automatically where applicable._x000d__x000a_2.3. Outbound messages are generated according to as-is [ IRM-762 and IRM-765 requirements.]_x000d__x000a__x000d__x000a_ * *Contact Finalization &amp; Sending*_x000d__x000a_3.1. User can finalize generated outbound messages before sending._x000d__x000a_3.2. User can send finalized outbound messages via the selected communication channel._x000d__x000a_3.3. Sending follows the as-is [ IRM-762 and IRM-765 requirements.]_x000d__x000a_3.4. User can view sending results if supported by integration ( as described /implemented in IRM-27816)._x000d__x000a__x000d__x000a_ * *Contact Storage &amp; Audit*_x000d__x000a_4.1. Outbound messages are stored according to as-is [IRM-762 and IRM-765 requirements.]_x000d__x000a_4.2. All user actions (generate, regenerate, finalize, send) are logged in the audit trail._x000d__x000a_4.3. The list of sent contacts is logged in the audit trail._x000d__x000a__x000d__x000a_ * *Error Handling*_x000d__x000a_5.1. If a recipient is missing or has invalid contact details, the system prevents batch sending and displays:_x000d__x000a_“Mass contact generation failed” (at generation stage)._x000d__x000a_“Mass contact send failed” (at sending stage)._x000d__x000a_5.2. If outbound message content cannot be generated due to missing parameters, the system raises an error and does not generate incomplete contacts._x000d__x000a__x000d__x000a_ - Make visible admin items implemented in [https://jira.intrasoft-intl.com/browse/IRM-26951]  "/>
  </r>
  <r>
    <s v="IRM-761"/>
    <x v="5"/>
    <x v="21"/>
    <s v="Contact Management Enhancements"/>
    <s v="Support History of Changes for Contact when edited before sent as well - User"/>
    <s v="Waiting Analysis Approval"/>
    <n v="140"/>
    <s v="GRC"/>
    <x v="1"/>
    <x v="47"/>
    <s v="p3"/>
    <s v="2020-11-04T11:02:21.000+0200"/>
    <s v="AuditLog,C1,GR,MVP,TRACEBILITY,TshirtSize_M"/>
    <m/>
    <s v="Support History of Changes for Contact when edited before sent as well - User"/>
    <s v="As a revenue official, I want to see the history of changes for the contact, so that I can understand who changed what and when._x000d__x000a__x000d__x000a_*Functional Requirements*_x000d__x000a__x000d__x000a_*Contacts History*_x000d__x000a_ * User can see a list with list entries that show what changed on the contact over time. Each time the contact is updated a list entry is added automatically. _x000d__x000a_ * For each change (not only status transition - like in parties) , the user can see details of what changed, when and who made the change_x000d__x000a_ ** e.g. , This should be logged also when contact was changed before sent or when in generated status change channel. _x000d__x000a_ * User can click to open version page (as in Financial transactions)_x000d__x000a_ * User can sort and filter the list_x000d__x000a__x000d__x000a_*List page*_x000d__x000a_ * In Contacts list page I have available the versions menu_x000d__x000a_ * Open Contact versions page"/>
    <s v="See functional and non-functional requirements"/>
    <s v="See functional and non-functional requirements"/>
  </r>
  <r>
    <s v="IRM-542"/>
    <x v="1"/>
    <x v="3"/>
    <s v="Reference Implementation - CIT"/>
    <s v="CIT - Submit a CIT Return on ICARUS Self Service"/>
    <s v="Under Analysis"/>
    <n v="46.7"/>
    <s v="Other"/>
    <x v="1"/>
    <x v="46"/>
    <s v="p3"/>
    <s v="2020-02-25T16:54:24.000+0200"/>
    <s v="TshirtSize_S"/>
    <m/>
    <s v="CIT - Submit a CIT Return on ICARUS Self Service"/>
    <s v="As an ICARUS Self Service user, I want to submit a CIT Return form that captures all necessary Information needed to create a tax assessment for CIT._x000a__x000a_*Prerequisites*_x000a_ An entity should be:_x000a_ 1. Registered in IRM System, thus have a TIN_x000a_ 2. Registered for CIT in IRM_x000a_ prior to submit a CIT return form._x000a__x000a_The following *actions* should be available in ICARUS Self Service: _x000a_ 1. Open a CIT Return form, from the list of existing filing obligations._x000a_ 2. Create a CIT Return form and save it as a draft. User should be able to open the draft at a later point and proceed with editing._x000a_ 3. Print a CIT Return form in a PDF format should be available._x000a_ 4. Submit a CIT Return form to the back-end system._x000a__x000a_5. Taxpayer should be able to see the submission date ie the date the form was submitted to the revenue authority. _x000a__x000a_6. Taxpayer should be able to see a unique form reference number._x000a__x000a_ _x000a__x000a_The following *validations* on the CIT Return form should be available in ICARUS Self Service. Note that these are only sample validation rules since these may differentiate per country:_x000a_ # In Section &quot;Filing Period Details&quot; Fields &quot;Filing Period Start and End Dates&quot; create a validation for filing period based on the filing frequency defined to verify the period selected is complaint. Ex. If filing frequency is annual then 12 month period should be selected._x000a_ # In Section &quot;Filing Period Details&quot; Field &quot;If you do not have to complete ... please tick this box&quot; create a validation when this field is selected then remaining input amount sections to calculate CIT should not be available to edit. Tax amount for this period should be set to zero. _x000a_ # In Section &quot;Net Income&quot; only fields &quot;Returns and Allowances, Cost of Goods Sold, Depreciation and Amortization&quot; should be allowed to accept negative values (Zero value should be allowed). _x000a_ # In Section &quot;Final Tax Assessment&quot;when field &quot;Other Adjustments&quot; has a value different than zero then Attachment Category &quot;Miscellaneous related attachments&quot; should be required prior submitting the form."/>
    <s v="Submit a CIT Return on ICARUS Self Service"/>
    <s v="Submit a CIT Return on ICARUS Self Service"/>
  </r>
  <r>
    <s v="IRM-374"/>
    <x v="4"/>
    <x v="31"/>
    <s v="Reference Implementation - Self Service Filing &amp; Payments"/>
    <s v="SS Payments - Initiate Payment from Self Service Portal - User"/>
    <s v="Under Analysis"/>
    <n v="181.3"/>
    <s v="GRC"/>
    <x v="2"/>
    <x v="19"/>
    <s v="p2"/>
    <s v="2020-01-30T22:26:48.000+0200"/>
    <s v="GR,MVP,SELF_SERVICE_SERVICES_MANAGEMENT,pi29_candidate,pi29_p2"/>
    <m/>
    <s v="SS Payments - Initiate Payment from Self Service Portal - User"/>
    <s v="As a taxpayer, I want to see and pay my outstanding liabilities from the self service portal, so that I can understand and meet my payment obligations towards the revenue authority._x000a__x000a_*Introduction*_x000a__x000a_This feature describes how the taxpayer can use the taxpayer self service portal to initiate a payment to pay outstanding liabilities._x000a__x000a_The steps the taxpayer must follow to initiate and complete a payment may vary depending on the type of integration between ICARUS and the payment service providers (a.k.a. payment gateways or PSPs). Integration types to consider are (1) hosted - taxpayer leaves self service portal to complete payment on PSP portal, (2) direct post - PSP page that is used to complete the payment is embedded in a frame on self service portal and (3) non-hosted - self service portal provides features to capture all payment details and uses an API to submit details to the PSP. This feature describes the requirements assuming the 3rd type of integration is used._x000a__x000a_Revenue authorities can depending on the requirements provide various options on the self service portal to pay outstanding liabilities, including for example (1) pay party role, (2) pay specific tax account, (3) pay a specific filing period, (4) pay a specific pay plan, (5) pay a specific collection notice, (6) pay a specific tax return, or (7) pay a specific single assessed liability (e.g. tax, penalty or interest). This feature describes the requirements for the 3rd and 7th option._x000a__x000a_Revenue authorities can depending on the requirements provide various payment methods on the self service portal to pay outstanding liabilities. Examples include (1) credit card, (2) debit card, (3) PayPal and other similar services, (4) M-Pesa, Paym and other similar services, (5) direct debit, (6) PDS2 and other similar services and (7) guarantees registered at the revenue authority. This feature describes the requirements for the 1st option._x000a__x000a_Revenue authorities and/or payment service providers may charge convenience fees. Information on any applicable fees must be presented to the portal user before submitting the payment. Convenience fee requirements will be documented in another feature._x000a__x000a_As credit card details are used in the self service portal, the product should cater for features to allow the revenue authority to be PCI-DSS compliant. Relevant PCI-DSS requirements will be documented in another feature._x000a__x000a_*Functional requirements*_x000a_ * User can select outstanding liabilities for payment. Examples in scope for this feature are:_x000a_ ** User can see a list with outstanding liabilities. Examples of properties to display in the list are the debt category, revenue type, filing period, notice reference number, payable amount and status of the liability (e.g. pending or overdue). User can select one or more outstanding liabilities for payment. See example on attached screenshot 'ICARUS Self Service Pay Specific Assessed Liabilities Example.png'. Multi-select and passing data to another action will be implemented as part of IRM-401._x000a_ ** User can see the assessed liabilities (including outstanding liabilities) for a specific filing period (on the filing obligation details page). User can choose to pay all outstanding liabilities for the filing period or choose to pay a single assessed liability. See example on attached screenshot 'ICARUS Self Service Pay Specific Filing Period Example.png'._x000a_ * User can enter the following data in the sample payment form._x000a_ See example of form in attached screenshot 'ICARUS Self Service Payment Form Credit Card Example.png'_x000a_ ** Taxpayer Details_x000a_ *** Taxpayer Name (prefilled and read-only)_x000a_ *** Identification Type (prefilled and read-only)_x000a_ *** Identification Number (prefilled and read-only)_x000a_ ** Payment Details_x000a_ *** Payment Method (configurable list)_x000a_ *** Payment Service Provider (configurable list)_x000a_ Payment Service Provider field is only shown if there are multiple Payment Service Providers defined that support the selected Payment Method_x000a_ *** Credit Card (configurable list)_x000a_ *** Credit Card Number_x000a_ *** Expiry Date - Month_x000a_ *** Expiry Date - Year_x000a_ *** CVV Security Code_x000a_ *** Name on Card_x000a_ ** Payment Obligations (multiple; prefilled based on selected outstanding liabilities)_x000a_ *** Debt Category (prefilled)_x000a_ *** Revenue Type (prefilled)_x000a_ *** Period (prefilled)_x000a_ *** Reference Number (prefilled)_x000a_ *** Payable Amount (prefilled)_x000a_ *** Payment Amount_x000a_ User can enter the payment amount for each row with outstanding liability details._x000a_ *** Total Payable Amount (calculated)_x000a_ *** Total Payment Amount (calculated)_x000a_ * User can see currency symbol for amounts._x000a_ * User can save a draft of the payment form._x000a_ * User can print the payment form to PDF._x000a_ * User can submit the payment form to the Payment Service Provider._x000a_ * User can see a payment confirmation message if the payment was successfully processed after submission. Examples of data displayed on the payment confirmation are the payment status, payment date, payment amount and payment receipt number. See example on attached screenshot 'ICARUS Self Service Payment Confirmation.png'._x000a_ * If the payment could not be processed after submission, the user can see the validation exceptions in the payment form. Examples of reasons why the payment could not be processed are invalid credit card number and credit card is expired. The user should be able to correct the data entered in the payment form or to abort the attempt to pay_x000a_ * User can open the payment receipt. Examples of data displayed on the payment receipt are taxpayer name, taxpayer identification type, taxpayer identification number, taxpayer address, payment method, payment date, payment amount, and information about what was paid (e.g. tax type and filing period) (will be handled by IRM-380)_x000a_ * User can print the payment receipt to PDF (will be handled by IRM-380)_x000a__x000a_ *Note* that the form described above refers to the case of paying transactions. A different form should be created for the case of paying an obligation (Pay button on upper part of &quot;ICARUS Self Service Pay Specific Filing Period Example.png&quot;"/>
    <s v="NA"/>
    <s v="Functional and non-functional requirements have been implement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7577982-3DBC-4839-84B8-F29CF5C1827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8">
    <pivotField showAll="0"/>
    <pivotField outline="0" showAll="0" defaultSubtotal="0">
      <extLst>
        <ext xmlns:x14="http://schemas.microsoft.com/office/spreadsheetml/2009/9/main" uri="{2946ED86-A175-432a-8AC1-64E0C546D7DE}">
          <x14:pivotField fillDownLabels="1"/>
        </ext>
      </extLst>
    </pivotField>
    <pivotField outline="0" showAll="0" defaultSubtotal="0">
      <extLst>
        <ext xmlns:x14="http://schemas.microsoft.com/office/spreadsheetml/2009/9/main" uri="{2946ED86-A175-432a-8AC1-64E0C546D7DE}">
          <x14:pivotField fillDownLabels="1"/>
        </ext>
      </extLst>
    </pivotField>
    <pivotField showAll="0"/>
    <pivotField showAll="0"/>
    <pivotField dataField="1" showAll="0"/>
    <pivotField showAll="0"/>
    <pivotField axis="axisRow" showAll="0">
      <items count="8">
        <item m="1" x="5"/>
        <item m="1" x="6"/>
        <item x="1"/>
        <item x="0"/>
        <item x="3"/>
        <item x="2"/>
        <item x="4"/>
        <item t="default"/>
      </items>
    </pivotField>
  </pivotFields>
  <rowFields count="1">
    <field x="7"/>
  </rowFields>
  <rowItems count="6">
    <i>
      <x v="2"/>
    </i>
    <i>
      <x v="3"/>
    </i>
    <i>
      <x v="4"/>
    </i>
    <i>
      <x v="5"/>
    </i>
    <i>
      <x v="6"/>
    </i>
    <i t="grand">
      <x/>
    </i>
  </rowItems>
  <colItems count="1">
    <i/>
  </colItems>
  <dataFields count="1">
    <dataField name="Sum of Estimate" fld="5" baseField="6" baseItem="3"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6558D6-9F37-4FD1-935F-8A348740262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3:R15" firstHeaderRow="1" firstDataRow="2" firstDataCol="1"/>
  <pivotFields count="8">
    <pivotField showAll="0"/>
    <pivotField showAll="0"/>
    <pivotField showAll="0"/>
    <pivotField showAll="0"/>
    <pivotField axis="axisRow" showAll="0">
      <items count="16">
        <item x="5"/>
        <item m="1" x="14"/>
        <item x="0"/>
        <item m="1" x="13"/>
        <item x="7"/>
        <item m="1" x="12"/>
        <item m="1" x="11"/>
        <item x="6"/>
        <item x="8"/>
        <item x="9"/>
        <item m="1" x="10"/>
        <item x="1"/>
        <item x="2"/>
        <item x="3"/>
        <item x="4"/>
        <item t="default"/>
      </items>
    </pivotField>
    <pivotField dataField="1" showAll="0"/>
    <pivotField showAll="0"/>
    <pivotField axis="axisCol" showAll="0">
      <items count="8">
        <item m="1" x="5"/>
        <item m="1" x="6"/>
        <item x="1"/>
        <item x="0"/>
        <item x="3"/>
        <item x="2"/>
        <item x="4"/>
        <item t="default"/>
      </items>
    </pivotField>
  </pivotFields>
  <rowFields count="1">
    <field x="4"/>
  </rowFields>
  <rowItems count="11">
    <i>
      <x/>
    </i>
    <i>
      <x v="2"/>
    </i>
    <i>
      <x v="4"/>
    </i>
    <i>
      <x v="7"/>
    </i>
    <i>
      <x v="8"/>
    </i>
    <i>
      <x v="9"/>
    </i>
    <i>
      <x v="11"/>
    </i>
    <i>
      <x v="12"/>
    </i>
    <i>
      <x v="13"/>
    </i>
    <i>
      <x v="14"/>
    </i>
    <i t="grand">
      <x/>
    </i>
  </rowItems>
  <colFields count="1">
    <field x="7"/>
  </colFields>
  <colItems count="6">
    <i>
      <x v="2"/>
    </i>
    <i>
      <x v="3"/>
    </i>
    <i>
      <x v="4"/>
    </i>
    <i>
      <x v="5"/>
    </i>
    <i>
      <x v="6"/>
    </i>
    <i t="grand">
      <x/>
    </i>
  </colItems>
  <dataFields count="1">
    <dataField name="Sum of Estimate"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6DD3523-83AF-4C8F-A28A-1C17994B3D8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B17" firstHeaderRow="1" firstDataRow="1" firstDataCol="1"/>
  <pivotFields count="8">
    <pivotField showAll="0"/>
    <pivotField showAll="0"/>
    <pivotField showAll="0"/>
    <pivotField showAll="0"/>
    <pivotField showAll="0"/>
    <pivotField dataField="1" showAll="0"/>
    <pivotField axis="axisRow" showAll="0">
      <items count="4">
        <item x="0"/>
        <item x="2"/>
        <item x="1"/>
        <item t="default"/>
      </items>
    </pivotField>
    <pivotField showAll="0"/>
  </pivotFields>
  <rowFields count="1">
    <field x="6"/>
  </rowFields>
  <rowItems count="4">
    <i>
      <x/>
    </i>
    <i>
      <x v="1"/>
    </i>
    <i>
      <x v="2"/>
    </i>
    <i t="grand">
      <x/>
    </i>
  </rowItems>
  <colItems count="1">
    <i/>
  </colItems>
  <dataFields count="1">
    <dataField name="Sum of Estimate" fld="5" baseField="6"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74ABE5F-C67C-4471-BACE-74156CE25BF5}"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33" firstHeaderRow="1" firstDataRow="1" firstDataCol="1" rowPageCount="1" colPageCount="1"/>
  <pivotFields count="18">
    <pivotField showAll="0"/>
    <pivotField axis="axisRow" showAll="0">
      <items count="8">
        <item x="6"/>
        <item x="2"/>
        <item x="3"/>
        <item x="5"/>
        <item x="0"/>
        <item x="4"/>
        <item x="1"/>
        <item t="default"/>
      </items>
    </pivotField>
    <pivotField axis="axisRow" showAll="0">
      <items count="34">
        <item x="0"/>
        <item x="27"/>
        <item x="23"/>
        <item x="29"/>
        <item x="17"/>
        <item x="26"/>
        <item x="21"/>
        <item x="25"/>
        <item x="19"/>
        <item x="24"/>
        <item x="4"/>
        <item x="12"/>
        <item x="1"/>
        <item x="22"/>
        <item x="28"/>
        <item x="30"/>
        <item x="6"/>
        <item x="14"/>
        <item x="16"/>
        <item x="18"/>
        <item x="8"/>
        <item x="32"/>
        <item x="31"/>
        <item x="20"/>
        <item x="9"/>
        <item x="5"/>
        <item x="15"/>
        <item x="13"/>
        <item x="11"/>
        <item x="2"/>
        <item x="7"/>
        <item x="10"/>
        <item x="3"/>
        <item t="default"/>
      </items>
    </pivotField>
    <pivotField showAll="0"/>
    <pivotField showAll="0"/>
    <pivotField showAll="0"/>
    <pivotField showAll="0"/>
    <pivotField showAll="0"/>
    <pivotField axis="axisPage" showAll="0">
      <items count="6">
        <item x="4"/>
        <item x="3"/>
        <item x="0"/>
        <item x="2"/>
        <item x="1"/>
        <item t="default"/>
      </items>
    </pivotField>
    <pivotField dataField="1" showAll="0">
      <items count="65">
        <item x="50"/>
        <item x="56"/>
        <item x="34"/>
        <item x="31"/>
        <item x="43"/>
        <item x="37"/>
        <item x="15"/>
        <item x="52"/>
        <item x="3"/>
        <item x="33"/>
        <item x="28"/>
        <item x="58"/>
        <item x="60"/>
        <item x="24"/>
        <item x="16"/>
        <item x="57"/>
        <item x="46"/>
        <item x="39"/>
        <item x="2"/>
        <item x="5"/>
        <item x="32"/>
        <item x="38"/>
        <item x="30"/>
        <item x="20"/>
        <item x="6"/>
        <item x="7"/>
        <item x="59"/>
        <item x="21"/>
        <item x="40"/>
        <item x="14"/>
        <item x="42"/>
        <item x="18"/>
        <item x="4"/>
        <item x="29"/>
        <item x="17"/>
        <item x="47"/>
        <item x="11"/>
        <item x="25"/>
        <item x="9"/>
        <item x="19"/>
        <item x="10"/>
        <item x="22"/>
        <item x="35"/>
        <item x="1"/>
        <item x="36"/>
        <item x="55"/>
        <item x="41"/>
        <item x="61"/>
        <item x="27"/>
        <item x="12"/>
        <item x="63"/>
        <item x="23"/>
        <item x="53"/>
        <item x="45"/>
        <item x="62"/>
        <item x="54"/>
        <item x="48"/>
        <item x="26"/>
        <item x="8"/>
        <item x="49"/>
        <item x="13"/>
        <item x="44"/>
        <item x="51"/>
        <item x="0"/>
        <item t="default"/>
      </items>
    </pivotField>
    <pivotField showAll="0"/>
    <pivotField showAll="0"/>
    <pivotField showAll="0"/>
    <pivotField showAll="0"/>
    <pivotField showAll="0"/>
    <pivotField showAll="0"/>
    <pivotField showAll="0"/>
    <pivotField showAll="0"/>
  </pivotFields>
  <rowFields count="2">
    <field x="1"/>
    <field x="2"/>
  </rowFields>
  <rowItems count="30">
    <i>
      <x v="1"/>
    </i>
    <i r="1">
      <x v="4"/>
    </i>
    <i r="1">
      <x v="15"/>
    </i>
    <i r="1">
      <x v="18"/>
    </i>
    <i r="1">
      <x v="24"/>
    </i>
    <i r="1">
      <x v="25"/>
    </i>
    <i>
      <x v="2"/>
    </i>
    <i r="1">
      <x v="23"/>
    </i>
    <i r="1">
      <x v="30"/>
    </i>
    <i>
      <x v="3"/>
    </i>
    <i r="1">
      <x v="6"/>
    </i>
    <i r="1">
      <x v="8"/>
    </i>
    <i r="1">
      <x v="11"/>
    </i>
    <i r="1">
      <x v="17"/>
    </i>
    <i r="1">
      <x v="28"/>
    </i>
    <i>
      <x v="4"/>
    </i>
    <i r="1">
      <x/>
    </i>
    <i r="1">
      <x v="10"/>
    </i>
    <i r="1">
      <x v="12"/>
    </i>
    <i r="1">
      <x v="13"/>
    </i>
    <i r="1">
      <x v="16"/>
    </i>
    <i r="1">
      <x v="19"/>
    </i>
    <i r="1">
      <x v="20"/>
    </i>
    <i r="1">
      <x v="27"/>
    </i>
    <i r="1">
      <x v="29"/>
    </i>
    <i>
      <x v="5"/>
    </i>
    <i r="1">
      <x v="31"/>
    </i>
    <i>
      <x v="6"/>
    </i>
    <i r="1">
      <x v="32"/>
    </i>
    <i t="grand">
      <x/>
    </i>
  </rowItems>
  <colItems count="1">
    <i/>
  </colItems>
  <pageFields count="1">
    <pageField fld="8" item="2" hier="-1"/>
  </pageFields>
  <dataFields count="1">
    <dataField name="Sum of Final Original Estimate" fld="9" baseField="2" baseItem="1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CC11B8A-E891-4C9D-8426-7598D2E8551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B17" firstHeaderRow="1" firstDataRow="1" firstDataCol="1"/>
  <pivotFields count="8">
    <pivotField showAll="0"/>
    <pivotField showAll="0"/>
    <pivotField showAll="0"/>
    <pivotField showAll="0"/>
    <pivotField showAll="0"/>
    <pivotField dataField="1" showAll="0"/>
    <pivotField axis="axisRow" showAll="0">
      <items count="4">
        <item x="0"/>
        <item x="2"/>
        <item x="1"/>
        <item t="default"/>
      </items>
    </pivotField>
    <pivotField showAll="0"/>
  </pivotFields>
  <rowFields count="1">
    <field x="6"/>
  </rowFields>
  <rowItems count="4">
    <i>
      <x/>
    </i>
    <i>
      <x v="1"/>
    </i>
    <i>
      <x v="2"/>
    </i>
    <i t="grand">
      <x/>
    </i>
  </rowItems>
  <colItems count="1">
    <i/>
  </colItems>
  <dataFields count="1">
    <dataField name="Sum of Estimate" fld="5" baseField="6"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0DBECC3-3866-4AAD-9FD7-BB8F20A4EBB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3:R15" firstHeaderRow="1" firstDataRow="2" firstDataCol="1"/>
  <pivotFields count="8">
    <pivotField showAll="0"/>
    <pivotField showAll="0"/>
    <pivotField showAll="0"/>
    <pivotField showAll="0"/>
    <pivotField axis="axisRow" showAll="0">
      <items count="16">
        <item x="5"/>
        <item m="1" x="14"/>
        <item x="0"/>
        <item m="1" x="13"/>
        <item x="7"/>
        <item m="1" x="12"/>
        <item m="1" x="11"/>
        <item x="6"/>
        <item x="8"/>
        <item x="9"/>
        <item m="1" x="10"/>
        <item x="1"/>
        <item x="2"/>
        <item x="3"/>
        <item x="4"/>
        <item t="default"/>
      </items>
    </pivotField>
    <pivotField dataField="1" showAll="0"/>
    <pivotField showAll="0"/>
    <pivotField axis="axisCol" showAll="0">
      <items count="8">
        <item m="1" x="5"/>
        <item m="1" x="6"/>
        <item x="1"/>
        <item x="0"/>
        <item x="3"/>
        <item x="2"/>
        <item x="4"/>
        <item t="default"/>
      </items>
    </pivotField>
  </pivotFields>
  <rowFields count="1">
    <field x="4"/>
  </rowFields>
  <rowItems count="11">
    <i>
      <x/>
    </i>
    <i>
      <x v="2"/>
    </i>
    <i>
      <x v="4"/>
    </i>
    <i>
      <x v="7"/>
    </i>
    <i>
      <x v="8"/>
    </i>
    <i>
      <x v="9"/>
    </i>
    <i>
      <x v="11"/>
    </i>
    <i>
      <x v="12"/>
    </i>
    <i>
      <x v="13"/>
    </i>
    <i>
      <x v="14"/>
    </i>
    <i t="grand">
      <x/>
    </i>
  </rowItems>
  <colFields count="1">
    <field x="7"/>
  </colFields>
  <colItems count="6">
    <i>
      <x v="2"/>
    </i>
    <i>
      <x v="3"/>
    </i>
    <i>
      <x v="4"/>
    </i>
    <i>
      <x v="5"/>
    </i>
    <i>
      <x v="6"/>
    </i>
    <i t="grand">
      <x/>
    </i>
  </colItems>
  <dataFields count="1">
    <dataField name="Sum of Estimate"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30F608E-908D-46D1-8D3C-EF31191CB9A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8">
    <pivotField showAll="0"/>
    <pivotField outline="0" showAll="0" defaultSubtotal="0">
      <extLst>
        <ext xmlns:x14="http://schemas.microsoft.com/office/spreadsheetml/2009/9/main" uri="{2946ED86-A175-432a-8AC1-64E0C546D7DE}">
          <x14:pivotField fillDownLabels="1"/>
        </ext>
      </extLst>
    </pivotField>
    <pivotField outline="0" showAll="0" defaultSubtotal="0">
      <extLst>
        <ext xmlns:x14="http://schemas.microsoft.com/office/spreadsheetml/2009/9/main" uri="{2946ED86-A175-432a-8AC1-64E0C546D7DE}">
          <x14:pivotField fillDownLabels="1"/>
        </ext>
      </extLst>
    </pivotField>
    <pivotField showAll="0"/>
    <pivotField showAll="0"/>
    <pivotField dataField="1" showAll="0"/>
    <pivotField showAll="0"/>
    <pivotField axis="axisRow" showAll="0">
      <items count="8">
        <item m="1" x="5"/>
        <item m="1" x="6"/>
        <item x="1"/>
        <item x="0"/>
        <item x="3"/>
        <item x="2"/>
        <item x="4"/>
        <item t="default"/>
      </items>
    </pivotField>
  </pivotFields>
  <rowFields count="1">
    <field x="7"/>
  </rowFields>
  <rowItems count="6">
    <i>
      <x v="2"/>
    </i>
    <i>
      <x v="3"/>
    </i>
    <i>
      <x v="4"/>
    </i>
    <i>
      <x v="5"/>
    </i>
    <i>
      <x v="6"/>
    </i>
    <i t="grand">
      <x/>
    </i>
  </rowItems>
  <colItems count="1">
    <i/>
  </colItems>
  <dataFields count="1">
    <dataField name="Sum of Estimate" fld="5" baseField="6" baseItem="3"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4B8AE4E-A6B1-43C8-A2F9-40861E8CC63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F41" firstHeaderRow="1" firstDataRow="2" firstDataCol="1"/>
  <pivotFields count="8">
    <pivotField showAll="0"/>
    <pivotField axis="axisRow" showAll="0">
      <items count="8">
        <item x="5"/>
        <item x="0"/>
        <item x="6"/>
        <item x="1"/>
        <item x="4"/>
        <item x="3"/>
        <item x="2"/>
        <item t="default"/>
      </items>
    </pivotField>
    <pivotField axis="axisRow" showAll="0">
      <items count="35">
        <item x="23"/>
        <item x="17"/>
        <item x="26"/>
        <item x="15"/>
        <item m="1" x="33"/>
        <item x="7"/>
        <item x="1"/>
        <item x="11"/>
        <item x="21"/>
        <item x="12"/>
        <item x="25"/>
        <item x="27"/>
        <item x="20"/>
        <item x="10"/>
        <item x="28"/>
        <item x="16"/>
        <item x="14"/>
        <item x="19"/>
        <item x="6"/>
        <item x="0"/>
        <item x="5"/>
        <item x="8"/>
        <item x="3"/>
        <item x="9"/>
        <item x="24"/>
        <item x="31"/>
        <item x="18"/>
        <item x="30"/>
        <item x="4"/>
        <item x="22"/>
        <item x="13"/>
        <item x="29"/>
        <item x="32"/>
        <item x="2"/>
        <item t="default"/>
      </items>
    </pivotField>
    <pivotField showAll="0"/>
    <pivotField showAll="0"/>
    <pivotField dataField="1" showAll="0"/>
    <pivotField showAll="0"/>
    <pivotField axis="axisCol" showAll="0">
      <items count="8">
        <item h="1" m="1" x="5"/>
        <item h="1" m="1" x="6"/>
        <item h="1" x="1"/>
        <item h="1" x="0"/>
        <item x="3"/>
        <item h="1" x="2"/>
        <item h="1" x="4"/>
        <item t="default"/>
      </items>
    </pivotField>
  </pivotFields>
  <rowFields count="2">
    <field x="1"/>
    <field x="2"/>
  </rowFields>
  <rowItems count="37">
    <i>
      <x v="1"/>
    </i>
    <i r="1">
      <x v="5"/>
    </i>
    <i r="1">
      <x v="16"/>
    </i>
    <i r="1">
      <x v="19"/>
    </i>
    <i r="1">
      <x v="25"/>
    </i>
    <i r="1">
      <x v="26"/>
    </i>
    <i>
      <x v="2"/>
    </i>
    <i r="1">
      <x v="24"/>
    </i>
    <i r="1">
      <x v="31"/>
    </i>
    <i>
      <x v="3"/>
    </i>
    <i r="1">
      <x v="6"/>
    </i>
    <i r="1">
      <x v="7"/>
    </i>
    <i r="1">
      <x v="8"/>
    </i>
    <i r="1">
      <x v="9"/>
    </i>
    <i r="1">
      <x v="12"/>
    </i>
    <i r="1">
      <x v="15"/>
    </i>
    <i r="1">
      <x v="18"/>
    </i>
    <i r="1">
      <x v="29"/>
    </i>
    <i>
      <x v="4"/>
    </i>
    <i r="1">
      <x/>
    </i>
    <i r="1">
      <x v="11"/>
    </i>
    <i r="1">
      <x v="13"/>
    </i>
    <i r="1">
      <x v="14"/>
    </i>
    <i r="1">
      <x v="17"/>
    </i>
    <i r="1">
      <x v="20"/>
    </i>
    <i r="1">
      <x v="21"/>
    </i>
    <i r="1">
      <x v="27"/>
    </i>
    <i r="1">
      <x v="28"/>
    </i>
    <i r="1">
      <x v="30"/>
    </i>
    <i>
      <x v="5"/>
    </i>
    <i r="1">
      <x v="3"/>
    </i>
    <i r="1">
      <x v="22"/>
    </i>
    <i r="1">
      <x v="23"/>
    </i>
    <i r="1">
      <x v="32"/>
    </i>
    <i>
      <x v="6"/>
    </i>
    <i r="1">
      <x v="33"/>
    </i>
    <i t="grand">
      <x/>
    </i>
  </rowItems>
  <colFields count="1">
    <field x="7"/>
  </colFields>
  <colItems count="2">
    <i>
      <x v="4"/>
    </i>
    <i t="grand">
      <x/>
    </i>
  </colItems>
  <dataFields count="1">
    <dataField name="Sum of Estimate" fld="5" baseField="2" baseItem="3"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6" xr16:uid="{09E71F36-E61D-4D08-9773-15BA62A086E4}" autoFormatId="16" applyNumberFormats="0" applyBorderFormats="0" applyFontFormats="0" applyPatternFormats="0" applyAlignmentFormats="0" applyWidthHeightFormats="0">
  <queryTableRefresh nextId="63">
    <queryTableFields count="18">
      <queryTableField id="57" name="IRM" tableColumnId="26"/>
      <queryTableField id="18" name="Roadmap Initiative Group" tableColumnId="13"/>
      <queryTableField id="55" name="Roadmap Initiative" tableColumnId="25"/>
      <queryTableField id="13" name="Epic" tableColumnId="12"/>
      <queryTableField id="36" name="Roadmap Feature" tableColumnId="22"/>
      <queryTableField id="3" name="Status" tableColumnId="3"/>
      <queryTableField id="37" name="Build Estimate" tableColumnId="23"/>
      <queryTableField id="38" name="Requester" tableColumnId="24"/>
      <queryTableField id="34" name="Calculated PI" tableColumnId="21"/>
      <queryTableField id="30" name="Final Original Estimate" tableColumnId="19"/>
      <queryTableField id="25" name="Priority" tableColumnId="17"/>
      <queryTableField id="10" name="created" tableColumnId="9"/>
      <queryTableField id="5" name="labels" tableColumnId="5"/>
      <queryTableField id="7" name="fixVersions" tableColumnId="7"/>
      <queryTableField id="59" name="Enriched Jira Features.Summary" tableColumnId="1"/>
      <queryTableField id="60" name="Enriched Jira Features.Description" tableColumnId="2"/>
      <queryTableField id="61" name="Enriched Jira Features.Benefit Hypothesis" tableColumnId="4"/>
      <queryTableField id="62" name="Enriched Jira Features.Acceptance Criteria"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89BD7327-6EF5-4056-BFE6-F7C853D4D571}" autoFormatId="16" applyNumberFormats="0" applyBorderFormats="0" applyFontFormats="0" applyPatternFormats="0" applyAlignmentFormats="0" applyWidthHeightFormats="0">
  <queryTableRefresh nextId="20">
    <queryTableFields count="8">
      <queryTableField id="15" name="IRM" tableColumnId="12"/>
      <queryTableField id="13" name="Roadmap Initiative Group" tableColumnId="11"/>
      <queryTableField id="1" name="Roadmap Initiative" tableColumnId="1"/>
      <queryTableField id="2" name="Roadmap Feature" tableColumnId="2"/>
      <queryTableField id="3" name="Roadmap Item" tableColumnId="3"/>
      <queryTableField id="11" name="Estimate" tableColumnId="10"/>
      <queryTableField id="18" name="Requester" tableColumnId="13"/>
      <queryTableField id="9" name="PI" tableColumnId="9"/>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4" xr16:uid="{62A7CE92-3B3C-4FB2-B716-1F025B269C70}" autoFormatId="16" applyNumberFormats="0" applyBorderFormats="0" applyFontFormats="0" applyPatternFormats="0" applyAlignmentFormats="0" applyWidthHeightFormats="0">
  <queryTableRefresh nextId="19">
    <queryTableFields count="5">
      <queryTableField id="1" name="Key" tableColumnId="1"/>
      <queryTableField id="11" name="Roadmap Initiative Group" tableColumnId="11"/>
      <queryTableField id="17" name="Roadmap Initiative" tableColumnId="14"/>
      <queryTableField id="13" name="Epic" tableColumnId="13"/>
      <queryTableField id="5" name="created" tableColumnId="5"/>
    </queryTableFields>
  </queryTableRefresh>
</queryTable>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15C57B0-A8A5-44CC-8B46-AEF812F6BBE3}" name="Epic_Mapping" displayName="Epic_Mapping" ref="A1:C34" totalsRowShown="0">
  <autoFilter ref="A1:C34" xr:uid="{BA4BF345-080A-475B-B2A5-0DE9FA511D49}"/>
  <sortState xmlns:xlrd2="http://schemas.microsoft.com/office/spreadsheetml/2017/richdata2" ref="A2:C34">
    <sortCondition ref="A1:A34"/>
  </sortState>
  <tableColumns count="3">
    <tableColumn id="1" xr3:uid="{C299881A-FD23-4124-9AE7-01CDE7A2A9ED}" name="Reference Model Group"/>
    <tableColumn id="2" xr3:uid="{F2ED16A5-A358-4C8B-A898-6D9B260B3AF9}" name="Reference Model Item"/>
    <tableColumn id="3" xr3:uid="{4F20C8D8-23F8-4828-B80F-711EE8A07CD0}" name="Epic Link"/>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BD3DB9F-23D5-4A52-B95B-2B5F42DB799E}" name="EPIC_Reference_implementation" displayName="EPIC_Reference_implementation" ref="A1:D47" totalsRowShown="0" headerRowDxfId="74" headerRowBorderDxfId="73" tableBorderDxfId="72">
  <autoFilter ref="A1:D47" xr:uid="{FC876051-8EE3-43F9-B3B1-C08951F79610}"/>
  <sortState xmlns:xlrd2="http://schemas.microsoft.com/office/spreadsheetml/2017/richdata2" ref="A2:D47">
    <sortCondition ref="D1:D47"/>
  </sortState>
  <tableColumns count="4">
    <tableColumn id="1" xr3:uid="{59BA7090-D341-40F6-9E3E-E05C067FC5A0}" name="Key"/>
    <tableColumn id="2" xr3:uid="{E4F7AB67-F2CB-416C-A47D-0641659F4664}" name="Status"/>
    <tableColumn id="3" xr3:uid="{83B7D588-D507-4BE6-9514-516D96B79DB5}" name="Type"/>
    <tableColumn id="4" xr3:uid="{DF42CF8D-6C41-485A-9261-3C8C21D639AF}" name="Summary"/>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1A70852-E91F-4D0B-BABC-9195A8F9556E}" name="Product_Backlog__Jira" displayName="Product_Backlog__Jira" ref="A1:R223" tableType="queryTable" totalsRowShown="0" headerRowDxfId="71">
  <autoFilter ref="A1:R223" xr:uid="{61A70852-E91F-4D0B-BABC-9195A8F9556E}">
    <filterColumn colId="1">
      <filters>
        <filter val="NON-FUNCTIONAL REQUIREMENT COVERAGE"/>
      </filters>
    </filterColumn>
    <filterColumn colId="8">
      <filters>
        <filter val="PI28"/>
      </filters>
    </filterColumn>
  </autoFilter>
  <sortState xmlns:xlrd2="http://schemas.microsoft.com/office/spreadsheetml/2017/richdata2" ref="A2:R223">
    <sortCondition descending="1" ref="L1:L223"/>
  </sortState>
  <tableColumns count="18">
    <tableColumn id="26" xr3:uid="{B20DA269-994D-40D4-9E64-D19EF5787876}" uniqueName="26" name="IRM" queryTableFieldId="57"/>
    <tableColumn id="13" xr3:uid="{69225CDB-53D7-4FC3-9AB4-05FDA5A9E3A1}" uniqueName="13" name="Roadmap Initiative Group" queryTableFieldId="18" dataDxfId="70"/>
    <tableColumn id="25" xr3:uid="{B362CC4C-38AC-4004-BAD2-205646C0AB3B}" uniqueName="25" name="Roadmap Initiative" queryTableFieldId="55" dataDxfId="69"/>
    <tableColumn id="12" xr3:uid="{34110183-289C-4460-A973-A98C524E2679}" uniqueName="12" name="Epic" queryTableFieldId="13" dataDxfId="68"/>
    <tableColumn id="22" xr3:uid="{49203234-9E45-4DA5-9683-D190C36A111A}" uniqueName="22" name="Roadmap Feature" queryTableFieldId="36"/>
    <tableColumn id="3" xr3:uid="{64CACBCC-EDB0-4F5A-A409-8B86D7782C92}" uniqueName="3" name="Status" queryTableFieldId="3"/>
    <tableColumn id="23" xr3:uid="{DD8E8C24-29BF-4F72-9F11-0FC0BB571910}" uniqueName="23" name="Build Estimate" queryTableFieldId="37"/>
    <tableColumn id="24" xr3:uid="{253F4BB7-8957-4AA3-A61D-EEF699346FB1}" uniqueName="24" name="Requester" queryTableFieldId="38"/>
    <tableColumn id="21" xr3:uid="{D81D63A5-5454-4D3A-86E8-EB3797448991}" uniqueName="21" name="Calculated PI" queryTableFieldId="34"/>
    <tableColumn id="19" xr3:uid="{FB3B8E17-6F29-43AA-BB95-0306AAA13F67}" uniqueName="19" name="Final Original Estimate" queryTableFieldId="30"/>
    <tableColumn id="17" xr3:uid="{B59555DF-C506-4F28-8C04-97194CF0AD57}" uniqueName="17" name="Priority" queryTableFieldId="25"/>
    <tableColumn id="9" xr3:uid="{AAD4F0E5-37B0-4EF6-9ADE-77E349DCA509}" uniqueName="9" name="created" queryTableFieldId="10"/>
    <tableColumn id="5" xr3:uid="{B7D097DA-399E-47A0-B1B7-5F449A4F34A0}" uniqueName="5" name="labels" queryTableFieldId="5" dataDxfId="67"/>
    <tableColumn id="7" xr3:uid="{56D977D0-587C-46E0-B0ED-F24FFE4856EB}" uniqueName="7" name="fixVersions" queryTableFieldId="7"/>
    <tableColumn id="1" xr3:uid="{AF4BC906-3BF5-4FDD-8463-001BB795C14D}" uniqueName="1" name="Enriched Jira Features.Summary" queryTableFieldId="59"/>
    <tableColumn id="2" xr3:uid="{95D0AE1D-A019-4D2C-82F3-385600C2EDCB}" uniqueName="2" name="Enriched Jira Features.Description" queryTableFieldId="60"/>
    <tableColumn id="4" xr3:uid="{B1D9A9B5-DD3E-48E0-962A-72F719A3735C}" uniqueName="4" name="Enriched Jira Features.Benefit Hypothesis" queryTableFieldId="61"/>
    <tableColumn id="6" xr3:uid="{AF566C34-481A-426B-8A60-0B75329C114F}" uniqueName="6" name="Enriched Jira Features.Acceptance Criteria" queryTableFieldId="6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7655EA34-DE10-4E03-A7D2-0C97E825DAC6}" name="Table12" displayName="Table12" ref="A1:P79" totalsRowShown="0" headerRowDxfId="66" dataDxfId="64" headerRowBorderDxfId="65" tableBorderDxfId="63" totalsRowBorderDxfId="62">
  <autoFilter ref="A1:P79" xr:uid="{7655EA34-DE10-4E03-A7D2-0C97E825DAC6}">
    <filterColumn colId="8">
      <filters>
        <filter val="1304"/>
        <filter val="136"/>
        <filter val="1400"/>
        <filter val="1440"/>
        <filter val="159"/>
        <filter val="160"/>
        <filter val="1600"/>
        <filter val="168"/>
        <filter val="224"/>
        <filter val="240"/>
        <filter val="2400"/>
        <filter val="3,2"/>
        <filter val="320"/>
        <filter val="3200"/>
        <filter val="350"/>
        <filter val="384"/>
        <filter val="400"/>
        <filter val="416"/>
        <filter val="424"/>
        <filter val="480"/>
        <filter val="560"/>
        <filter val="64"/>
        <filter val="640"/>
        <filter val="760"/>
        <filter val="792"/>
        <filter val="80"/>
        <filter val="800"/>
        <filter val="880"/>
        <filter val="96"/>
        <filter val="960"/>
      </filters>
    </filterColumn>
  </autoFilter>
  <tableColumns count="16">
    <tableColumn id="1" xr3:uid="{5FD8A5B9-DAB4-4300-9AA8-80E5BB4EFD69}" name="IRM" dataDxfId="61"/>
    <tableColumn id="2" xr3:uid="{FC32E65A-5A19-4D6B-8230-D5A55F22D900}" name="Roadmap Initiative Group" dataDxfId="60"/>
    <tableColumn id="3" xr3:uid="{F3CED34E-14A6-491B-AC01-88407FBD72D8}" name="Roadmap Initiative" dataDxfId="59"/>
    <tableColumn id="4" xr3:uid="{213FE248-2607-4AF9-8C7D-196F12F6FE4E}" name="Epic" dataDxfId="58"/>
    <tableColumn id="5" xr3:uid="{D57AA5FD-FDE9-48F0-ABE8-3607E1E64E41}" name="Roadmap Feature" dataDxfId="57"/>
    <tableColumn id="6" xr3:uid="{55CA3474-1F35-4896-97E6-D44ED7212612}" name="Status" dataDxfId="56"/>
    <tableColumn id="7" xr3:uid="{C5149961-2B15-4C09-A44C-23CDFD76C735}" name="Requester" dataDxfId="55"/>
    <tableColumn id="8" xr3:uid="{66C42921-8F31-436E-80A7-4B6421144554}" name="PI" dataDxfId="54"/>
    <tableColumn id="9" xr3:uid="{E656E1BC-1E47-4BCD-84B1-A91E6E24372E}" name="Estimate" dataDxfId="53"/>
    <tableColumn id="10" xr3:uid="{16BED228-AD71-492A-9001-77908BF5520A}" name="Priority" dataDxfId="52"/>
    <tableColumn id="11" xr3:uid="{C8AC9FD0-2193-491E-B71B-92961B79DC68}" name="labels" dataDxfId="51"/>
    <tableColumn id="12" xr3:uid="{C4DBD470-234C-4F14-AE19-A7C36DCFC49B}" name="fixVersions" dataDxfId="50"/>
    <tableColumn id="13" xr3:uid="{5901D7ED-56F2-495A-8A1D-001E636E40C0}" name="Enriched Jira Features.Summary" dataDxfId="49"/>
    <tableColumn id="14" xr3:uid="{36B79BE2-673E-4080-8D87-A37D5FFB03BA}" name="Enriched Jira Features.Description" dataDxfId="48"/>
    <tableColumn id="15" xr3:uid="{646B1903-28EE-44C8-BABC-5CBBD8A8C2FA}" name="Enriched Jira Features.Benefit Hypothesis" dataDxfId="47"/>
    <tableColumn id="16" xr3:uid="{43E3B3BC-8AFE-48B5-9889-16602BA60F41}" name="Enriched Jira Features.Acceptance Criteria" dataDxfId="46"/>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64F00F05-BFD8-4946-A29B-E11B760F6935}" name="Estimate_Factors" displayName="Estimate_Factors" ref="A12:E19" totalsRowCount="1" headerRowDxfId="45" dataDxfId="44" tableBorderDxfId="43" headerRowCellStyle="Normal 2">
  <autoFilter ref="A12:E18" xr:uid="{64F00F05-BFD8-4946-A29B-E11B760F6935}"/>
  <tableColumns count="5">
    <tableColumn id="1" xr3:uid="{5902A034-B017-44AE-A0E2-9CA7559DFC89}" name="Area" totalsRowLabel="Total" dataDxfId="42" totalsRowDxfId="41" dataCellStyle="Normal 2"/>
    <tableColumn id="2" xr3:uid="{17BA53EB-367A-48D5-A6BE-05E6D1D26BB3}" name="NC Baseline" totalsRowFunction="sum" dataDxfId="40" totalsRowDxfId="39" dataCellStyle="Normal 2"/>
    <tableColumn id="3" xr3:uid="{0A86D7AA-9661-41FC-AF8E-18D4CF953D7F}" name="Hours" totalsRowFunction="sum" dataDxfId="38" totalsRowDxfId="37">
      <calculatedColumnFormula>'Product Backlog (input)'!K1</calculatedColumnFormula>
    </tableColumn>
    <tableColumn id="4" xr3:uid="{2F7E068A-2DFB-46BB-9B6A-F3E4FD06CD53}" name="Actual factor" totalsRowFunction="sum" dataDxfId="36" totalsRowDxfId="35"/>
    <tableColumn id="5" xr3:uid="{E7D345A2-7C28-459A-B005-818599E984DB}" name="Actual hours" totalsRowFunction="sum" dataDxfId="34" totalsRowDxfId="33">
      <calculatedColumnFormula>D13*$C$13</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8E4755-585E-444B-B469-5E424F7F1DCF}" name="Extended_Product_backlog" displayName="Extended_Product_backlog" ref="A1:H2159" tableType="queryTable" totalsRowShown="0">
  <autoFilter ref="A1:H2159" xr:uid="{B28E4755-585E-444B-B469-5E424F7F1DCF}">
    <filterColumn colId="1">
      <filters>
        <filter val="CORE SUPPORTING CAPABILITIES"/>
      </filters>
    </filterColumn>
    <filterColumn colId="7">
      <filters>
        <filter val="PI28"/>
      </filters>
    </filterColumn>
  </autoFilter>
  <tableColumns count="8">
    <tableColumn id="12" xr3:uid="{5222D644-5386-4236-902E-AF3D4BA046BB}" uniqueName="12" name="IRM" queryTableFieldId="15" dataDxfId="32"/>
    <tableColumn id="11" xr3:uid="{A96EE4CC-9DE1-4973-B1F8-DEE5E0D66ABF}" uniqueName="11" name="Roadmap Initiative Group" queryTableFieldId="13" dataDxfId="31"/>
    <tableColumn id="1" xr3:uid="{56F5D1D8-6199-4B2A-B9AB-44ECD16D0B8A}" uniqueName="1" name="Roadmap Initiative" queryTableFieldId="1" dataDxfId="30"/>
    <tableColumn id="2" xr3:uid="{45F6B3D5-B82E-47A8-B132-0BA95AE00E1E}" uniqueName="2" name="Roadmap Feature" queryTableFieldId="2" dataDxfId="29"/>
    <tableColumn id="3" xr3:uid="{D29BF01D-C27F-41FC-8DBD-AE69932A043A}" uniqueName="3" name="Roadmap Item" queryTableFieldId="3" dataDxfId="28"/>
    <tableColumn id="10" xr3:uid="{3E2FB4E9-92DE-4CA7-B0E1-6CAEE8BE89C1}" uniqueName="10" name="Estimate" queryTableFieldId="11" dataDxfId="27"/>
    <tableColumn id="13" xr3:uid="{0ECD9264-5F82-4CEE-AA17-3E51F2FE66B2}" uniqueName="13" name="Requester" queryTableFieldId="18"/>
    <tableColumn id="9" xr3:uid="{D4D1F0BE-4B6D-40F4-B764-1F2609C83575}" uniqueName="9" name="PI" queryTableFieldId="9" dataDxfId="26"/>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AD0627B-C8BF-4F9F-BA77-D8CEBAE1F75C}" name="Product_Backlog" displayName="Product_Backlog" ref="A1:H169" totalsRowShown="0" headerRowCellStyle="Normal" dataCellStyle="Normal">
  <autoFilter ref="A1:H169" xr:uid="{2AD0627B-C8BF-4F9F-BA77-D8CEBAE1F75C}"/>
  <sortState xmlns:xlrd2="http://schemas.microsoft.com/office/spreadsheetml/2017/richdata2" ref="A2:H5">
    <sortCondition ref="F1:F5"/>
  </sortState>
  <tableColumns count="8">
    <tableColumn id="4" xr3:uid="{F59E8F81-D211-4C7B-B192-53676FF5DAE2}" name="Roadmap Initiative" dataDxfId="25"/>
    <tableColumn id="2" xr3:uid="{E1F91947-97B7-48F3-A156-CBBE53BE9E33}" name="Roadmap Feature" dataCellStyle="Normal"/>
    <tableColumn id="9" xr3:uid="{99E86574-B726-44C3-9042-EAD3B49C1895}" name="IRM" dataDxfId="24"/>
    <tableColumn id="6" xr3:uid="{68C24C59-BC61-4BAA-9090-805913204C38}" name="Build estimate" dataDxfId="23" dataCellStyle="Normal"/>
    <tableColumn id="10" xr3:uid="{C0B7B98D-BBB1-46A3-86D0-0F210C45BC6D}" name="Requester" dataDxfId="22"/>
    <tableColumn id="13" xr3:uid="{A34EFBAF-AFAF-4B7F-A180-02798EDCB23B}" name="Release" dataCellStyle="Normal"/>
    <tableColumn id="8" xr3:uid="{616B2C4F-E0FB-47DD-82F9-CC03C3BF9174}" name="Adjusted Release" dataDxfId="21"/>
    <tableColumn id="11" xr3:uid="{71724DB1-F8F7-45D6-9DAA-D9AB0D4BB883}" name="Assumptions/Comments" dataCellStyle="Normal"/>
  </tableColumns>
  <tableStyleInfo name="TableStyleLight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A6415B2-1745-40DC-84F3-2EDAFB5F38A8}" name="InitiativeGroup" displayName="InitiativeGroup" ref="A1:C169" totalsRowShown="0" headerRowDxfId="20" tableBorderDxfId="19">
  <autoFilter ref="A1:C169" xr:uid="{BA6415B2-1745-40DC-84F3-2EDAFB5F38A8}"/>
  <tableColumns count="3">
    <tableColumn id="3" xr3:uid="{BA3DBB74-D736-43D6-B703-E55B165458AF}" name="Roadmap Initiative Group" dataDxfId="18"/>
    <tableColumn id="4" xr3:uid="{6816EC3A-06AE-4C8F-8F57-9DBC0633C422}" name="Roadmap Initiative" dataDxfId="17"/>
    <tableColumn id="1" xr3:uid="{E0CE1A5B-E76F-4C4E-817F-41E21D3F53A2}" name="Epic" dataDxfId="16"/>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52CC0F7B-DB60-498F-B82E-3EB982444675}" name="Management" displayName="Management" ref="A9:E26" totalsRowCount="1" dataDxfId="15">
  <autoFilter ref="A9:E25" xr:uid="{52CC0F7B-DB60-498F-B82E-3EB982444675}"/>
  <tableColumns count="5">
    <tableColumn id="1" xr3:uid="{4F2453FA-5577-47FB-8894-544010040682}" name="Role" totalsRowLabel="Total" dataDxfId="14" totalsRowDxfId="13"/>
    <tableColumn id="2" xr3:uid="{51816226-084A-4699-BBDA-5FF3A8F74FC9}" name="Number of FTE's" totalsRowFunction="sum"/>
    <tableColumn id="3" xr3:uid="{17399501-1EEF-4CA9-A67D-03A0BB2B9E06}" name="Hours from" totalsRowFunction="sum" dataDxfId="12" totalsRowDxfId="11">
      <calculatedColumnFormula array="1">B10*ManagementNumberOfWeeks*AvgWeeklyHours</calculatedColumnFormula>
    </tableColumn>
    <tableColumn id="4" xr3:uid="{01E2D060-8DE6-4A5A-9A29-AEE0CB172F2E}" name="Expected Vacation (5 week in 1 year)" totalsRowFunction="sum" dataDxfId="10" totalsRowDxfId="9">
      <calculatedColumnFormula array="1">B10*5*1*AvgWeeklyHours</calculatedColumnFormula>
    </tableColumn>
    <tableColumn id="5" xr3:uid="{29E2CF66-2894-4460-8123-F0E1D22AEE5A}" name="Total Hours" totalsRowFunction="sum" dataDxfId="8" totalsRowDxfId="7">
      <calculatedColumnFormula>C10-D10</calculatedColumnFormula>
    </tableColum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FBF4B6F-0B06-42E5-9AD8-75B2A4660D2F}" name="Other_Activities" displayName="Other_Activities" ref="A1:D3" totalsRowCount="1">
  <autoFilter ref="A1:D2" xr:uid="{FFBF4B6F-0B06-42E5-9AD8-75B2A4660D2F}"/>
  <tableColumns count="4">
    <tableColumn id="12" xr3:uid="{F1548363-5BCC-4D1E-A0F3-766FDF1616FA}" name="Area" dataDxfId="6"/>
    <tableColumn id="1" xr3:uid="{E4EC27A5-925E-4087-A26B-30FA8C805C6E}" name="Task"/>
    <tableColumn id="2" xr3:uid="{5CBD1C9D-064B-4C08-A4F1-71475F23F436}" name="Hours" totalsRowFunction="sum" dataDxfId="5" totalsRowDxfId="4">
      <calculatedColumnFormula>Total_Build_Estimate*0.5</calculatedColumnFormula>
    </tableColumn>
    <tableColumn id="9" xr3:uid="{FF43868F-4B42-4048-A586-EBD62D3346C1}" name="Assumptions/Comments"/>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76492569-D576-4AA2-B407-9A4F3BBD6F6B}" name="GetEpics" displayName="GetEpics" ref="A1:E60" tableType="queryTable" totalsRowShown="0">
  <autoFilter ref="A1:E60" xr:uid="{76492569-D576-4AA2-B407-9A4F3BBD6F6B}"/>
  <tableColumns count="5">
    <tableColumn id="1" xr3:uid="{3A76CA44-8CC6-4582-B935-C7526EB254FB}" uniqueName="1" name="Key" queryTableFieldId="1"/>
    <tableColumn id="11" xr3:uid="{6D78F1EE-C7A1-4D2F-9770-866268F5976F}" uniqueName="11" name="Roadmap Initiative Group" queryTableFieldId="11" dataDxfId="3"/>
    <tableColumn id="14" xr3:uid="{6A80862B-3C50-47E9-9EE0-DEF47094D0A4}" uniqueName="14" name="Roadmap Initiative" queryTableFieldId="17" dataDxfId="2"/>
    <tableColumn id="13" xr3:uid="{11B3274E-5BA2-41DE-8B4C-6E52970F4330}" uniqueName="13" name="Epic" queryTableFieldId="13" dataDxfId="1"/>
    <tableColumn id="5" xr3:uid="{E7EBDDAB-83C2-41B0-843C-590FC7326FCA}" uniqueName="5" name="created" queryTableFieldId="5"/>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EBE6E99-1ADA-4219-AFD8-180DE047AEE3}" name="FieldsConfig" displayName="FieldsConfig" ref="A1:A10" totalsRowShown="0">
  <autoFilter ref="A1:A10" xr:uid="{1EBE6E99-1ADA-4219-AFD8-180DE047AEE3}"/>
  <tableColumns count="1">
    <tableColumn id="1" xr3:uid="{55FDE4F5-FF11-4654-9B6C-22232D164590}" name="Fields to include"/>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openxmlformats.org/officeDocument/2006/relationships/printerSettings" Target="../printerSettings/printerSettings2.bin"/><Relationship Id="rId4"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43983-0FF1-4594-B4D1-C1AB681F4DF1}">
  <dimension ref="A1:C34"/>
  <sheetViews>
    <sheetView workbookViewId="0">
      <selection activeCell="B43" sqref="B43"/>
    </sheetView>
  </sheetViews>
  <sheetFormatPr defaultRowHeight="15" x14ac:dyDescent="0.25"/>
  <cols>
    <col min="1" max="1" width="35.875" style="54" bestFit="1" customWidth="1"/>
    <col min="2" max="2" width="34.5" style="54" bestFit="1" customWidth="1"/>
    <col min="3" max="3" width="60.625" style="54" customWidth="1"/>
    <col min="4" max="16384" width="9" style="54"/>
  </cols>
  <sheetData>
    <row r="1" spans="1:3" x14ac:dyDescent="0.25">
      <c r="A1" s="54" t="s">
        <v>1107</v>
      </c>
      <c r="B1" s="54" t="s">
        <v>1108</v>
      </c>
      <c r="C1" s="54" t="s">
        <v>1106</v>
      </c>
    </row>
    <row r="2" spans="1:3" x14ac:dyDescent="0.25">
      <c r="A2" s="54" t="s">
        <v>53</v>
      </c>
      <c r="B2" s="54" t="s">
        <v>54</v>
      </c>
      <c r="C2" s="54" t="s">
        <v>1277</v>
      </c>
    </row>
    <row r="3" spans="1:3" x14ac:dyDescent="0.25">
      <c r="A3" s="54" t="s">
        <v>53</v>
      </c>
      <c r="B3" s="54" t="s">
        <v>55</v>
      </c>
      <c r="C3" s="54" t="s">
        <v>1445</v>
      </c>
    </row>
    <row r="4" spans="1:3" x14ac:dyDescent="0.25">
      <c r="A4" s="54" t="s">
        <v>56</v>
      </c>
      <c r="B4" s="54" t="s">
        <v>57</v>
      </c>
      <c r="C4" s="54" t="s">
        <v>1479</v>
      </c>
    </row>
    <row r="5" spans="1:3" x14ac:dyDescent="0.25">
      <c r="A5" s="54" t="s">
        <v>56</v>
      </c>
      <c r="B5" s="54" t="s">
        <v>58</v>
      </c>
      <c r="C5" s="54" t="s">
        <v>1469</v>
      </c>
    </row>
    <row r="6" spans="1:3" x14ac:dyDescent="0.25">
      <c r="A6" s="54" t="s">
        <v>56</v>
      </c>
      <c r="B6" s="54" t="s">
        <v>59</v>
      </c>
      <c r="C6" s="54" t="s">
        <v>1499</v>
      </c>
    </row>
    <row r="7" spans="1:3" x14ac:dyDescent="0.25">
      <c r="A7" s="54" t="s">
        <v>56</v>
      </c>
      <c r="B7" s="54" t="s">
        <v>60</v>
      </c>
      <c r="C7" s="54" t="s">
        <v>1167</v>
      </c>
    </row>
    <row r="8" spans="1:3" x14ac:dyDescent="0.25">
      <c r="A8" s="54" t="s">
        <v>56</v>
      </c>
      <c r="B8" s="54" t="s">
        <v>61</v>
      </c>
      <c r="C8" s="54" t="s">
        <v>1485</v>
      </c>
    </row>
    <row r="9" spans="1:3" x14ac:dyDescent="0.25">
      <c r="A9" s="54" t="s">
        <v>56</v>
      </c>
      <c r="B9" s="54" t="s">
        <v>62</v>
      </c>
      <c r="C9" s="54" t="s">
        <v>1196</v>
      </c>
    </row>
    <row r="10" spans="1:3" x14ac:dyDescent="0.25">
      <c r="A10" s="54" t="s">
        <v>63</v>
      </c>
      <c r="B10" s="54" t="s">
        <v>64</v>
      </c>
      <c r="C10" s="54" t="s">
        <v>1222</v>
      </c>
    </row>
    <row r="11" spans="1:3" x14ac:dyDescent="0.25">
      <c r="A11" s="54" t="s">
        <v>63</v>
      </c>
      <c r="B11" s="54" t="s">
        <v>65</v>
      </c>
      <c r="C11" s="54" t="s">
        <v>1453</v>
      </c>
    </row>
    <row r="12" spans="1:3" x14ac:dyDescent="0.25">
      <c r="A12" s="54" t="s">
        <v>66</v>
      </c>
      <c r="B12" s="54" t="s">
        <v>929</v>
      </c>
      <c r="C12" s="54" t="s">
        <v>1526</v>
      </c>
    </row>
    <row r="13" spans="1:3" x14ac:dyDescent="0.25">
      <c r="A13" s="54" t="s">
        <v>66</v>
      </c>
      <c r="B13" s="54" t="s">
        <v>67</v>
      </c>
      <c r="C13" s="54" t="s">
        <v>1162</v>
      </c>
    </row>
    <row r="14" spans="1:3" x14ac:dyDescent="0.25">
      <c r="A14" s="54" t="s">
        <v>66</v>
      </c>
      <c r="B14" s="54" t="s">
        <v>68</v>
      </c>
      <c r="C14" s="54" t="s">
        <v>1306</v>
      </c>
    </row>
    <row r="15" spans="1:3" x14ac:dyDescent="0.25">
      <c r="A15" s="54" t="s">
        <v>66</v>
      </c>
      <c r="B15" s="54" t="s">
        <v>69</v>
      </c>
      <c r="C15" s="54" t="s">
        <v>1447</v>
      </c>
    </row>
    <row r="16" spans="1:3" x14ac:dyDescent="0.25">
      <c r="A16" s="54" t="s">
        <v>66</v>
      </c>
      <c r="B16" s="54" t="s">
        <v>70</v>
      </c>
      <c r="C16" s="54" t="s">
        <v>1110</v>
      </c>
    </row>
    <row r="17" spans="1:3" x14ac:dyDescent="0.25">
      <c r="A17" s="54" t="s">
        <v>66</v>
      </c>
      <c r="B17" s="54" t="s">
        <v>71</v>
      </c>
      <c r="C17" s="54" t="s">
        <v>1428</v>
      </c>
    </row>
    <row r="18" spans="1:3" x14ac:dyDescent="0.25">
      <c r="A18" s="54" t="s">
        <v>66</v>
      </c>
      <c r="B18" s="54" t="s">
        <v>72</v>
      </c>
      <c r="C18" s="54" t="s">
        <v>1424</v>
      </c>
    </row>
    <row r="19" spans="1:3" x14ac:dyDescent="0.25">
      <c r="A19" s="54" t="s">
        <v>66</v>
      </c>
      <c r="B19" s="54" t="s">
        <v>73</v>
      </c>
      <c r="C19" s="54" t="s">
        <v>1279</v>
      </c>
    </row>
    <row r="20" spans="1:3" x14ac:dyDescent="0.25">
      <c r="A20" s="54" t="s">
        <v>66</v>
      </c>
      <c r="B20" s="54" t="s">
        <v>74</v>
      </c>
      <c r="C20" s="54" t="s">
        <v>1134</v>
      </c>
    </row>
    <row r="21" spans="1:3" x14ac:dyDescent="0.25">
      <c r="A21" s="54" t="s">
        <v>75</v>
      </c>
      <c r="B21" s="54" t="s">
        <v>76</v>
      </c>
      <c r="C21" s="54" t="s">
        <v>1493</v>
      </c>
    </row>
    <row r="22" spans="1:3" x14ac:dyDescent="0.25">
      <c r="A22" s="54" t="s">
        <v>75</v>
      </c>
      <c r="B22" s="54" t="s">
        <v>77</v>
      </c>
      <c r="C22" s="54" t="s">
        <v>1471</v>
      </c>
    </row>
    <row r="23" spans="1:3" x14ac:dyDescent="0.25">
      <c r="A23" s="54" t="s">
        <v>75</v>
      </c>
      <c r="B23" s="54" t="s">
        <v>78</v>
      </c>
      <c r="C23" s="54" t="s">
        <v>1329</v>
      </c>
    </row>
    <row r="24" spans="1:3" x14ac:dyDescent="0.25">
      <c r="A24" s="54" t="s">
        <v>75</v>
      </c>
      <c r="B24" s="54" t="s">
        <v>79</v>
      </c>
      <c r="C24" s="54" t="s">
        <v>1449</v>
      </c>
    </row>
    <row r="25" spans="1:3" x14ac:dyDescent="0.25">
      <c r="A25" s="54" t="s">
        <v>75</v>
      </c>
      <c r="B25" s="54" t="s">
        <v>80</v>
      </c>
      <c r="C25" s="54" t="s">
        <v>1205</v>
      </c>
    </row>
    <row r="26" spans="1:3" x14ac:dyDescent="0.25">
      <c r="A26" s="54" t="s">
        <v>75</v>
      </c>
      <c r="B26" s="54" t="s">
        <v>81</v>
      </c>
      <c r="C26" s="54" t="s">
        <v>1323</v>
      </c>
    </row>
    <row r="27" spans="1:3" x14ac:dyDescent="0.25">
      <c r="A27" s="54" t="s">
        <v>75</v>
      </c>
      <c r="B27" s="54" t="s">
        <v>82</v>
      </c>
      <c r="C27" s="54" t="s">
        <v>1386</v>
      </c>
    </row>
    <row r="28" spans="1:3" x14ac:dyDescent="0.25">
      <c r="A28" s="54" t="s">
        <v>75</v>
      </c>
      <c r="B28" s="54" t="s">
        <v>83</v>
      </c>
      <c r="C28" s="54" t="s">
        <v>1380</v>
      </c>
    </row>
    <row r="29" spans="1:3" x14ac:dyDescent="0.25">
      <c r="A29" s="54" t="s">
        <v>75</v>
      </c>
      <c r="B29" s="54" t="s">
        <v>84</v>
      </c>
      <c r="C29" s="54" t="s">
        <v>1146</v>
      </c>
    </row>
    <row r="30" spans="1:3" x14ac:dyDescent="0.25">
      <c r="A30" s="54" t="s">
        <v>75</v>
      </c>
      <c r="B30" s="54" t="s">
        <v>85</v>
      </c>
      <c r="C30" s="54" t="s">
        <v>1234</v>
      </c>
    </row>
    <row r="31" spans="1:3" x14ac:dyDescent="0.25">
      <c r="A31" s="54" t="s">
        <v>9</v>
      </c>
      <c r="B31" s="54" t="s">
        <v>24</v>
      </c>
      <c r="C31" s="54" t="s">
        <v>1420</v>
      </c>
    </row>
    <row r="32" spans="1:3" x14ac:dyDescent="0.25">
      <c r="A32" s="54" t="s">
        <v>9</v>
      </c>
      <c r="B32" s="54" t="s">
        <v>29</v>
      </c>
      <c r="C32" s="54" t="s">
        <v>1497</v>
      </c>
    </row>
    <row r="33" spans="1:3" x14ac:dyDescent="0.25">
      <c r="A33" s="54" t="s">
        <v>9</v>
      </c>
      <c r="B33" s="54" t="s">
        <v>33</v>
      </c>
      <c r="C33" s="54" t="s">
        <v>1410</v>
      </c>
    </row>
    <row r="34" spans="1:3" x14ac:dyDescent="0.25">
      <c r="A34" s="54" t="s">
        <v>9</v>
      </c>
      <c r="B34" s="54" t="s">
        <v>10</v>
      </c>
      <c r="C34" s="54" t="s">
        <v>1527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405B3-6BD1-4BD5-907E-DFAAE7ABB880}">
  <dimension ref="A1:D47"/>
  <sheetViews>
    <sheetView workbookViewId="0">
      <selection activeCell="D19" sqref="D19"/>
    </sheetView>
  </sheetViews>
  <sheetFormatPr defaultRowHeight="15" x14ac:dyDescent="0.25"/>
  <cols>
    <col min="1" max="3" width="9" style="54"/>
    <col min="4" max="4" width="51.5" style="54" bestFit="1" customWidth="1"/>
    <col min="5" max="16384" width="9" style="54"/>
  </cols>
  <sheetData>
    <row r="1" spans="1:4" x14ac:dyDescent="0.25">
      <c r="A1" s="55" t="s">
        <v>958</v>
      </c>
      <c r="B1" s="56" t="s">
        <v>540</v>
      </c>
      <c r="C1" s="56" t="s">
        <v>1515</v>
      </c>
      <c r="D1" s="56" t="s">
        <v>1109</v>
      </c>
    </row>
    <row r="2" spans="1:4" x14ac:dyDescent="0.25">
      <c r="A2" s="54" t="s">
        <v>961</v>
      </c>
      <c r="B2" s="54" t="s">
        <v>573</v>
      </c>
      <c r="C2" s="54" t="s">
        <v>539</v>
      </c>
      <c r="D2" s="54" t="s">
        <v>1493</v>
      </c>
    </row>
    <row r="3" spans="1:4" x14ac:dyDescent="0.25">
      <c r="A3" s="54" t="s">
        <v>963</v>
      </c>
      <c r="B3" s="54" t="s">
        <v>573</v>
      </c>
      <c r="C3" s="54" t="s">
        <v>539</v>
      </c>
      <c r="D3" s="54" t="s">
        <v>1277</v>
      </c>
    </row>
    <row r="4" spans="1:4" x14ac:dyDescent="0.25">
      <c r="A4" s="54" t="s">
        <v>965</v>
      </c>
      <c r="B4" s="54" t="s">
        <v>573</v>
      </c>
      <c r="C4" s="54" t="s">
        <v>539</v>
      </c>
      <c r="D4" s="54" t="s">
        <v>1445</v>
      </c>
    </row>
    <row r="5" spans="1:4" x14ac:dyDescent="0.25">
      <c r="A5" s="54" t="s">
        <v>1087</v>
      </c>
      <c r="B5" s="54" t="s">
        <v>573</v>
      </c>
      <c r="C5" s="54" t="s">
        <v>539</v>
      </c>
      <c r="D5" s="54" t="s">
        <v>1382</v>
      </c>
    </row>
    <row r="6" spans="1:4" x14ac:dyDescent="0.25">
      <c r="A6" s="54" t="s">
        <v>973</v>
      </c>
      <c r="B6" s="54" t="s">
        <v>573</v>
      </c>
      <c r="C6" s="54" t="s">
        <v>539</v>
      </c>
      <c r="D6" s="54" t="s">
        <v>1479</v>
      </c>
    </row>
    <row r="7" spans="1:4" x14ac:dyDescent="0.25">
      <c r="A7" s="54" t="s">
        <v>995</v>
      </c>
      <c r="B7" s="54" t="s">
        <v>573</v>
      </c>
      <c r="C7" s="54" t="s">
        <v>539</v>
      </c>
      <c r="D7" s="54" t="s">
        <v>1162</v>
      </c>
    </row>
    <row r="8" spans="1:4" x14ac:dyDescent="0.25">
      <c r="A8" s="54" t="s">
        <v>989</v>
      </c>
      <c r="B8" s="54" t="s">
        <v>573</v>
      </c>
      <c r="C8" s="54" t="s">
        <v>539</v>
      </c>
      <c r="D8" s="54" t="s">
        <v>1306</v>
      </c>
    </row>
    <row r="9" spans="1:4" x14ac:dyDescent="0.25">
      <c r="A9" s="54" t="s">
        <v>1013</v>
      </c>
      <c r="B9" s="54" t="s">
        <v>573</v>
      </c>
      <c r="C9" s="54" t="s">
        <v>539</v>
      </c>
      <c r="D9" s="54" t="s">
        <v>1447</v>
      </c>
    </row>
    <row r="10" spans="1:4" x14ac:dyDescent="0.25">
      <c r="A10" s="54" t="s">
        <v>1065</v>
      </c>
      <c r="B10" s="54" t="s">
        <v>573</v>
      </c>
      <c r="C10" s="54" t="s">
        <v>539</v>
      </c>
      <c r="D10" s="54" t="s">
        <v>1516</v>
      </c>
    </row>
    <row r="11" spans="1:4" x14ac:dyDescent="0.25">
      <c r="A11" s="54" t="s">
        <v>1071</v>
      </c>
      <c r="B11" s="54" t="s">
        <v>573</v>
      </c>
      <c r="C11" s="54" t="s">
        <v>539</v>
      </c>
      <c r="D11" s="54" t="s">
        <v>1517</v>
      </c>
    </row>
    <row r="12" spans="1:4" x14ac:dyDescent="0.25">
      <c r="A12" s="54" t="s">
        <v>1015</v>
      </c>
      <c r="B12" s="54" t="s">
        <v>573</v>
      </c>
      <c r="C12" s="54" t="s">
        <v>539</v>
      </c>
      <c r="D12" s="54" t="s">
        <v>1110</v>
      </c>
    </row>
    <row r="13" spans="1:4" x14ac:dyDescent="0.25">
      <c r="A13" s="54" t="s">
        <v>1017</v>
      </c>
      <c r="B13" s="54" t="s">
        <v>573</v>
      </c>
      <c r="C13" s="54" t="s">
        <v>539</v>
      </c>
      <c r="D13" s="54" t="s">
        <v>1469</v>
      </c>
    </row>
    <row r="14" spans="1:4" x14ac:dyDescent="0.25">
      <c r="A14" s="54" t="s">
        <v>1019</v>
      </c>
      <c r="B14" s="54" t="s">
        <v>573</v>
      </c>
      <c r="C14" s="54" t="s">
        <v>539</v>
      </c>
      <c r="D14" s="54" t="s">
        <v>1471</v>
      </c>
    </row>
    <row r="15" spans="1:4" x14ac:dyDescent="0.25">
      <c r="A15" s="54" t="s">
        <v>1021</v>
      </c>
      <c r="B15" s="54" t="s">
        <v>573</v>
      </c>
      <c r="C15" s="54" t="s">
        <v>539</v>
      </c>
      <c r="D15" s="54" t="s">
        <v>1428</v>
      </c>
    </row>
    <row r="16" spans="1:4" x14ac:dyDescent="0.25">
      <c r="A16" s="54" t="s">
        <v>959</v>
      </c>
      <c r="B16" s="54" t="s">
        <v>573</v>
      </c>
      <c r="C16" s="54" t="s">
        <v>539</v>
      </c>
      <c r="D16" s="54" t="s">
        <v>1329</v>
      </c>
    </row>
    <row r="17" spans="1:4" x14ac:dyDescent="0.25">
      <c r="A17" s="54" t="s">
        <v>1084</v>
      </c>
      <c r="B17" s="54" t="s">
        <v>573</v>
      </c>
      <c r="C17" s="54" t="s">
        <v>539</v>
      </c>
      <c r="D17" s="54" t="s">
        <v>1518</v>
      </c>
    </row>
    <row r="18" spans="1:4" x14ac:dyDescent="0.25">
      <c r="A18" s="54" t="s">
        <v>977</v>
      </c>
      <c r="B18" s="54" t="s">
        <v>573</v>
      </c>
      <c r="C18" s="54" t="s">
        <v>539</v>
      </c>
      <c r="D18" s="54" t="s">
        <v>1449</v>
      </c>
    </row>
    <row r="19" spans="1:4" x14ac:dyDescent="0.25">
      <c r="A19" s="54" t="s">
        <v>981</v>
      </c>
      <c r="B19" s="54" t="s">
        <v>573</v>
      </c>
      <c r="C19" s="54" t="s">
        <v>539</v>
      </c>
      <c r="D19" s="54" t="s">
        <v>1424</v>
      </c>
    </row>
    <row r="20" spans="1:4" x14ac:dyDescent="0.25">
      <c r="A20" s="54" t="s">
        <v>1077</v>
      </c>
      <c r="B20" s="54" t="s">
        <v>573</v>
      </c>
      <c r="C20" s="54" t="s">
        <v>539</v>
      </c>
      <c r="D20" s="54" t="s">
        <v>1519</v>
      </c>
    </row>
    <row r="21" spans="1:4" x14ac:dyDescent="0.25">
      <c r="A21" s="54" t="s">
        <v>983</v>
      </c>
      <c r="B21" s="54" t="s">
        <v>573</v>
      </c>
      <c r="C21" s="54" t="s">
        <v>539</v>
      </c>
      <c r="D21" s="54" t="s">
        <v>1499</v>
      </c>
    </row>
    <row r="22" spans="1:4" x14ac:dyDescent="0.25">
      <c r="A22" s="54" t="s">
        <v>987</v>
      </c>
      <c r="B22" s="54" t="s">
        <v>573</v>
      </c>
      <c r="C22" s="54" t="s">
        <v>539</v>
      </c>
      <c r="D22" s="54" t="s">
        <v>1205</v>
      </c>
    </row>
    <row r="23" spans="1:4" x14ac:dyDescent="0.25">
      <c r="A23" s="54" t="s">
        <v>1047</v>
      </c>
      <c r="B23" s="54" t="s">
        <v>549</v>
      </c>
      <c r="C23" s="54" t="s">
        <v>539</v>
      </c>
      <c r="D23" s="54" t="s">
        <v>1520</v>
      </c>
    </row>
    <row r="24" spans="1:4" x14ac:dyDescent="0.25">
      <c r="A24" s="54" t="s">
        <v>1062</v>
      </c>
      <c r="B24" s="54" t="s">
        <v>573</v>
      </c>
      <c r="C24" s="54" t="s">
        <v>539</v>
      </c>
      <c r="D24" s="54" t="s">
        <v>1521</v>
      </c>
    </row>
    <row r="25" spans="1:4" x14ac:dyDescent="0.25">
      <c r="A25" s="54" t="s">
        <v>1050</v>
      </c>
      <c r="B25" s="54" t="s">
        <v>549</v>
      </c>
      <c r="C25" s="54" t="s">
        <v>539</v>
      </c>
      <c r="D25" s="54" t="s">
        <v>1522</v>
      </c>
    </row>
    <row r="26" spans="1:4" x14ac:dyDescent="0.25">
      <c r="A26" s="54" t="s">
        <v>991</v>
      </c>
      <c r="B26" s="54" t="s">
        <v>573</v>
      </c>
      <c r="C26" s="54" t="s">
        <v>539</v>
      </c>
      <c r="D26" s="54" t="s">
        <v>1279</v>
      </c>
    </row>
    <row r="27" spans="1:4" x14ac:dyDescent="0.25">
      <c r="A27" s="54" t="s">
        <v>997</v>
      </c>
      <c r="B27" s="54" t="s">
        <v>573</v>
      </c>
      <c r="C27" s="54" t="s">
        <v>539</v>
      </c>
      <c r="D27" s="54" t="s">
        <v>1503</v>
      </c>
    </row>
    <row r="28" spans="1:4" x14ac:dyDescent="0.25">
      <c r="A28" s="54" t="s">
        <v>1001</v>
      </c>
      <c r="B28" s="54" t="s">
        <v>573</v>
      </c>
      <c r="C28" s="54" t="s">
        <v>539</v>
      </c>
      <c r="D28" s="54" t="s">
        <v>1420</v>
      </c>
    </row>
    <row r="29" spans="1:4" x14ac:dyDescent="0.25">
      <c r="A29" s="54" t="s">
        <v>1092</v>
      </c>
      <c r="B29" s="54" t="s">
        <v>573</v>
      </c>
      <c r="C29" s="54" t="s">
        <v>539</v>
      </c>
      <c r="D29" s="54" t="s">
        <v>1512</v>
      </c>
    </row>
    <row r="30" spans="1:4" x14ac:dyDescent="0.25">
      <c r="A30" s="54" t="s">
        <v>1080</v>
      </c>
      <c r="B30" s="54" t="s">
        <v>573</v>
      </c>
      <c r="C30" s="54" t="s">
        <v>539</v>
      </c>
      <c r="D30" s="54" t="s">
        <v>1510</v>
      </c>
    </row>
    <row r="31" spans="1:4" x14ac:dyDescent="0.25">
      <c r="A31" s="54" t="s">
        <v>1082</v>
      </c>
      <c r="B31" s="54" t="s">
        <v>573</v>
      </c>
      <c r="C31" s="54" t="s">
        <v>539</v>
      </c>
      <c r="D31" s="54" t="s">
        <v>1300</v>
      </c>
    </row>
    <row r="32" spans="1:4" x14ac:dyDescent="0.25">
      <c r="A32" s="54" t="s">
        <v>1003</v>
      </c>
      <c r="B32" s="54" t="s">
        <v>573</v>
      </c>
      <c r="C32" s="54" t="s">
        <v>539</v>
      </c>
      <c r="D32" s="54" t="s">
        <v>1497</v>
      </c>
    </row>
    <row r="33" spans="1:4" x14ac:dyDescent="0.25">
      <c r="A33" s="54" t="s">
        <v>1005</v>
      </c>
      <c r="B33" s="54" t="s">
        <v>573</v>
      </c>
      <c r="C33" s="54" t="s">
        <v>539</v>
      </c>
      <c r="D33" s="54" t="s">
        <v>1410</v>
      </c>
    </row>
    <row r="34" spans="1:4" x14ac:dyDescent="0.25">
      <c r="A34" s="54" t="s">
        <v>975</v>
      </c>
      <c r="B34" s="54" t="s">
        <v>573</v>
      </c>
      <c r="C34" s="54" t="s">
        <v>539</v>
      </c>
      <c r="D34" s="54" t="s">
        <v>1167</v>
      </c>
    </row>
    <row r="35" spans="1:4" x14ac:dyDescent="0.25">
      <c r="A35" s="54" t="s">
        <v>1053</v>
      </c>
      <c r="B35" s="54" t="s">
        <v>549</v>
      </c>
      <c r="C35" s="54" t="s">
        <v>539</v>
      </c>
      <c r="D35" s="54" t="s">
        <v>1523</v>
      </c>
    </row>
    <row r="36" spans="1:4" x14ac:dyDescent="0.25">
      <c r="A36" s="54" t="s">
        <v>971</v>
      </c>
      <c r="B36" s="54" t="s">
        <v>573</v>
      </c>
      <c r="C36" s="54" t="s">
        <v>539</v>
      </c>
      <c r="D36" s="54" t="s">
        <v>1323</v>
      </c>
    </row>
    <row r="37" spans="1:4" x14ac:dyDescent="0.25">
      <c r="A37" s="54" t="s">
        <v>967</v>
      </c>
      <c r="B37" s="54" t="s">
        <v>573</v>
      </c>
      <c r="C37" s="54" t="s">
        <v>539</v>
      </c>
      <c r="D37" s="54" t="s">
        <v>1386</v>
      </c>
    </row>
    <row r="38" spans="1:4" x14ac:dyDescent="0.25">
      <c r="A38" s="54" t="s">
        <v>1007</v>
      </c>
      <c r="B38" s="54" t="s">
        <v>573</v>
      </c>
      <c r="C38" s="54" t="s">
        <v>539</v>
      </c>
      <c r="D38" s="54" t="s">
        <v>1222</v>
      </c>
    </row>
    <row r="39" spans="1:4" x14ac:dyDescent="0.25">
      <c r="A39" s="54" t="s">
        <v>1089</v>
      </c>
      <c r="B39" s="54" t="s">
        <v>573</v>
      </c>
      <c r="C39" s="54" t="s">
        <v>539</v>
      </c>
      <c r="D39" s="54" t="s">
        <v>1524</v>
      </c>
    </row>
    <row r="40" spans="1:4" x14ac:dyDescent="0.25">
      <c r="A40" s="54" t="s">
        <v>985</v>
      </c>
      <c r="B40" s="54" t="s">
        <v>573</v>
      </c>
      <c r="C40" s="54" t="s">
        <v>539</v>
      </c>
      <c r="D40" s="54" t="s">
        <v>1485</v>
      </c>
    </row>
    <row r="41" spans="1:4" x14ac:dyDescent="0.25">
      <c r="A41" s="54" t="s">
        <v>1094</v>
      </c>
      <c r="B41" s="54" t="s">
        <v>573</v>
      </c>
      <c r="C41" s="54" t="s">
        <v>539</v>
      </c>
      <c r="D41" s="54" t="s">
        <v>1525</v>
      </c>
    </row>
    <row r="42" spans="1:4" x14ac:dyDescent="0.25">
      <c r="A42" s="54" t="s">
        <v>979</v>
      </c>
      <c r="B42" s="54" t="s">
        <v>573</v>
      </c>
      <c r="C42" s="54" t="s">
        <v>539</v>
      </c>
      <c r="D42" s="54" t="s">
        <v>1196</v>
      </c>
    </row>
    <row r="43" spans="1:4" x14ac:dyDescent="0.25">
      <c r="A43" s="54" t="s">
        <v>999</v>
      </c>
      <c r="B43" s="54" t="s">
        <v>549</v>
      </c>
      <c r="C43" s="54" t="s">
        <v>539</v>
      </c>
      <c r="D43" s="54" t="s">
        <v>1380</v>
      </c>
    </row>
    <row r="44" spans="1:4" x14ac:dyDescent="0.25">
      <c r="A44" s="54" t="s">
        <v>969</v>
      </c>
      <c r="B44" s="54" t="s">
        <v>573</v>
      </c>
      <c r="C44" s="54" t="s">
        <v>539</v>
      </c>
      <c r="D44" s="54" t="s">
        <v>1146</v>
      </c>
    </row>
    <row r="45" spans="1:4" x14ac:dyDescent="0.25">
      <c r="A45" s="54" t="s">
        <v>993</v>
      </c>
      <c r="B45" s="54" t="s">
        <v>573</v>
      </c>
      <c r="C45" s="54" t="s">
        <v>539</v>
      </c>
      <c r="D45" s="54" t="s">
        <v>1134</v>
      </c>
    </row>
    <row r="46" spans="1:4" x14ac:dyDescent="0.25">
      <c r="A46" s="54" t="s">
        <v>1009</v>
      </c>
      <c r="B46" s="54" t="s">
        <v>573</v>
      </c>
      <c r="C46" s="54" t="s">
        <v>539</v>
      </c>
      <c r="D46" s="54" t="s">
        <v>1234</v>
      </c>
    </row>
    <row r="47" spans="1:4" x14ac:dyDescent="0.25">
      <c r="A47" s="54" t="s">
        <v>1011</v>
      </c>
      <c r="B47" s="54" t="s">
        <v>573</v>
      </c>
      <c r="C47" s="54" t="s">
        <v>539</v>
      </c>
      <c r="D47" s="54" t="s">
        <v>1453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E7D3A-C335-4706-9225-70C56F6E7675}">
  <sheetPr>
    <tabColor theme="9"/>
  </sheetPr>
  <dimension ref="A1:U229"/>
  <sheetViews>
    <sheetView tabSelected="1" zoomScale="90" zoomScaleNormal="90" workbookViewId="0">
      <selection activeCell="J52" sqref="J52:J194"/>
    </sheetView>
  </sheetViews>
  <sheetFormatPr defaultRowHeight="14.25" outlineLevelCol="1" x14ac:dyDescent="0.2"/>
  <cols>
    <col min="1" max="1" width="9.625" bestFit="1" customWidth="1"/>
    <col min="2" max="2" width="42.625" customWidth="1" outlineLevel="1"/>
    <col min="3" max="3" width="41.75" customWidth="1" outlineLevel="1"/>
    <col min="4" max="4" width="50.125" bestFit="1" customWidth="1"/>
    <col min="5" max="5" width="81" bestFit="1" customWidth="1"/>
    <col min="6" max="6" width="22.375" bestFit="1" customWidth="1"/>
    <col min="7" max="7" width="10.625" hidden="1" customWidth="1"/>
    <col min="8" max="8" width="12.25" bestFit="1" customWidth="1"/>
    <col min="9" max="9" width="15.125" bestFit="1" customWidth="1"/>
    <col min="10" max="10" width="11.875" bestFit="1" customWidth="1"/>
    <col min="11" max="11" width="9.625" bestFit="1" customWidth="1"/>
    <col min="12" max="12" width="27.375" bestFit="1" customWidth="1"/>
    <col min="13" max="13" width="81" bestFit="1" customWidth="1"/>
    <col min="14" max="14" width="12.875" bestFit="1" customWidth="1"/>
    <col min="15" max="18" width="81" bestFit="1" customWidth="1"/>
    <col min="19" max="19" width="13" bestFit="1" customWidth="1"/>
    <col min="20" max="20" width="17.5" bestFit="1" customWidth="1"/>
    <col min="21" max="21" width="9.5" customWidth="1"/>
    <col min="22" max="22" width="14.875" customWidth="1"/>
    <col min="23" max="23" width="6.75" bestFit="1" customWidth="1"/>
    <col min="24" max="24" width="50.125" bestFit="1" customWidth="1"/>
    <col min="25" max="25" width="42.625" bestFit="1" customWidth="1"/>
    <col min="26" max="26" width="41.125" bestFit="1" customWidth="1"/>
    <col min="27" max="27" width="50.125" customWidth="1"/>
    <col min="28" max="28" width="50.125" bestFit="1" customWidth="1"/>
    <col min="29" max="29" width="11.75" bestFit="1" customWidth="1"/>
    <col min="30" max="30" width="12.75" customWidth="1"/>
  </cols>
  <sheetData>
    <row r="1" spans="1:21" s="1" customFormat="1" ht="28.5" x14ac:dyDescent="0.2">
      <c r="A1" t="s">
        <v>0</v>
      </c>
      <c r="B1" s="1" t="s">
        <v>1</v>
      </c>
      <c r="C1" t="s">
        <v>2</v>
      </c>
      <c r="D1" s="1" t="s">
        <v>539</v>
      </c>
      <c r="E1" s="1" t="s">
        <v>3</v>
      </c>
      <c r="F1" s="1" t="s">
        <v>540</v>
      </c>
      <c r="G1" s="1" t="s">
        <v>541</v>
      </c>
      <c r="H1" s="1" t="s">
        <v>6</v>
      </c>
      <c r="I1" s="1" t="s">
        <v>542</v>
      </c>
      <c r="J1" s="1" t="s">
        <v>543</v>
      </c>
      <c r="K1" s="1" t="s">
        <v>544</v>
      </c>
      <c r="L1" s="1" t="s">
        <v>545</v>
      </c>
      <c r="M1" s="1" t="s">
        <v>546</v>
      </c>
      <c r="N1" s="1" t="s">
        <v>547</v>
      </c>
      <c r="O1" t="s">
        <v>1528</v>
      </c>
      <c r="P1" t="s">
        <v>1529</v>
      </c>
      <c r="Q1" t="s">
        <v>1530</v>
      </c>
      <c r="R1" t="s">
        <v>1531</v>
      </c>
    </row>
    <row r="2" spans="1:21" x14ac:dyDescent="0.2">
      <c r="A2" t="s">
        <v>1650</v>
      </c>
      <c r="B2" t="s">
        <v>75</v>
      </c>
      <c r="C2" t="s">
        <v>76</v>
      </c>
      <c r="D2" t="s">
        <v>566</v>
      </c>
      <c r="E2" t="s">
        <v>1651</v>
      </c>
      <c r="F2" t="s">
        <v>549</v>
      </c>
      <c r="H2" t="s">
        <v>31</v>
      </c>
      <c r="I2" t="s">
        <v>18</v>
      </c>
      <c r="J2" t="s">
        <v>550</v>
      </c>
      <c r="K2" t="s">
        <v>554</v>
      </c>
      <c r="L2" t="s">
        <v>1652</v>
      </c>
      <c r="M2" t="s">
        <v>562</v>
      </c>
      <c r="O2" t="s">
        <v>1651</v>
      </c>
      <c r="P2" t="s">
        <v>1494</v>
      </c>
      <c r="Q2" t="s">
        <v>1495</v>
      </c>
      <c r="R2" t="s">
        <v>1496</v>
      </c>
      <c r="T2" s="36" t="s">
        <v>487</v>
      </c>
      <c r="U2" s="44">
        <f>SUM(Product_Backlog__Jira[Build Estimate])</f>
        <v>41692.400000000001</v>
      </c>
    </row>
    <row r="3" spans="1:21" x14ac:dyDescent="0.2">
      <c r="A3" t="s">
        <v>1647</v>
      </c>
      <c r="B3" t="s">
        <v>75</v>
      </c>
      <c r="C3" t="s">
        <v>78</v>
      </c>
      <c r="D3" t="s">
        <v>560</v>
      </c>
      <c r="E3" t="s">
        <v>1648</v>
      </c>
      <c r="F3" t="s">
        <v>549</v>
      </c>
      <c r="H3" t="s">
        <v>31</v>
      </c>
      <c r="I3" t="s">
        <v>18</v>
      </c>
      <c r="J3" t="s">
        <v>550</v>
      </c>
      <c r="K3" t="s">
        <v>554</v>
      </c>
      <c r="L3" t="s">
        <v>1649</v>
      </c>
      <c r="M3" t="s">
        <v>562</v>
      </c>
      <c r="O3" t="s">
        <v>1648</v>
      </c>
      <c r="P3" t="s">
        <v>1330</v>
      </c>
      <c r="Q3" t="s">
        <v>1119</v>
      </c>
      <c r="R3" t="s">
        <v>1119</v>
      </c>
    </row>
    <row r="4" spans="1:21" x14ac:dyDescent="0.2">
      <c r="A4" t="s">
        <v>1644</v>
      </c>
      <c r="B4" t="s">
        <v>75</v>
      </c>
      <c r="C4" t="s">
        <v>85</v>
      </c>
      <c r="D4" t="s">
        <v>553</v>
      </c>
      <c r="E4" t="s">
        <v>1645</v>
      </c>
      <c r="F4" t="s">
        <v>549</v>
      </c>
      <c r="H4" t="s">
        <v>31</v>
      </c>
      <c r="I4" t="s">
        <v>18</v>
      </c>
      <c r="J4" t="s">
        <v>550</v>
      </c>
      <c r="K4" t="s">
        <v>554</v>
      </c>
      <c r="L4" t="s">
        <v>1646</v>
      </c>
      <c r="M4" t="s">
        <v>556</v>
      </c>
      <c r="O4" t="s">
        <v>1645</v>
      </c>
      <c r="P4" t="s">
        <v>1235</v>
      </c>
      <c r="Q4" t="s">
        <v>1236</v>
      </c>
      <c r="R4" t="s">
        <v>1119</v>
      </c>
    </row>
    <row r="5" spans="1:21" x14ac:dyDescent="0.2">
      <c r="A5" t="s">
        <v>1597</v>
      </c>
      <c r="B5" t="s">
        <v>75</v>
      </c>
      <c r="C5" t="s">
        <v>78</v>
      </c>
      <c r="D5" t="s">
        <v>560</v>
      </c>
      <c r="E5" t="s">
        <v>1598</v>
      </c>
      <c r="F5" t="s">
        <v>549</v>
      </c>
      <c r="H5" t="s">
        <v>31</v>
      </c>
      <c r="I5" t="s">
        <v>18</v>
      </c>
      <c r="J5" t="s">
        <v>550</v>
      </c>
      <c r="K5" t="s">
        <v>554</v>
      </c>
      <c r="L5" t="s">
        <v>1615</v>
      </c>
      <c r="M5" t="s">
        <v>562</v>
      </c>
      <c r="O5" t="s">
        <v>1598</v>
      </c>
      <c r="P5" t="s">
        <v>1330</v>
      </c>
      <c r="Q5" t="s">
        <v>1119</v>
      </c>
      <c r="R5" t="s">
        <v>1119</v>
      </c>
    </row>
    <row r="6" spans="1:21" x14ac:dyDescent="0.2">
      <c r="A6" t="s">
        <v>1599</v>
      </c>
      <c r="B6" t="s">
        <v>75</v>
      </c>
      <c r="C6" t="s">
        <v>78</v>
      </c>
      <c r="D6" t="s">
        <v>560</v>
      </c>
      <c r="E6" t="s">
        <v>496</v>
      </c>
      <c r="F6" t="s">
        <v>549</v>
      </c>
      <c r="H6" t="s">
        <v>31</v>
      </c>
      <c r="I6" t="s">
        <v>18</v>
      </c>
      <c r="J6" t="s">
        <v>550</v>
      </c>
      <c r="K6" t="s">
        <v>554</v>
      </c>
      <c r="L6" t="s">
        <v>1615</v>
      </c>
      <c r="M6" t="s">
        <v>562</v>
      </c>
      <c r="O6" t="s">
        <v>496</v>
      </c>
      <c r="P6" t="s">
        <v>1330</v>
      </c>
      <c r="Q6" t="s">
        <v>1119</v>
      </c>
      <c r="R6" t="s">
        <v>1119</v>
      </c>
    </row>
    <row r="7" spans="1:21" x14ac:dyDescent="0.2">
      <c r="A7" t="s">
        <v>1596</v>
      </c>
      <c r="B7" t="s">
        <v>75</v>
      </c>
      <c r="C7" t="s">
        <v>85</v>
      </c>
      <c r="D7" t="s">
        <v>553</v>
      </c>
      <c r="E7" t="s">
        <v>527</v>
      </c>
      <c r="F7" t="s">
        <v>549</v>
      </c>
      <c r="H7" t="s">
        <v>31</v>
      </c>
      <c r="I7" t="s">
        <v>18</v>
      </c>
      <c r="J7" t="s">
        <v>550</v>
      </c>
      <c r="K7" t="s">
        <v>554</v>
      </c>
      <c r="L7" t="s">
        <v>1614</v>
      </c>
      <c r="M7" t="s">
        <v>562</v>
      </c>
      <c r="O7" t="s">
        <v>527</v>
      </c>
      <c r="P7" t="s">
        <v>1235</v>
      </c>
      <c r="Q7" t="s">
        <v>1236</v>
      </c>
      <c r="R7" t="s">
        <v>1119</v>
      </c>
    </row>
    <row r="8" spans="1:21" hidden="1" x14ac:dyDescent="0.2">
      <c r="A8" t="s">
        <v>1594</v>
      </c>
      <c r="D8" t="s">
        <v>692</v>
      </c>
      <c r="E8" t="s">
        <v>1595</v>
      </c>
      <c r="F8" t="s">
        <v>549</v>
      </c>
      <c r="G8">
        <v>213.3</v>
      </c>
      <c r="H8" t="s">
        <v>31</v>
      </c>
      <c r="I8" t="s">
        <v>18</v>
      </c>
      <c r="J8">
        <v>640</v>
      </c>
      <c r="K8" t="s">
        <v>554</v>
      </c>
      <c r="L8" t="s">
        <v>1612</v>
      </c>
      <c r="M8" t="s">
        <v>562</v>
      </c>
      <c r="O8" t="s">
        <v>1595</v>
      </c>
      <c r="P8" t="s">
        <v>1613</v>
      </c>
      <c r="Q8" t="s">
        <v>1119</v>
      </c>
      <c r="R8" t="s">
        <v>1119</v>
      </c>
    </row>
    <row r="9" spans="1:21" x14ac:dyDescent="0.2">
      <c r="A9" t="s">
        <v>467</v>
      </c>
      <c r="B9" t="s">
        <v>75</v>
      </c>
      <c r="C9" t="s">
        <v>77</v>
      </c>
      <c r="D9" t="s">
        <v>548</v>
      </c>
      <c r="E9" t="s">
        <v>468</v>
      </c>
      <c r="F9" t="s">
        <v>578</v>
      </c>
      <c r="H9" t="s">
        <v>26</v>
      </c>
      <c r="I9" t="s">
        <v>18</v>
      </c>
      <c r="J9" t="s">
        <v>550</v>
      </c>
      <c r="K9" t="s">
        <v>554</v>
      </c>
      <c r="L9" t="s">
        <v>552</v>
      </c>
      <c r="M9" t="s">
        <v>649</v>
      </c>
      <c r="O9" t="s">
        <v>468</v>
      </c>
      <c r="P9" t="s">
        <v>1472</v>
      </c>
      <c r="Q9" t="s">
        <v>1118</v>
      </c>
      <c r="R9" t="s">
        <v>1473</v>
      </c>
    </row>
    <row r="10" spans="1:21" x14ac:dyDescent="0.2">
      <c r="A10" t="s">
        <v>465</v>
      </c>
      <c r="B10" t="s">
        <v>75</v>
      </c>
      <c r="C10" t="s">
        <v>85</v>
      </c>
      <c r="D10" t="s">
        <v>553</v>
      </c>
      <c r="E10" t="s">
        <v>466</v>
      </c>
      <c r="F10" t="s">
        <v>549</v>
      </c>
      <c r="H10" t="s">
        <v>31</v>
      </c>
      <c r="I10" t="s">
        <v>18</v>
      </c>
      <c r="J10" t="s">
        <v>550</v>
      </c>
      <c r="K10" t="s">
        <v>554</v>
      </c>
      <c r="L10" t="s">
        <v>555</v>
      </c>
      <c r="M10" t="s">
        <v>556</v>
      </c>
      <c r="O10" t="s">
        <v>466</v>
      </c>
      <c r="P10" t="s">
        <v>1235</v>
      </c>
      <c r="Q10" t="s">
        <v>1236</v>
      </c>
      <c r="R10" t="s">
        <v>1119</v>
      </c>
    </row>
    <row r="11" spans="1:21" ht="16.5" customHeight="1" x14ac:dyDescent="0.2">
      <c r="A11" t="s">
        <v>463</v>
      </c>
      <c r="B11" t="s">
        <v>75</v>
      </c>
      <c r="C11" t="s">
        <v>85</v>
      </c>
      <c r="D11" t="s">
        <v>553</v>
      </c>
      <c r="E11" t="s">
        <v>464</v>
      </c>
      <c r="F11" t="s">
        <v>549</v>
      </c>
      <c r="H11" t="s">
        <v>31</v>
      </c>
      <c r="I11" t="s">
        <v>18</v>
      </c>
      <c r="J11" t="s">
        <v>550</v>
      </c>
      <c r="K11" t="s">
        <v>554</v>
      </c>
      <c r="L11" t="s">
        <v>557</v>
      </c>
      <c r="M11" t="s">
        <v>556</v>
      </c>
      <c r="O11" t="s">
        <v>464</v>
      </c>
      <c r="P11" t="s">
        <v>1235</v>
      </c>
      <c r="Q11" t="s">
        <v>1236</v>
      </c>
      <c r="R11" s="1" t="s">
        <v>1119</v>
      </c>
    </row>
    <row r="12" spans="1:21" x14ac:dyDescent="0.2">
      <c r="A12" t="s">
        <v>461</v>
      </c>
      <c r="B12" t="s">
        <v>75</v>
      </c>
      <c r="C12" t="s">
        <v>85</v>
      </c>
      <c r="D12" t="s">
        <v>553</v>
      </c>
      <c r="E12" t="s">
        <v>462</v>
      </c>
      <c r="F12" t="s">
        <v>549</v>
      </c>
      <c r="H12" t="s">
        <v>31</v>
      </c>
      <c r="I12" t="s">
        <v>18</v>
      </c>
      <c r="J12" t="s">
        <v>550</v>
      </c>
      <c r="K12" t="s">
        <v>554</v>
      </c>
      <c r="L12" t="s">
        <v>558</v>
      </c>
      <c r="M12" t="s">
        <v>556</v>
      </c>
      <c r="O12" t="s">
        <v>462</v>
      </c>
      <c r="P12" t="s">
        <v>1235</v>
      </c>
      <c r="Q12" t="s">
        <v>1236</v>
      </c>
      <c r="R12" t="s">
        <v>1119</v>
      </c>
    </row>
    <row r="13" spans="1:21" x14ac:dyDescent="0.2">
      <c r="A13" t="s">
        <v>459</v>
      </c>
      <c r="B13" t="s">
        <v>75</v>
      </c>
      <c r="C13" t="s">
        <v>85</v>
      </c>
      <c r="D13" t="s">
        <v>553</v>
      </c>
      <c r="E13" t="s">
        <v>460</v>
      </c>
      <c r="F13" t="s">
        <v>549</v>
      </c>
      <c r="H13" t="s">
        <v>31</v>
      </c>
      <c r="I13" t="s">
        <v>18</v>
      </c>
      <c r="J13" t="s">
        <v>550</v>
      </c>
      <c r="K13" t="s">
        <v>554</v>
      </c>
      <c r="L13" t="s">
        <v>559</v>
      </c>
      <c r="M13" t="s">
        <v>556</v>
      </c>
      <c r="O13" t="s">
        <v>460</v>
      </c>
      <c r="P13" t="s">
        <v>1235</v>
      </c>
      <c r="Q13" t="s">
        <v>1236</v>
      </c>
      <c r="R13" t="s">
        <v>1119</v>
      </c>
    </row>
    <row r="14" spans="1:21" x14ac:dyDescent="0.2">
      <c r="A14" t="s">
        <v>457</v>
      </c>
      <c r="B14" t="s">
        <v>75</v>
      </c>
      <c r="C14" t="s">
        <v>78</v>
      </c>
      <c r="D14" t="s">
        <v>560</v>
      </c>
      <c r="E14" t="s">
        <v>458</v>
      </c>
      <c r="F14" t="s">
        <v>549</v>
      </c>
      <c r="H14" t="s">
        <v>31</v>
      </c>
      <c r="I14" t="s">
        <v>18</v>
      </c>
      <c r="J14" t="s">
        <v>550</v>
      </c>
      <c r="K14" t="s">
        <v>554</v>
      </c>
      <c r="L14" t="s">
        <v>561</v>
      </c>
      <c r="M14" t="s">
        <v>562</v>
      </c>
      <c r="O14" t="s">
        <v>458</v>
      </c>
      <c r="P14" t="s">
        <v>1330</v>
      </c>
      <c r="Q14" t="s">
        <v>1119</v>
      </c>
      <c r="R14" t="s">
        <v>1119</v>
      </c>
    </row>
    <row r="15" spans="1:21" x14ac:dyDescent="0.2">
      <c r="A15" t="s">
        <v>455</v>
      </c>
      <c r="B15" t="s">
        <v>75</v>
      </c>
      <c r="C15" t="s">
        <v>78</v>
      </c>
      <c r="D15" t="s">
        <v>560</v>
      </c>
      <c r="E15" t="s">
        <v>456</v>
      </c>
      <c r="F15" t="s">
        <v>549</v>
      </c>
      <c r="G15">
        <v>53.3</v>
      </c>
      <c r="H15" t="s">
        <v>31</v>
      </c>
      <c r="I15" t="s">
        <v>18</v>
      </c>
      <c r="J15">
        <v>160</v>
      </c>
      <c r="K15" t="s">
        <v>554</v>
      </c>
      <c r="L15" t="s">
        <v>563</v>
      </c>
      <c r="M15" t="s">
        <v>562</v>
      </c>
      <c r="O15" t="s">
        <v>456</v>
      </c>
      <c r="P15" t="s">
        <v>1330</v>
      </c>
      <c r="Q15" t="s">
        <v>1119</v>
      </c>
      <c r="R15" t="s">
        <v>1119</v>
      </c>
    </row>
    <row r="16" spans="1:21" x14ac:dyDescent="0.2">
      <c r="A16" t="s">
        <v>453</v>
      </c>
      <c r="B16" t="s">
        <v>75</v>
      </c>
      <c r="C16" t="s">
        <v>78</v>
      </c>
      <c r="D16" t="s">
        <v>560</v>
      </c>
      <c r="E16" t="s">
        <v>454</v>
      </c>
      <c r="F16" t="s">
        <v>549</v>
      </c>
      <c r="H16" t="s">
        <v>31</v>
      </c>
      <c r="I16" t="s">
        <v>18</v>
      </c>
      <c r="J16" t="s">
        <v>550</v>
      </c>
      <c r="K16" t="s">
        <v>554</v>
      </c>
      <c r="L16" t="s">
        <v>564</v>
      </c>
      <c r="M16" t="s">
        <v>562</v>
      </c>
      <c r="O16" t="s">
        <v>454</v>
      </c>
      <c r="P16" t="s">
        <v>1330</v>
      </c>
      <c r="Q16" t="s">
        <v>1119</v>
      </c>
      <c r="R16" t="s">
        <v>1119</v>
      </c>
    </row>
    <row r="17" spans="1:18" x14ac:dyDescent="0.2">
      <c r="A17" t="s">
        <v>451</v>
      </c>
      <c r="B17" t="s">
        <v>75</v>
      </c>
      <c r="C17" t="s">
        <v>78</v>
      </c>
      <c r="D17" t="s">
        <v>560</v>
      </c>
      <c r="E17" t="s">
        <v>452</v>
      </c>
      <c r="F17" t="s">
        <v>549</v>
      </c>
      <c r="H17" t="s">
        <v>31</v>
      </c>
      <c r="I17" t="s">
        <v>18</v>
      </c>
      <c r="J17" t="s">
        <v>550</v>
      </c>
      <c r="K17" t="s">
        <v>554</v>
      </c>
      <c r="L17" t="s">
        <v>565</v>
      </c>
      <c r="M17" t="s">
        <v>562</v>
      </c>
      <c r="O17" t="s">
        <v>452</v>
      </c>
      <c r="P17" t="s">
        <v>1330</v>
      </c>
      <c r="Q17" t="s">
        <v>1119</v>
      </c>
      <c r="R17" t="s">
        <v>1119</v>
      </c>
    </row>
    <row r="18" spans="1:18" x14ac:dyDescent="0.2">
      <c r="A18" t="s">
        <v>449</v>
      </c>
      <c r="B18" t="s">
        <v>75</v>
      </c>
      <c r="C18" t="s">
        <v>76</v>
      </c>
      <c r="D18" t="s">
        <v>566</v>
      </c>
      <c r="E18" t="s">
        <v>450</v>
      </c>
      <c r="F18" t="s">
        <v>549</v>
      </c>
      <c r="G18">
        <v>32</v>
      </c>
      <c r="H18" t="s">
        <v>31</v>
      </c>
      <c r="I18" t="s">
        <v>18</v>
      </c>
      <c r="J18">
        <v>96</v>
      </c>
      <c r="K18" t="s">
        <v>554</v>
      </c>
      <c r="L18" t="s">
        <v>567</v>
      </c>
      <c r="M18" t="s">
        <v>562</v>
      </c>
      <c r="O18" t="s">
        <v>450</v>
      </c>
      <c r="P18" t="s">
        <v>1494</v>
      </c>
      <c r="Q18" t="s">
        <v>1495</v>
      </c>
      <c r="R18" t="s">
        <v>1496</v>
      </c>
    </row>
    <row r="19" spans="1:18" x14ac:dyDescent="0.2">
      <c r="A19" t="s">
        <v>447</v>
      </c>
      <c r="B19" t="s">
        <v>75</v>
      </c>
      <c r="C19" t="s">
        <v>76</v>
      </c>
      <c r="D19" t="s">
        <v>566</v>
      </c>
      <c r="E19" t="s">
        <v>448</v>
      </c>
      <c r="F19" t="s">
        <v>549</v>
      </c>
      <c r="H19" t="s">
        <v>31</v>
      </c>
      <c r="I19" t="s">
        <v>18</v>
      </c>
      <c r="J19" t="s">
        <v>550</v>
      </c>
      <c r="K19" t="s">
        <v>554</v>
      </c>
      <c r="L19" t="s">
        <v>568</v>
      </c>
      <c r="M19" t="s">
        <v>562</v>
      </c>
      <c r="O19" t="s">
        <v>448</v>
      </c>
      <c r="P19" t="s">
        <v>1494</v>
      </c>
      <c r="Q19" t="s">
        <v>1495</v>
      </c>
      <c r="R19" t="s">
        <v>1496</v>
      </c>
    </row>
    <row r="20" spans="1:18" x14ac:dyDescent="0.2">
      <c r="A20" t="s">
        <v>445</v>
      </c>
      <c r="B20" t="s">
        <v>75</v>
      </c>
      <c r="C20" t="s">
        <v>76</v>
      </c>
      <c r="D20" t="s">
        <v>566</v>
      </c>
      <c r="E20" t="s">
        <v>446</v>
      </c>
      <c r="F20" t="s">
        <v>549</v>
      </c>
      <c r="G20">
        <v>32</v>
      </c>
      <c r="H20" t="s">
        <v>31</v>
      </c>
      <c r="I20" t="s">
        <v>18</v>
      </c>
      <c r="J20">
        <v>96</v>
      </c>
      <c r="K20" t="s">
        <v>554</v>
      </c>
      <c r="L20" t="s">
        <v>569</v>
      </c>
      <c r="M20" t="s">
        <v>562</v>
      </c>
      <c r="O20" t="s">
        <v>446</v>
      </c>
      <c r="P20" t="s">
        <v>1494</v>
      </c>
      <c r="Q20" t="s">
        <v>1495</v>
      </c>
      <c r="R20" t="s">
        <v>1496</v>
      </c>
    </row>
    <row r="21" spans="1:18" x14ac:dyDescent="0.2">
      <c r="A21" t="s">
        <v>443</v>
      </c>
      <c r="B21" t="s">
        <v>75</v>
      </c>
      <c r="C21" t="s">
        <v>76</v>
      </c>
      <c r="D21" t="s">
        <v>566</v>
      </c>
      <c r="E21" t="s">
        <v>444</v>
      </c>
      <c r="F21" t="s">
        <v>549</v>
      </c>
      <c r="H21" t="s">
        <v>31</v>
      </c>
      <c r="I21" t="s">
        <v>18</v>
      </c>
      <c r="J21" t="s">
        <v>550</v>
      </c>
      <c r="K21" t="s">
        <v>554</v>
      </c>
      <c r="L21" t="s">
        <v>570</v>
      </c>
      <c r="M21" t="s">
        <v>562</v>
      </c>
      <c r="O21" t="s">
        <v>444</v>
      </c>
      <c r="P21" t="s">
        <v>1494</v>
      </c>
      <c r="Q21" t="s">
        <v>1495</v>
      </c>
      <c r="R21" t="s">
        <v>1496</v>
      </c>
    </row>
    <row r="22" spans="1:18" x14ac:dyDescent="0.2">
      <c r="A22" t="s">
        <v>441</v>
      </c>
      <c r="B22" t="s">
        <v>75</v>
      </c>
      <c r="C22" t="s">
        <v>76</v>
      </c>
      <c r="D22" t="s">
        <v>566</v>
      </c>
      <c r="E22" t="s">
        <v>442</v>
      </c>
      <c r="F22" t="s">
        <v>549</v>
      </c>
      <c r="G22">
        <v>32</v>
      </c>
      <c r="H22" t="s">
        <v>31</v>
      </c>
      <c r="I22" t="s">
        <v>18</v>
      </c>
      <c r="J22">
        <v>96</v>
      </c>
      <c r="K22" t="s">
        <v>554</v>
      </c>
      <c r="L22" t="s">
        <v>571</v>
      </c>
      <c r="M22" t="s">
        <v>562</v>
      </c>
      <c r="O22" t="s">
        <v>442</v>
      </c>
      <c r="P22" t="s">
        <v>1494</v>
      </c>
      <c r="Q22" t="s">
        <v>1495</v>
      </c>
      <c r="R22" t="s">
        <v>1496</v>
      </c>
    </row>
    <row r="23" spans="1:18" hidden="1" x14ac:dyDescent="0.2">
      <c r="A23" t="s">
        <v>440</v>
      </c>
      <c r="B23" t="s">
        <v>56</v>
      </c>
      <c r="C23" t="s">
        <v>62</v>
      </c>
      <c r="D23" t="s">
        <v>572</v>
      </c>
      <c r="E23" t="s">
        <v>1621</v>
      </c>
      <c r="F23" t="s">
        <v>573</v>
      </c>
      <c r="H23" t="s">
        <v>26</v>
      </c>
      <c r="I23" t="s">
        <v>18</v>
      </c>
      <c r="J23" t="s">
        <v>550</v>
      </c>
      <c r="K23" t="s">
        <v>554</v>
      </c>
      <c r="L23" t="s">
        <v>574</v>
      </c>
      <c r="M23" t="s">
        <v>649</v>
      </c>
      <c r="O23" t="s">
        <v>1621</v>
      </c>
      <c r="P23" t="s">
        <v>1643</v>
      </c>
      <c r="Q23" t="s">
        <v>1118</v>
      </c>
      <c r="R23" t="s">
        <v>1623</v>
      </c>
    </row>
    <row r="24" spans="1:18" x14ac:dyDescent="0.2">
      <c r="A24" t="s">
        <v>438</v>
      </c>
      <c r="B24" t="s">
        <v>75</v>
      </c>
      <c r="C24" t="s">
        <v>85</v>
      </c>
      <c r="D24" t="s">
        <v>553</v>
      </c>
      <c r="E24" t="s">
        <v>439</v>
      </c>
      <c r="F24" t="s">
        <v>578</v>
      </c>
      <c r="G24">
        <v>133.30000000000001</v>
      </c>
      <c r="H24" t="s">
        <v>26</v>
      </c>
      <c r="I24" t="s">
        <v>18</v>
      </c>
      <c r="J24">
        <v>400</v>
      </c>
      <c r="K24" t="s">
        <v>554</v>
      </c>
      <c r="L24" t="s">
        <v>575</v>
      </c>
      <c r="M24" t="s">
        <v>576</v>
      </c>
      <c r="O24" t="s">
        <v>439</v>
      </c>
      <c r="P24" t="s">
        <v>1237</v>
      </c>
      <c r="Q24" t="s">
        <v>1237</v>
      </c>
      <c r="R24" t="s">
        <v>1237</v>
      </c>
    </row>
    <row r="25" spans="1:18" x14ac:dyDescent="0.2">
      <c r="A25" t="s">
        <v>436</v>
      </c>
      <c r="B25" t="s">
        <v>75</v>
      </c>
      <c r="C25" t="s">
        <v>85</v>
      </c>
      <c r="D25" t="s">
        <v>553</v>
      </c>
      <c r="E25" t="s">
        <v>437</v>
      </c>
      <c r="F25" t="s">
        <v>578</v>
      </c>
      <c r="G25">
        <v>133.30000000000001</v>
      </c>
      <c r="H25" t="s">
        <v>26</v>
      </c>
      <c r="I25" t="s">
        <v>18</v>
      </c>
      <c r="J25">
        <v>400</v>
      </c>
      <c r="K25" t="s">
        <v>554</v>
      </c>
      <c r="L25" t="s">
        <v>577</v>
      </c>
      <c r="M25" t="s">
        <v>576</v>
      </c>
      <c r="O25" t="s">
        <v>437</v>
      </c>
      <c r="P25" t="s">
        <v>1238</v>
      </c>
      <c r="Q25" t="s">
        <v>1239</v>
      </c>
      <c r="R25" t="s">
        <v>1238</v>
      </c>
    </row>
    <row r="26" spans="1:18" x14ac:dyDescent="0.2">
      <c r="A26" t="s">
        <v>434</v>
      </c>
      <c r="B26" t="s">
        <v>75</v>
      </c>
      <c r="C26" t="s">
        <v>85</v>
      </c>
      <c r="D26" t="s">
        <v>553</v>
      </c>
      <c r="E26" t="s">
        <v>435</v>
      </c>
      <c r="F26" t="s">
        <v>672</v>
      </c>
      <c r="G26">
        <v>56</v>
      </c>
      <c r="H26" t="s">
        <v>26</v>
      </c>
      <c r="I26" t="s">
        <v>18</v>
      </c>
      <c r="J26">
        <v>168</v>
      </c>
      <c r="K26" t="s">
        <v>554</v>
      </c>
      <c r="L26" t="s">
        <v>579</v>
      </c>
      <c r="M26" t="s">
        <v>613</v>
      </c>
      <c r="O26" t="s">
        <v>435</v>
      </c>
      <c r="P26" t="s">
        <v>1240</v>
      </c>
      <c r="Q26" t="s">
        <v>1241</v>
      </c>
      <c r="R26" t="s">
        <v>1242</v>
      </c>
    </row>
    <row r="27" spans="1:18" x14ac:dyDescent="0.2">
      <c r="A27" t="s">
        <v>432</v>
      </c>
      <c r="B27" t="s">
        <v>75</v>
      </c>
      <c r="C27" t="s">
        <v>85</v>
      </c>
      <c r="D27" t="s">
        <v>553</v>
      </c>
      <c r="E27" t="s">
        <v>433</v>
      </c>
      <c r="F27" t="s">
        <v>672</v>
      </c>
      <c r="G27">
        <v>74.7</v>
      </c>
      <c r="H27" t="s">
        <v>26</v>
      </c>
      <c r="I27" t="s">
        <v>18</v>
      </c>
      <c r="J27">
        <v>224</v>
      </c>
      <c r="K27" t="s">
        <v>554</v>
      </c>
      <c r="L27" t="s">
        <v>580</v>
      </c>
      <c r="M27" t="s">
        <v>613</v>
      </c>
      <c r="O27" t="s">
        <v>433</v>
      </c>
      <c r="P27" t="s">
        <v>1243</v>
      </c>
      <c r="Q27" t="s">
        <v>1244</v>
      </c>
      <c r="R27" t="s">
        <v>1245</v>
      </c>
    </row>
    <row r="28" spans="1:18" x14ac:dyDescent="0.2">
      <c r="A28" t="s">
        <v>430</v>
      </c>
      <c r="B28" t="s">
        <v>75</v>
      </c>
      <c r="C28" t="s">
        <v>85</v>
      </c>
      <c r="D28" t="s">
        <v>553</v>
      </c>
      <c r="E28" t="s">
        <v>431</v>
      </c>
      <c r="F28" t="s">
        <v>578</v>
      </c>
      <c r="G28">
        <v>133.30000000000001</v>
      </c>
      <c r="H28" t="s">
        <v>26</v>
      </c>
      <c r="I28" t="s">
        <v>18</v>
      </c>
      <c r="J28">
        <v>400</v>
      </c>
      <c r="K28" t="s">
        <v>554</v>
      </c>
      <c r="L28" t="s">
        <v>581</v>
      </c>
      <c r="M28" t="s">
        <v>576</v>
      </c>
      <c r="O28" t="s">
        <v>431</v>
      </c>
      <c r="P28" t="s">
        <v>1119</v>
      </c>
      <c r="Q28" t="s">
        <v>1118</v>
      </c>
      <c r="R28" s="1" t="s">
        <v>1119</v>
      </c>
    </row>
    <row r="29" spans="1:18" x14ac:dyDescent="0.2">
      <c r="A29" t="s">
        <v>428</v>
      </c>
      <c r="B29" t="s">
        <v>75</v>
      </c>
      <c r="C29" t="s">
        <v>80</v>
      </c>
      <c r="D29" t="s">
        <v>582</v>
      </c>
      <c r="E29" t="s">
        <v>429</v>
      </c>
      <c r="F29" t="s">
        <v>668</v>
      </c>
      <c r="G29">
        <v>80</v>
      </c>
      <c r="H29" t="s">
        <v>26</v>
      </c>
      <c r="I29" t="s">
        <v>18</v>
      </c>
      <c r="J29">
        <v>240</v>
      </c>
      <c r="K29" t="s">
        <v>554</v>
      </c>
      <c r="L29" t="s">
        <v>583</v>
      </c>
      <c r="M29" t="s">
        <v>584</v>
      </c>
      <c r="O29" t="s">
        <v>429</v>
      </c>
      <c r="P29" t="s">
        <v>1206</v>
      </c>
      <c r="Q29" t="s">
        <v>1207</v>
      </c>
      <c r="R29" t="s">
        <v>1208</v>
      </c>
    </row>
    <row r="30" spans="1:18" hidden="1" x14ac:dyDescent="0.2">
      <c r="A30" t="s">
        <v>1589</v>
      </c>
      <c r="D30" t="s">
        <v>1032</v>
      </c>
      <c r="E30" t="s">
        <v>1590</v>
      </c>
      <c r="F30" t="s">
        <v>672</v>
      </c>
      <c r="H30" t="s">
        <v>31</v>
      </c>
      <c r="I30" t="s">
        <v>51</v>
      </c>
      <c r="J30" t="s">
        <v>550</v>
      </c>
      <c r="K30" t="s">
        <v>551</v>
      </c>
      <c r="L30" t="s">
        <v>1591</v>
      </c>
      <c r="M30" t="s">
        <v>1592</v>
      </c>
    </row>
    <row r="31" spans="1:18" hidden="1" x14ac:dyDescent="0.2">
      <c r="A31" t="s">
        <v>426</v>
      </c>
      <c r="B31" t="s">
        <v>56</v>
      </c>
      <c r="C31" t="s">
        <v>62</v>
      </c>
      <c r="D31" t="s">
        <v>572</v>
      </c>
      <c r="E31" t="s">
        <v>427</v>
      </c>
      <c r="F31" t="s">
        <v>578</v>
      </c>
      <c r="G31">
        <v>533.29999999999995</v>
      </c>
      <c r="H31" t="s">
        <v>26</v>
      </c>
      <c r="I31" t="s">
        <v>18</v>
      </c>
      <c r="J31">
        <v>1600</v>
      </c>
      <c r="K31" t="s">
        <v>554</v>
      </c>
      <c r="L31" t="s">
        <v>585</v>
      </c>
      <c r="M31" t="s">
        <v>649</v>
      </c>
      <c r="O31" t="s">
        <v>427</v>
      </c>
      <c r="P31" t="s">
        <v>1197</v>
      </c>
      <c r="Q31" t="s">
        <v>1118</v>
      </c>
      <c r="R31" t="s">
        <v>1198</v>
      </c>
    </row>
    <row r="32" spans="1:18" x14ac:dyDescent="0.2">
      <c r="A32" t="s">
        <v>424</v>
      </c>
      <c r="B32" t="s">
        <v>75</v>
      </c>
      <c r="C32" t="s">
        <v>85</v>
      </c>
      <c r="D32" t="s">
        <v>553</v>
      </c>
      <c r="E32" t="s">
        <v>425</v>
      </c>
      <c r="F32" t="s">
        <v>549</v>
      </c>
      <c r="H32" t="s">
        <v>31</v>
      </c>
      <c r="I32" t="s">
        <v>18</v>
      </c>
      <c r="J32" t="s">
        <v>550</v>
      </c>
      <c r="K32" t="s">
        <v>554</v>
      </c>
      <c r="L32" t="s">
        <v>586</v>
      </c>
      <c r="M32" t="s">
        <v>556</v>
      </c>
      <c r="O32" t="s">
        <v>425</v>
      </c>
      <c r="P32" t="s">
        <v>1235</v>
      </c>
      <c r="Q32" t="s">
        <v>1236</v>
      </c>
      <c r="R32" t="s">
        <v>1119</v>
      </c>
    </row>
    <row r="33" spans="1:18" x14ac:dyDescent="0.2">
      <c r="A33" t="s">
        <v>422</v>
      </c>
      <c r="B33" t="s">
        <v>75</v>
      </c>
      <c r="C33" t="s">
        <v>78</v>
      </c>
      <c r="D33" t="s">
        <v>560</v>
      </c>
      <c r="E33" t="s">
        <v>423</v>
      </c>
      <c r="F33" t="s">
        <v>549</v>
      </c>
      <c r="H33" t="s">
        <v>31</v>
      </c>
      <c r="I33" t="s">
        <v>18</v>
      </c>
      <c r="J33" t="s">
        <v>550</v>
      </c>
      <c r="K33" t="s">
        <v>554</v>
      </c>
      <c r="L33" t="s">
        <v>587</v>
      </c>
      <c r="M33" t="s">
        <v>562</v>
      </c>
      <c r="O33" t="s">
        <v>423</v>
      </c>
      <c r="P33" t="s">
        <v>1330</v>
      </c>
      <c r="Q33" t="s">
        <v>1119</v>
      </c>
      <c r="R33" t="s">
        <v>1119</v>
      </c>
    </row>
    <row r="34" spans="1:18" x14ac:dyDescent="0.2">
      <c r="A34" t="s">
        <v>420</v>
      </c>
      <c r="B34" t="s">
        <v>75</v>
      </c>
      <c r="C34" t="s">
        <v>80</v>
      </c>
      <c r="D34" t="s">
        <v>582</v>
      </c>
      <c r="E34" t="s">
        <v>421</v>
      </c>
      <c r="F34" t="s">
        <v>549</v>
      </c>
      <c r="G34">
        <v>160</v>
      </c>
      <c r="H34" t="s">
        <v>31</v>
      </c>
      <c r="I34" t="s">
        <v>18</v>
      </c>
      <c r="J34">
        <v>480</v>
      </c>
      <c r="K34" t="s">
        <v>554</v>
      </c>
      <c r="L34" t="s">
        <v>588</v>
      </c>
      <c r="M34" t="s">
        <v>589</v>
      </c>
      <c r="O34" t="s">
        <v>421</v>
      </c>
      <c r="P34" t="s">
        <v>1209</v>
      </c>
      <c r="Q34" t="s">
        <v>1118</v>
      </c>
      <c r="R34" t="s">
        <v>1118</v>
      </c>
    </row>
    <row r="35" spans="1:18" x14ac:dyDescent="0.2">
      <c r="A35" t="s">
        <v>418</v>
      </c>
      <c r="B35" t="s">
        <v>75</v>
      </c>
      <c r="C35" t="s">
        <v>76</v>
      </c>
      <c r="D35" t="s">
        <v>566</v>
      </c>
      <c r="E35" t="s">
        <v>419</v>
      </c>
      <c r="F35" t="s">
        <v>549</v>
      </c>
      <c r="H35" t="s">
        <v>31</v>
      </c>
      <c r="I35" t="s">
        <v>18</v>
      </c>
      <c r="J35" t="s">
        <v>550</v>
      </c>
      <c r="K35" t="s">
        <v>554</v>
      </c>
      <c r="L35" t="s">
        <v>590</v>
      </c>
      <c r="M35" t="s">
        <v>1620</v>
      </c>
      <c r="O35" t="s">
        <v>419</v>
      </c>
      <c r="P35" t="s">
        <v>1494</v>
      </c>
      <c r="Q35" t="s">
        <v>1495</v>
      </c>
      <c r="R35" t="s">
        <v>1496</v>
      </c>
    </row>
    <row r="36" spans="1:18" hidden="1" x14ac:dyDescent="0.2">
      <c r="A36" t="s">
        <v>416</v>
      </c>
      <c r="B36" t="s">
        <v>63</v>
      </c>
      <c r="C36" t="s">
        <v>65</v>
      </c>
      <c r="D36" t="s">
        <v>591</v>
      </c>
      <c r="E36" t="s">
        <v>417</v>
      </c>
      <c r="F36" t="s">
        <v>578</v>
      </c>
      <c r="G36">
        <v>186.7</v>
      </c>
      <c r="H36" t="s">
        <v>26</v>
      </c>
      <c r="I36" t="s">
        <v>18</v>
      </c>
      <c r="J36">
        <v>560</v>
      </c>
      <c r="K36" t="s">
        <v>554</v>
      </c>
      <c r="L36" t="s">
        <v>593</v>
      </c>
      <c r="M36" t="s">
        <v>627</v>
      </c>
      <c r="O36" t="s">
        <v>417</v>
      </c>
      <c r="P36" t="s">
        <v>1454</v>
      </c>
      <c r="Q36" t="s">
        <v>1455</v>
      </c>
      <c r="R36" t="s">
        <v>1456</v>
      </c>
    </row>
    <row r="37" spans="1:18" x14ac:dyDescent="0.2">
      <c r="A37" t="s">
        <v>414</v>
      </c>
      <c r="B37" t="s">
        <v>75</v>
      </c>
      <c r="C37" t="s">
        <v>82</v>
      </c>
      <c r="D37" t="s">
        <v>594</v>
      </c>
      <c r="E37" t="s">
        <v>415</v>
      </c>
      <c r="F37" t="s">
        <v>573</v>
      </c>
      <c r="G37">
        <v>141.30000000000001</v>
      </c>
      <c r="H37" t="s">
        <v>31</v>
      </c>
      <c r="I37" t="s">
        <v>18</v>
      </c>
      <c r="J37">
        <v>424</v>
      </c>
      <c r="K37" t="s">
        <v>592</v>
      </c>
      <c r="L37" t="s">
        <v>595</v>
      </c>
      <c r="M37" t="s">
        <v>596</v>
      </c>
      <c r="O37" t="s">
        <v>415</v>
      </c>
      <c r="P37" t="s">
        <v>1387</v>
      </c>
      <c r="Q37" t="s">
        <v>1118</v>
      </c>
      <c r="R37" t="s">
        <v>1388</v>
      </c>
    </row>
    <row r="38" spans="1:18" x14ac:dyDescent="0.2">
      <c r="A38" t="s">
        <v>412</v>
      </c>
      <c r="B38" t="s">
        <v>75</v>
      </c>
      <c r="C38" t="s">
        <v>82</v>
      </c>
      <c r="D38" t="s">
        <v>594</v>
      </c>
      <c r="E38" t="s">
        <v>413</v>
      </c>
      <c r="F38" t="s">
        <v>578</v>
      </c>
      <c r="G38">
        <v>141.30000000000001</v>
      </c>
      <c r="H38" t="s">
        <v>31</v>
      </c>
      <c r="I38" t="s">
        <v>18</v>
      </c>
      <c r="J38">
        <v>424</v>
      </c>
      <c r="K38" t="s">
        <v>592</v>
      </c>
      <c r="L38" t="s">
        <v>597</v>
      </c>
      <c r="M38" t="s">
        <v>596</v>
      </c>
      <c r="O38" t="s">
        <v>413</v>
      </c>
      <c r="P38" t="s">
        <v>1389</v>
      </c>
      <c r="Q38" t="s">
        <v>1118</v>
      </c>
      <c r="R38" t="s">
        <v>1390</v>
      </c>
    </row>
    <row r="39" spans="1:18" hidden="1" x14ac:dyDescent="0.2">
      <c r="A39" t="s">
        <v>410</v>
      </c>
      <c r="B39" t="s">
        <v>56</v>
      </c>
      <c r="C39" t="s">
        <v>61</v>
      </c>
      <c r="D39" t="s">
        <v>598</v>
      </c>
      <c r="E39" t="s">
        <v>411</v>
      </c>
      <c r="F39" t="s">
        <v>549</v>
      </c>
      <c r="G39">
        <v>266.7</v>
      </c>
      <c r="H39" t="s">
        <v>31</v>
      </c>
      <c r="I39" t="s">
        <v>27</v>
      </c>
      <c r="J39">
        <v>800</v>
      </c>
      <c r="K39" t="s">
        <v>554</v>
      </c>
      <c r="L39" t="s">
        <v>599</v>
      </c>
      <c r="M39" t="s">
        <v>600</v>
      </c>
      <c r="O39" t="s">
        <v>411</v>
      </c>
      <c r="P39" t="s">
        <v>1486</v>
      </c>
      <c r="Q39" t="s">
        <v>1487</v>
      </c>
      <c r="R39" t="s">
        <v>1488</v>
      </c>
    </row>
    <row r="40" spans="1:18" hidden="1" x14ac:dyDescent="0.2">
      <c r="A40" t="s">
        <v>408</v>
      </c>
      <c r="B40" t="s">
        <v>56</v>
      </c>
      <c r="C40" t="s">
        <v>61</v>
      </c>
      <c r="D40" t="s">
        <v>598</v>
      </c>
      <c r="E40" t="s">
        <v>409</v>
      </c>
      <c r="F40" t="s">
        <v>672</v>
      </c>
      <c r="G40">
        <v>141.30000000000001</v>
      </c>
      <c r="H40" t="s">
        <v>13</v>
      </c>
      <c r="I40" t="s">
        <v>18</v>
      </c>
      <c r="J40">
        <v>424</v>
      </c>
      <c r="K40" t="s">
        <v>554</v>
      </c>
      <c r="L40" t="s">
        <v>601</v>
      </c>
      <c r="M40" t="s">
        <v>602</v>
      </c>
      <c r="O40" t="s">
        <v>409</v>
      </c>
      <c r="P40" t="s">
        <v>1587</v>
      </c>
      <c r="Q40" t="s">
        <v>1489</v>
      </c>
      <c r="R40" t="s">
        <v>1588</v>
      </c>
    </row>
    <row r="41" spans="1:18" hidden="1" x14ac:dyDescent="0.2">
      <c r="A41" t="s">
        <v>406</v>
      </c>
      <c r="B41" t="s">
        <v>75</v>
      </c>
      <c r="C41" t="s">
        <v>82</v>
      </c>
      <c r="D41" t="s">
        <v>594</v>
      </c>
      <c r="E41" t="s">
        <v>407</v>
      </c>
      <c r="F41" t="s">
        <v>549</v>
      </c>
      <c r="G41">
        <v>141.30000000000001</v>
      </c>
      <c r="H41" t="s">
        <v>31</v>
      </c>
      <c r="I41" t="s">
        <v>27</v>
      </c>
      <c r="J41">
        <v>424</v>
      </c>
      <c r="K41" t="s">
        <v>551</v>
      </c>
      <c r="L41" t="s">
        <v>603</v>
      </c>
      <c r="M41" t="s">
        <v>604</v>
      </c>
      <c r="O41" t="s">
        <v>407</v>
      </c>
      <c r="P41" t="s">
        <v>1391</v>
      </c>
      <c r="Q41" t="s">
        <v>1392</v>
      </c>
      <c r="R41" t="s">
        <v>1393</v>
      </c>
    </row>
    <row r="42" spans="1:18" hidden="1" x14ac:dyDescent="0.2">
      <c r="A42" t="s">
        <v>404</v>
      </c>
      <c r="B42" t="s">
        <v>75</v>
      </c>
      <c r="C42" t="s">
        <v>85</v>
      </c>
      <c r="D42" t="s">
        <v>553</v>
      </c>
      <c r="E42" t="s">
        <v>405</v>
      </c>
      <c r="F42" t="s">
        <v>549</v>
      </c>
      <c r="G42">
        <v>1066.7</v>
      </c>
      <c r="H42" t="s">
        <v>31</v>
      </c>
      <c r="I42" t="s">
        <v>27</v>
      </c>
      <c r="J42">
        <v>3200</v>
      </c>
      <c r="K42" t="s">
        <v>551</v>
      </c>
      <c r="L42" t="s">
        <v>605</v>
      </c>
      <c r="M42" t="s">
        <v>606</v>
      </c>
      <c r="O42" t="s">
        <v>405</v>
      </c>
      <c r="P42" t="s">
        <v>1246</v>
      </c>
      <c r="Q42" t="s">
        <v>1247</v>
      </c>
      <c r="R42" t="s">
        <v>1118</v>
      </c>
    </row>
    <row r="43" spans="1:18" hidden="1" x14ac:dyDescent="0.2">
      <c r="A43" t="s">
        <v>8</v>
      </c>
      <c r="B43" t="s">
        <v>9</v>
      </c>
      <c r="C43" t="s">
        <v>10</v>
      </c>
      <c r="D43" t="s">
        <v>607</v>
      </c>
      <c r="E43" t="s">
        <v>11</v>
      </c>
      <c r="F43" t="s">
        <v>616</v>
      </c>
      <c r="G43">
        <v>127</v>
      </c>
      <c r="H43" t="s">
        <v>13</v>
      </c>
      <c r="I43" t="s">
        <v>18</v>
      </c>
      <c r="J43">
        <v>381</v>
      </c>
      <c r="K43" t="s">
        <v>554</v>
      </c>
      <c r="L43" t="s">
        <v>608</v>
      </c>
      <c r="M43" t="s">
        <v>602</v>
      </c>
      <c r="O43" t="s">
        <v>11</v>
      </c>
      <c r="P43" t="s">
        <v>1504</v>
      </c>
      <c r="Q43" t="s">
        <v>1505</v>
      </c>
      <c r="R43" t="s">
        <v>1506</v>
      </c>
    </row>
    <row r="44" spans="1:18" hidden="1" x14ac:dyDescent="0.2">
      <c r="A44" t="s">
        <v>15</v>
      </c>
      <c r="B44" t="s">
        <v>9</v>
      </c>
      <c r="C44" t="s">
        <v>10</v>
      </c>
      <c r="D44" t="s">
        <v>607</v>
      </c>
      <c r="E44" t="s">
        <v>16</v>
      </c>
      <c r="F44" t="s">
        <v>578</v>
      </c>
      <c r="G44">
        <v>26.7</v>
      </c>
      <c r="H44" t="s">
        <v>13</v>
      </c>
      <c r="I44" t="s">
        <v>18</v>
      </c>
      <c r="J44">
        <v>80</v>
      </c>
      <c r="K44" t="s">
        <v>592</v>
      </c>
      <c r="L44" t="s">
        <v>609</v>
      </c>
      <c r="M44" t="s">
        <v>610</v>
      </c>
      <c r="O44" t="s">
        <v>16</v>
      </c>
      <c r="P44" t="s">
        <v>1507</v>
      </c>
      <c r="Q44" t="s">
        <v>1508</v>
      </c>
      <c r="R44" t="s">
        <v>1509</v>
      </c>
    </row>
    <row r="45" spans="1:18" hidden="1" x14ac:dyDescent="0.2">
      <c r="A45" t="s">
        <v>402</v>
      </c>
      <c r="B45" t="s">
        <v>66</v>
      </c>
      <c r="C45" t="s">
        <v>74</v>
      </c>
      <c r="D45" t="s">
        <v>611</v>
      </c>
      <c r="E45" t="s">
        <v>403</v>
      </c>
      <c r="F45" t="s">
        <v>672</v>
      </c>
      <c r="G45">
        <v>53.3</v>
      </c>
      <c r="H45" t="s">
        <v>26</v>
      </c>
      <c r="I45" t="s">
        <v>18</v>
      </c>
      <c r="J45">
        <v>160</v>
      </c>
      <c r="K45" t="s">
        <v>554</v>
      </c>
      <c r="L45" t="s">
        <v>612</v>
      </c>
      <c r="M45" t="s">
        <v>613</v>
      </c>
      <c r="O45" t="s">
        <v>403</v>
      </c>
      <c r="P45" t="s">
        <v>1135</v>
      </c>
      <c r="Q45" t="s">
        <v>1118</v>
      </c>
      <c r="R45" t="s">
        <v>1611</v>
      </c>
    </row>
    <row r="46" spans="1:18" hidden="1" x14ac:dyDescent="0.2">
      <c r="A46" t="s">
        <v>400</v>
      </c>
      <c r="B46" t="s">
        <v>75</v>
      </c>
      <c r="C46" t="s">
        <v>85</v>
      </c>
      <c r="D46" t="s">
        <v>553</v>
      </c>
      <c r="E46" t="s">
        <v>401</v>
      </c>
      <c r="F46" t="s">
        <v>549</v>
      </c>
      <c r="G46">
        <v>1066.7</v>
      </c>
      <c r="H46" t="s">
        <v>31</v>
      </c>
      <c r="I46" t="s">
        <v>27</v>
      </c>
      <c r="J46">
        <v>3200</v>
      </c>
      <c r="K46" t="s">
        <v>551</v>
      </c>
      <c r="L46" t="s">
        <v>614</v>
      </c>
      <c r="M46" t="s">
        <v>615</v>
      </c>
      <c r="O46" t="s">
        <v>401</v>
      </c>
      <c r="P46" t="s">
        <v>1248</v>
      </c>
      <c r="Q46" t="s">
        <v>1118</v>
      </c>
      <c r="R46" t="s">
        <v>1249</v>
      </c>
    </row>
    <row r="47" spans="1:18" hidden="1" x14ac:dyDescent="0.2">
      <c r="A47" t="s">
        <v>398</v>
      </c>
      <c r="B47" t="s">
        <v>66</v>
      </c>
      <c r="C47" t="s">
        <v>74</v>
      </c>
      <c r="D47" t="s">
        <v>611</v>
      </c>
      <c r="E47" t="s">
        <v>399</v>
      </c>
      <c r="F47" t="s">
        <v>672</v>
      </c>
      <c r="G47">
        <v>26.7</v>
      </c>
      <c r="H47" t="s">
        <v>26</v>
      </c>
      <c r="I47" t="s">
        <v>18</v>
      </c>
      <c r="J47">
        <v>80</v>
      </c>
      <c r="K47" t="s">
        <v>554</v>
      </c>
      <c r="L47" t="s">
        <v>617</v>
      </c>
      <c r="M47" t="s">
        <v>584</v>
      </c>
      <c r="O47" t="s">
        <v>399</v>
      </c>
      <c r="P47" t="s">
        <v>1136</v>
      </c>
      <c r="Q47" t="s">
        <v>1118</v>
      </c>
      <c r="R47" t="s">
        <v>1137</v>
      </c>
    </row>
    <row r="48" spans="1:18" hidden="1" x14ac:dyDescent="0.2">
      <c r="A48" t="s">
        <v>396</v>
      </c>
      <c r="B48" t="s">
        <v>75</v>
      </c>
      <c r="C48" t="s">
        <v>85</v>
      </c>
      <c r="D48" t="s">
        <v>553</v>
      </c>
      <c r="E48" t="s">
        <v>397</v>
      </c>
      <c r="F48" t="s">
        <v>573</v>
      </c>
      <c r="G48">
        <v>266.7</v>
      </c>
      <c r="H48" t="s">
        <v>31</v>
      </c>
      <c r="I48" t="s">
        <v>27</v>
      </c>
      <c r="J48">
        <v>800</v>
      </c>
      <c r="K48" t="s">
        <v>551</v>
      </c>
      <c r="L48" t="s">
        <v>618</v>
      </c>
      <c r="M48" t="s">
        <v>615</v>
      </c>
      <c r="O48" t="s">
        <v>397</v>
      </c>
      <c r="P48" t="s">
        <v>1250</v>
      </c>
      <c r="Q48" t="s">
        <v>1118</v>
      </c>
      <c r="R48" t="s">
        <v>1251</v>
      </c>
    </row>
    <row r="49" spans="1:18" hidden="1" x14ac:dyDescent="0.2">
      <c r="A49" t="s">
        <v>394</v>
      </c>
      <c r="B49" t="s">
        <v>75</v>
      </c>
      <c r="C49" t="s">
        <v>85</v>
      </c>
      <c r="D49" t="s">
        <v>553</v>
      </c>
      <c r="E49" t="s">
        <v>395</v>
      </c>
      <c r="F49" t="s">
        <v>578</v>
      </c>
      <c r="G49">
        <v>45.3</v>
      </c>
      <c r="H49" t="s">
        <v>31</v>
      </c>
      <c r="I49" t="s">
        <v>27</v>
      </c>
      <c r="J49">
        <v>136</v>
      </c>
      <c r="K49" t="s">
        <v>554</v>
      </c>
      <c r="L49" t="s">
        <v>619</v>
      </c>
      <c r="M49" t="s">
        <v>620</v>
      </c>
      <c r="O49" t="s">
        <v>395</v>
      </c>
      <c r="P49" t="s">
        <v>1252</v>
      </c>
      <c r="Q49" t="s">
        <v>1253</v>
      </c>
      <c r="R49" t="s">
        <v>1254</v>
      </c>
    </row>
    <row r="50" spans="1:18" x14ac:dyDescent="0.2">
      <c r="A50" t="s">
        <v>392</v>
      </c>
      <c r="B50" t="s">
        <v>75</v>
      </c>
      <c r="C50" t="s">
        <v>85</v>
      </c>
      <c r="D50" t="s">
        <v>553</v>
      </c>
      <c r="E50" t="s">
        <v>393</v>
      </c>
      <c r="F50" t="s">
        <v>578</v>
      </c>
      <c r="G50">
        <v>45.3</v>
      </c>
      <c r="H50" t="s">
        <v>31</v>
      </c>
      <c r="I50" t="s">
        <v>18</v>
      </c>
      <c r="J50">
        <v>136</v>
      </c>
      <c r="K50" t="s">
        <v>592</v>
      </c>
      <c r="L50" t="s">
        <v>621</v>
      </c>
      <c r="M50" t="s">
        <v>622</v>
      </c>
      <c r="O50" t="s">
        <v>393</v>
      </c>
      <c r="P50" t="s">
        <v>1255</v>
      </c>
      <c r="Q50" t="s">
        <v>1118</v>
      </c>
      <c r="R50" t="s">
        <v>1256</v>
      </c>
    </row>
    <row r="51" spans="1:18" x14ac:dyDescent="0.2">
      <c r="A51" t="s">
        <v>390</v>
      </c>
      <c r="B51" t="s">
        <v>75</v>
      </c>
      <c r="C51" t="s">
        <v>85</v>
      </c>
      <c r="D51" t="s">
        <v>553</v>
      </c>
      <c r="E51" t="s">
        <v>391</v>
      </c>
      <c r="F51" t="s">
        <v>578</v>
      </c>
      <c r="G51">
        <v>138.69999999999999</v>
      </c>
      <c r="H51" t="s">
        <v>31</v>
      </c>
      <c r="I51" t="s">
        <v>18</v>
      </c>
      <c r="J51">
        <v>416</v>
      </c>
      <c r="K51" t="s">
        <v>592</v>
      </c>
      <c r="L51" t="s">
        <v>623</v>
      </c>
      <c r="M51" t="s">
        <v>624</v>
      </c>
      <c r="O51" t="s">
        <v>391</v>
      </c>
      <c r="P51" t="s">
        <v>1257</v>
      </c>
      <c r="Q51" t="s">
        <v>1118</v>
      </c>
      <c r="R51" t="s">
        <v>1258</v>
      </c>
    </row>
    <row r="52" spans="1:18" hidden="1" x14ac:dyDescent="0.2">
      <c r="A52" t="s">
        <v>387</v>
      </c>
      <c r="B52" t="s">
        <v>66</v>
      </c>
      <c r="C52" t="s">
        <v>71</v>
      </c>
      <c r="D52" t="s">
        <v>625</v>
      </c>
      <c r="E52" t="s">
        <v>388</v>
      </c>
      <c r="F52" t="s">
        <v>672</v>
      </c>
      <c r="G52">
        <v>133.30000000000001</v>
      </c>
      <c r="H52" t="s">
        <v>26</v>
      </c>
      <c r="I52" t="s">
        <v>18</v>
      </c>
      <c r="J52">
        <v>400</v>
      </c>
      <c r="K52" t="s">
        <v>554</v>
      </c>
      <c r="L52" t="s">
        <v>626</v>
      </c>
      <c r="M52" t="s">
        <v>627</v>
      </c>
      <c r="O52" t="s">
        <v>388</v>
      </c>
      <c r="P52" t="s">
        <v>1429</v>
      </c>
      <c r="Q52" t="s">
        <v>1430</v>
      </c>
      <c r="R52" t="s">
        <v>1431</v>
      </c>
    </row>
    <row r="53" spans="1:18" x14ac:dyDescent="0.2">
      <c r="A53" t="s">
        <v>385</v>
      </c>
      <c r="B53" t="s">
        <v>75</v>
      </c>
      <c r="C53" t="s">
        <v>84</v>
      </c>
      <c r="D53" t="s">
        <v>628</v>
      </c>
      <c r="E53" t="s">
        <v>386</v>
      </c>
      <c r="F53" t="s">
        <v>578</v>
      </c>
      <c r="G53">
        <v>128</v>
      </c>
      <c r="H53" t="s">
        <v>26</v>
      </c>
      <c r="I53" t="s">
        <v>18</v>
      </c>
      <c r="J53">
        <v>384</v>
      </c>
      <c r="K53" t="s">
        <v>592</v>
      </c>
      <c r="L53" t="s">
        <v>629</v>
      </c>
      <c r="M53" t="s">
        <v>630</v>
      </c>
      <c r="O53" t="s">
        <v>386</v>
      </c>
      <c r="P53" t="s">
        <v>1147</v>
      </c>
      <c r="Q53" t="s">
        <v>1118</v>
      </c>
      <c r="R53" t="s">
        <v>1148</v>
      </c>
    </row>
    <row r="54" spans="1:18" x14ac:dyDescent="0.2">
      <c r="A54" t="s">
        <v>383</v>
      </c>
      <c r="B54" t="s">
        <v>75</v>
      </c>
      <c r="C54" t="s">
        <v>84</v>
      </c>
      <c r="D54" t="s">
        <v>628</v>
      </c>
      <c r="E54" t="s">
        <v>384</v>
      </c>
      <c r="F54" t="s">
        <v>578</v>
      </c>
      <c r="G54">
        <v>128</v>
      </c>
      <c r="H54" t="s">
        <v>26</v>
      </c>
      <c r="I54" t="s">
        <v>18</v>
      </c>
      <c r="J54">
        <v>384</v>
      </c>
      <c r="K54" t="s">
        <v>592</v>
      </c>
      <c r="L54" t="s">
        <v>631</v>
      </c>
      <c r="M54" t="s">
        <v>630</v>
      </c>
      <c r="O54" t="s">
        <v>384</v>
      </c>
      <c r="P54" t="s">
        <v>1149</v>
      </c>
      <c r="Q54" t="s">
        <v>1118</v>
      </c>
      <c r="R54" t="s">
        <v>1150</v>
      </c>
    </row>
    <row r="55" spans="1:18" hidden="1" x14ac:dyDescent="0.2">
      <c r="A55" t="s">
        <v>381</v>
      </c>
      <c r="B55" t="s">
        <v>56</v>
      </c>
      <c r="C55" t="s">
        <v>61</v>
      </c>
      <c r="D55" t="s">
        <v>598</v>
      </c>
      <c r="E55" t="s">
        <v>382</v>
      </c>
      <c r="F55" t="s">
        <v>578</v>
      </c>
      <c r="G55">
        <v>181.3</v>
      </c>
      <c r="H55" t="s">
        <v>13</v>
      </c>
      <c r="I55" t="s">
        <v>27</v>
      </c>
      <c r="J55">
        <v>544</v>
      </c>
      <c r="K55" t="s">
        <v>554</v>
      </c>
      <c r="L55" t="s">
        <v>632</v>
      </c>
      <c r="M55" t="s">
        <v>1586</v>
      </c>
      <c r="O55" t="s">
        <v>382</v>
      </c>
      <c r="P55" t="s">
        <v>1490</v>
      </c>
      <c r="Q55" t="s">
        <v>1491</v>
      </c>
      <c r="R55" t="s">
        <v>1492</v>
      </c>
    </row>
    <row r="56" spans="1:18" hidden="1" x14ac:dyDescent="0.2">
      <c r="A56" t="s">
        <v>379</v>
      </c>
      <c r="B56" t="s">
        <v>66</v>
      </c>
      <c r="C56" t="s">
        <v>73</v>
      </c>
      <c r="D56" t="s">
        <v>633</v>
      </c>
      <c r="E56" t="s">
        <v>380</v>
      </c>
      <c r="F56" t="s">
        <v>672</v>
      </c>
      <c r="G56">
        <v>186.7</v>
      </c>
      <c r="H56" t="s">
        <v>26</v>
      </c>
      <c r="I56" t="s">
        <v>18</v>
      </c>
      <c r="J56">
        <v>560</v>
      </c>
      <c r="K56" t="s">
        <v>554</v>
      </c>
      <c r="L56" t="s">
        <v>634</v>
      </c>
      <c r="M56" t="s">
        <v>1610</v>
      </c>
      <c r="O56" t="s">
        <v>380</v>
      </c>
      <c r="P56" t="s">
        <v>1280</v>
      </c>
      <c r="Q56" t="s">
        <v>1281</v>
      </c>
      <c r="R56" t="s">
        <v>1282</v>
      </c>
    </row>
    <row r="57" spans="1:18" x14ac:dyDescent="0.2">
      <c r="A57" t="s">
        <v>377</v>
      </c>
      <c r="B57" t="s">
        <v>75</v>
      </c>
      <c r="C57" t="s">
        <v>78</v>
      </c>
      <c r="D57" t="s">
        <v>560</v>
      </c>
      <c r="E57" t="s">
        <v>378</v>
      </c>
      <c r="F57" t="s">
        <v>549</v>
      </c>
      <c r="G57">
        <v>53.3</v>
      </c>
      <c r="H57" t="s">
        <v>31</v>
      </c>
      <c r="I57" t="s">
        <v>18</v>
      </c>
      <c r="J57">
        <v>160</v>
      </c>
      <c r="K57" t="s">
        <v>592</v>
      </c>
      <c r="L57" t="s">
        <v>635</v>
      </c>
      <c r="M57" t="s">
        <v>636</v>
      </c>
      <c r="O57" t="s">
        <v>378</v>
      </c>
      <c r="P57" t="s">
        <v>1331</v>
      </c>
      <c r="Q57" t="s">
        <v>1211</v>
      </c>
      <c r="R57" t="s">
        <v>1332</v>
      </c>
    </row>
    <row r="58" spans="1:18" hidden="1" x14ac:dyDescent="0.2">
      <c r="A58" t="s">
        <v>375</v>
      </c>
      <c r="B58" t="s">
        <v>75</v>
      </c>
      <c r="C58" t="s">
        <v>80</v>
      </c>
      <c r="D58" t="s">
        <v>582</v>
      </c>
      <c r="E58" t="s">
        <v>376</v>
      </c>
      <c r="F58" t="s">
        <v>549</v>
      </c>
      <c r="G58">
        <v>69.3</v>
      </c>
      <c r="H58" t="s">
        <v>31</v>
      </c>
      <c r="I58" t="s">
        <v>27</v>
      </c>
      <c r="J58">
        <v>208</v>
      </c>
      <c r="K58" t="s">
        <v>551</v>
      </c>
      <c r="L58" t="s">
        <v>637</v>
      </c>
      <c r="M58" t="s">
        <v>638</v>
      </c>
      <c r="O58" t="s">
        <v>376</v>
      </c>
      <c r="P58" t="s">
        <v>1210</v>
      </c>
      <c r="Q58" t="s">
        <v>1211</v>
      </c>
      <c r="R58" t="s">
        <v>1212</v>
      </c>
    </row>
    <row r="59" spans="1:18" x14ac:dyDescent="0.2">
      <c r="A59" t="s">
        <v>373</v>
      </c>
      <c r="B59" t="s">
        <v>75</v>
      </c>
      <c r="C59" t="s">
        <v>80</v>
      </c>
      <c r="D59" t="s">
        <v>582</v>
      </c>
      <c r="E59" t="s">
        <v>374</v>
      </c>
      <c r="F59" t="s">
        <v>549</v>
      </c>
      <c r="G59">
        <v>80</v>
      </c>
      <c r="H59" t="s">
        <v>31</v>
      </c>
      <c r="I59" t="s">
        <v>18</v>
      </c>
      <c r="J59">
        <v>240</v>
      </c>
      <c r="K59" t="s">
        <v>592</v>
      </c>
      <c r="L59" t="s">
        <v>639</v>
      </c>
      <c r="M59" t="s">
        <v>636</v>
      </c>
      <c r="O59" t="s">
        <v>374</v>
      </c>
      <c r="P59" t="s">
        <v>1213</v>
      </c>
      <c r="Q59" t="s">
        <v>1211</v>
      </c>
      <c r="R59" t="s">
        <v>1214</v>
      </c>
    </row>
    <row r="60" spans="1:18" hidden="1" x14ac:dyDescent="0.2">
      <c r="A60" t="s">
        <v>371</v>
      </c>
      <c r="B60" t="s">
        <v>63</v>
      </c>
      <c r="C60" t="s">
        <v>65</v>
      </c>
      <c r="D60" t="s">
        <v>591</v>
      </c>
      <c r="E60" t="s">
        <v>372</v>
      </c>
      <c r="F60" t="s">
        <v>578</v>
      </c>
      <c r="G60">
        <v>106.7</v>
      </c>
      <c r="H60" t="s">
        <v>26</v>
      </c>
      <c r="I60" t="s">
        <v>18</v>
      </c>
      <c r="J60">
        <v>320</v>
      </c>
      <c r="K60" t="s">
        <v>554</v>
      </c>
      <c r="L60" t="s">
        <v>640</v>
      </c>
      <c r="M60" t="s">
        <v>627</v>
      </c>
      <c r="O60" t="s">
        <v>372</v>
      </c>
      <c r="P60" t="s">
        <v>1457</v>
      </c>
      <c r="Q60" t="s">
        <v>1118</v>
      </c>
      <c r="R60" t="s">
        <v>1118</v>
      </c>
    </row>
    <row r="61" spans="1:18" x14ac:dyDescent="0.2">
      <c r="A61" t="s">
        <v>369</v>
      </c>
      <c r="B61" t="s">
        <v>75</v>
      </c>
      <c r="C61" t="s">
        <v>85</v>
      </c>
      <c r="D61" t="s">
        <v>553</v>
      </c>
      <c r="E61" t="s">
        <v>370</v>
      </c>
      <c r="F61" t="s">
        <v>578</v>
      </c>
      <c r="G61">
        <v>45.3</v>
      </c>
      <c r="H61" t="s">
        <v>31</v>
      </c>
      <c r="I61" t="s">
        <v>18</v>
      </c>
      <c r="J61">
        <v>136</v>
      </c>
      <c r="K61" t="s">
        <v>592</v>
      </c>
      <c r="L61" t="s">
        <v>641</v>
      </c>
      <c r="M61" t="s">
        <v>622</v>
      </c>
      <c r="O61" t="s">
        <v>370</v>
      </c>
      <c r="P61" t="s">
        <v>1259</v>
      </c>
      <c r="Q61" t="s">
        <v>1260</v>
      </c>
      <c r="R61" t="s">
        <v>1261</v>
      </c>
    </row>
    <row r="62" spans="1:18" x14ac:dyDescent="0.2">
      <c r="A62" t="s">
        <v>367</v>
      </c>
      <c r="B62" t="s">
        <v>75</v>
      </c>
      <c r="C62" t="s">
        <v>78</v>
      </c>
      <c r="D62" t="s">
        <v>560</v>
      </c>
      <c r="E62" t="s">
        <v>368</v>
      </c>
      <c r="F62" t="s">
        <v>642</v>
      </c>
      <c r="G62">
        <v>160</v>
      </c>
      <c r="H62" t="s">
        <v>26</v>
      </c>
      <c r="I62" t="s">
        <v>18</v>
      </c>
      <c r="J62">
        <v>480</v>
      </c>
      <c r="K62" t="s">
        <v>554</v>
      </c>
      <c r="L62" t="s">
        <v>643</v>
      </c>
      <c r="M62" t="s">
        <v>1534</v>
      </c>
      <c r="O62" t="s">
        <v>368</v>
      </c>
      <c r="P62" t="s">
        <v>1333</v>
      </c>
      <c r="Q62" t="s">
        <v>1334</v>
      </c>
      <c r="R62" t="s">
        <v>1335</v>
      </c>
    </row>
    <row r="63" spans="1:18" x14ac:dyDescent="0.2">
      <c r="A63" t="s">
        <v>365</v>
      </c>
      <c r="B63" t="s">
        <v>75</v>
      </c>
      <c r="C63" t="s">
        <v>82</v>
      </c>
      <c r="D63" t="s">
        <v>594</v>
      </c>
      <c r="E63" t="s">
        <v>366</v>
      </c>
      <c r="F63" t="s">
        <v>672</v>
      </c>
      <c r="G63">
        <v>190.7</v>
      </c>
      <c r="H63" t="s">
        <v>26</v>
      </c>
      <c r="I63" t="s">
        <v>18</v>
      </c>
      <c r="J63">
        <v>572</v>
      </c>
      <c r="K63" t="s">
        <v>554</v>
      </c>
      <c r="L63" t="s">
        <v>644</v>
      </c>
      <c r="M63" t="s">
        <v>1533</v>
      </c>
      <c r="O63" t="s">
        <v>366</v>
      </c>
      <c r="P63" t="s">
        <v>1394</v>
      </c>
      <c r="Q63" t="s">
        <v>1118</v>
      </c>
      <c r="R63" t="s">
        <v>1395</v>
      </c>
    </row>
    <row r="64" spans="1:18" hidden="1" x14ac:dyDescent="0.2">
      <c r="A64" t="s">
        <v>363</v>
      </c>
      <c r="B64" t="s">
        <v>75</v>
      </c>
      <c r="C64" t="s">
        <v>83</v>
      </c>
      <c r="D64" t="s">
        <v>521</v>
      </c>
      <c r="E64" t="s">
        <v>364</v>
      </c>
      <c r="F64" t="s">
        <v>549</v>
      </c>
      <c r="H64" t="s">
        <v>31</v>
      </c>
      <c r="I64" t="s">
        <v>27</v>
      </c>
      <c r="J64" t="s">
        <v>550</v>
      </c>
      <c r="K64" t="s">
        <v>551</v>
      </c>
      <c r="L64" t="s">
        <v>645</v>
      </c>
      <c r="M64" t="s">
        <v>646</v>
      </c>
      <c r="O64" t="s">
        <v>364</v>
      </c>
      <c r="P64" t="s">
        <v>1381</v>
      </c>
      <c r="Q64" t="s">
        <v>1118</v>
      </c>
      <c r="R64" t="s">
        <v>1118</v>
      </c>
    </row>
    <row r="65" spans="1:18" hidden="1" x14ac:dyDescent="0.2">
      <c r="A65" t="s">
        <v>361</v>
      </c>
      <c r="B65" t="s">
        <v>56</v>
      </c>
      <c r="C65" t="s">
        <v>60</v>
      </c>
      <c r="D65" t="s">
        <v>647</v>
      </c>
      <c r="E65" t="s">
        <v>362</v>
      </c>
      <c r="F65" t="s">
        <v>578</v>
      </c>
      <c r="G65">
        <v>266.7</v>
      </c>
      <c r="H65" t="s">
        <v>26</v>
      </c>
      <c r="I65" t="s">
        <v>18</v>
      </c>
      <c r="J65">
        <v>800</v>
      </c>
      <c r="K65" t="s">
        <v>554</v>
      </c>
      <c r="L65" t="s">
        <v>648</v>
      </c>
      <c r="M65" t="s">
        <v>649</v>
      </c>
      <c r="O65" t="s">
        <v>362</v>
      </c>
      <c r="P65" t="s">
        <v>1641</v>
      </c>
      <c r="Q65" t="s">
        <v>1118</v>
      </c>
      <c r="R65" t="s">
        <v>1642</v>
      </c>
    </row>
    <row r="66" spans="1:18" hidden="1" x14ac:dyDescent="0.2">
      <c r="A66" t="s">
        <v>359</v>
      </c>
      <c r="B66" t="s">
        <v>56</v>
      </c>
      <c r="C66" t="s">
        <v>62</v>
      </c>
      <c r="D66" t="s">
        <v>572</v>
      </c>
      <c r="E66" t="s">
        <v>360</v>
      </c>
      <c r="F66" t="s">
        <v>578</v>
      </c>
      <c r="G66">
        <v>533.29999999999995</v>
      </c>
      <c r="H66" t="s">
        <v>26</v>
      </c>
      <c r="I66" t="s">
        <v>27</v>
      </c>
      <c r="J66">
        <v>1600</v>
      </c>
      <c r="K66" t="s">
        <v>551</v>
      </c>
      <c r="L66" t="s">
        <v>650</v>
      </c>
      <c r="M66" t="s">
        <v>1627</v>
      </c>
      <c r="O66" t="s">
        <v>360</v>
      </c>
      <c r="P66" t="s">
        <v>1199</v>
      </c>
      <c r="Q66" t="s">
        <v>1200</v>
      </c>
      <c r="R66" t="s">
        <v>1201</v>
      </c>
    </row>
    <row r="67" spans="1:18" hidden="1" x14ac:dyDescent="0.2">
      <c r="A67" t="s">
        <v>357</v>
      </c>
      <c r="B67" t="s">
        <v>56</v>
      </c>
      <c r="C67" t="s">
        <v>57</v>
      </c>
      <c r="D67" t="s">
        <v>652</v>
      </c>
      <c r="E67" t="s">
        <v>358</v>
      </c>
      <c r="F67" t="s">
        <v>672</v>
      </c>
      <c r="G67">
        <v>106.7</v>
      </c>
      <c r="H67" t="s">
        <v>26</v>
      </c>
      <c r="I67" t="s">
        <v>18</v>
      </c>
      <c r="J67">
        <v>320</v>
      </c>
      <c r="K67" t="s">
        <v>554</v>
      </c>
      <c r="L67" t="s">
        <v>653</v>
      </c>
      <c r="M67" t="s">
        <v>649</v>
      </c>
      <c r="O67" t="s">
        <v>358</v>
      </c>
      <c r="P67" t="s">
        <v>1480</v>
      </c>
      <c r="Q67" t="s">
        <v>1481</v>
      </c>
      <c r="R67" t="s">
        <v>1482</v>
      </c>
    </row>
    <row r="68" spans="1:18" hidden="1" x14ac:dyDescent="0.2">
      <c r="A68" t="s">
        <v>355</v>
      </c>
      <c r="B68" t="s">
        <v>56</v>
      </c>
      <c r="C68" t="s">
        <v>60</v>
      </c>
      <c r="D68" t="s">
        <v>647</v>
      </c>
      <c r="E68" t="s">
        <v>356</v>
      </c>
      <c r="F68" t="s">
        <v>616</v>
      </c>
      <c r="G68">
        <v>320</v>
      </c>
      <c r="H68" t="s">
        <v>26</v>
      </c>
      <c r="I68" t="s">
        <v>18</v>
      </c>
      <c r="J68">
        <v>960</v>
      </c>
      <c r="K68" t="s">
        <v>554</v>
      </c>
      <c r="L68" t="s">
        <v>654</v>
      </c>
      <c r="M68" t="s">
        <v>655</v>
      </c>
      <c r="O68" t="s">
        <v>356</v>
      </c>
      <c r="P68" t="s">
        <v>1169</v>
      </c>
      <c r="Q68" t="s">
        <v>1170</v>
      </c>
      <c r="R68" t="s">
        <v>1171</v>
      </c>
    </row>
    <row r="69" spans="1:18" hidden="1" x14ac:dyDescent="0.2">
      <c r="A69" t="s">
        <v>353</v>
      </c>
      <c r="B69" t="s">
        <v>66</v>
      </c>
      <c r="C69" t="s">
        <v>71</v>
      </c>
      <c r="D69" t="s">
        <v>625</v>
      </c>
      <c r="E69" t="s">
        <v>354</v>
      </c>
      <c r="F69" t="s">
        <v>656</v>
      </c>
      <c r="G69">
        <v>42.7</v>
      </c>
      <c r="H69" t="s">
        <v>26</v>
      </c>
      <c r="I69" t="s">
        <v>14</v>
      </c>
      <c r="J69">
        <v>128</v>
      </c>
      <c r="K69" t="s">
        <v>554</v>
      </c>
      <c r="L69" t="s">
        <v>657</v>
      </c>
      <c r="M69" t="s">
        <v>658</v>
      </c>
      <c r="N69" t="s">
        <v>493</v>
      </c>
      <c r="O69" t="s">
        <v>354</v>
      </c>
      <c r="P69" t="s">
        <v>1432</v>
      </c>
      <c r="Q69" t="s">
        <v>1433</v>
      </c>
      <c r="R69" t="s">
        <v>1434</v>
      </c>
    </row>
    <row r="70" spans="1:18" hidden="1" x14ac:dyDescent="0.2">
      <c r="A70" t="s">
        <v>351</v>
      </c>
      <c r="B70" t="s">
        <v>75</v>
      </c>
      <c r="C70" t="s">
        <v>78</v>
      </c>
      <c r="D70" t="s">
        <v>560</v>
      </c>
      <c r="E70" t="s">
        <v>352</v>
      </c>
      <c r="F70" t="s">
        <v>549</v>
      </c>
      <c r="G70">
        <v>69.3</v>
      </c>
      <c r="H70" t="s">
        <v>31</v>
      </c>
      <c r="I70" t="s">
        <v>27</v>
      </c>
      <c r="J70">
        <v>208</v>
      </c>
      <c r="K70" t="s">
        <v>551</v>
      </c>
      <c r="L70" t="s">
        <v>659</v>
      </c>
      <c r="M70" t="s">
        <v>660</v>
      </c>
      <c r="O70" t="s">
        <v>352</v>
      </c>
      <c r="P70" t="s">
        <v>1336</v>
      </c>
      <c r="Q70" t="s">
        <v>1337</v>
      </c>
      <c r="R70" t="s">
        <v>1338</v>
      </c>
    </row>
    <row r="71" spans="1:18" hidden="1" x14ac:dyDescent="0.2">
      <c r="A71" t="s">
        <v>349</v>
      </c>
      <c r="B71" t="s">
        <v>56</v>
      </c>
      <c r="C71" t="s">
        <v>60</v>
      </c>
      <c r="D71" t="s">
        <v>647</v>
      </c>
      <c r="E71" t="s">
        <v>350</v>
      </c>
      <c r="F71" t="s">
        <v>616</v>
      </c>
      <c r="G71">
        <v>320</v>
      </c>
      <c r="H71" t="s">
        <v>26</v>
      </c>
      <c r="I71" t="s">
        <v>18</v>
      </c>
      <c r="J71">
        <v>960</v>
      </c>
      <c r="K71" t="s">
        <v>554</v>
      </c>
      <c r="L71" t="s">
        <v>661</v>
      </c>
      <c r="M71" t="s">
        <v>662</v>
      </c>
      <c r="O71" t="s">
        <v>350</v>
      </c>
      <c r="P71" t="s">
        <v>1639</v>
      </c>
      <c r="Q71" t="s">
        <v>1172</v>
      </c>
      <c r="R71" t="s">
        <v>1640</v>
      </c>
    </row>
    <row r="72" spans="1:18" hidden="1" x14ac:dyDescent="0.2">
      <c r="A72" t="s">
        <v>347</v>
      </c>
      <c r="B72" t="s">
        <v>66</v>
      </c>
      <c r="C72" t="s">
        <v>73</v>
      </c>
      <c r="D72" t="s">
        <v>633</v>
      </c>
      <c r="E72" t="s">
        <v>348</v>
      </c>
      <c r="F72" t="s">
        <v>656</v>
      </c>
      <c r="G72">
        <v>42.7</v>
      </c>
      <c r="H72" t="s">
        <v>26</v>
      </c>
      <c r="I72" t="s">
        <v>14</v>
      </c>
      <c r="J72">
        <v>128</v>
      </c>
      <c r="K72" t="s">
        <v>592</v>
      </c>
      <c r="L72" t="s">
        <v>663</v>
      </c>
      <c r="M72" t="s">
        <v>664</v>
      </c>
      <c r="N72" t="s">
        <v>493</v>
      </c>
      <c r="O72" t="s">
        <v>348</v>
      </c>
      <c r="P72" t="s">
        <v>1283</v>
      </c>
      <c r="Q72" t="s">
        <v>1284</v>
      </c>
      <c r="R72" t="s">
        <v>1285</v>
      </c>
    </row>
    <row r="73" spans="1:18" x14ac:dyDescent="0.2">
      <c r="A73" t="s">
        <v>345</v>
      </c>
      <c r="B73" t="s">
        <v>75</v>
      </c>
      <c r="C73" t="s">
        <v>81</v>
      </c>
      <c r="D73" t="s">
        <v>665</v>
      </c>
      <c r="E73" t="s">
        <v>346</v>
      </c>
      <c r="F73" t="s">
        <v>616</v>
      </c>
      <c r="G73">
        <v>533.29999999999995</v>
      </c>
      <c r="H73" t="s">
        <v>26</v>
      </c>
      <c r="I73" t="s">
        <v>18</v>
      </c>
      <c r="J73">
        <v>1600</v>
      </c>
      <c r="K73" t="s">
        <v>554</v>
      </c>
      <c r="L73" t="s">
        <v>666</v>
      </c>
      <c r="M73" t="s">
        <v>667</v>
      </c>
      <c r="O73" t="s">
        <v>346</v>
      </c>
      <c r="P73" t="s">
        <v>1608</v>
      </c>
      <c r="Q73" t="s">
        <v>1118</v>
      </c>
      <c r="R73" t="s">
        <v>1324</v>
      </c>
    </row>
    <row r="74" spans="1:18" hidden="1" x14ac:dyDescent="0.2">
      <c r="A74" t="s">
        <v>343</v>
      </c>
      <c r="B74" t="s">
        <v>75</v>
      </c>
      <c r="C74" t="s">
        <v>82</v>
      </c>
      <c r="D74" t="s">
        <v>594</v>
      </c>
      <c r="E74" t="s">
        <v>344</v>
      </c>
      <c r="F74" t="s">
        <v>688</v>
      </c>
      <c r="G74">
        <v>147.69999999999999</v>
      </c>
      <c r="H74" t="s">
        <v>26</v>
      </c>
      <c r="I74" t="s">
        <v>14</v>
      </c>
      <c r="J74">
        <v>443.2</v>
      </c>
      <c r="K74" t="s">
        <v>592</v>
      </c>
      <c r="L74" t="s">
        <v>669</v>
      </c>
      <c r="M74" t="s">
        <v>670</v>
      </c>
      <c r="N74" t="s">
        <v>493</v>
      </c>
      <c r="O74" t="s">
        <v>344</v>
      </c>
      <c r="P74" t="s">
        <v>1396</v>
      </c>
      <c r="Q74" t="s">
        <v>1118</v>
      </c>
      <c r="R74" t="s">
        <v>1397</v>
      </c>
    </row>
    <row r="75" spans="1:18" hidden="1" x14ac:dyDescent="0.2">
      <c r="A75" t="s">
        <v>341</v>
      </c>
      <c r="B75" t="s">
        <v>66</v>
      </c>
      <c r="C75" t="s">
        <v>70</v>
      </c>
      <c r="D75" t="s">
        <v>671</v>
      </c>
      <c r="E75" t="s">
        <v>342</v>
      </c>
      <c r="F75" t="s">
        <v>672</v>
      </c>
      <c r="G75">
        <v>480</v>
      </c>
      <c r="H75" t="s">
        <v>26</v>
      </c>
      <c r="I75" t="s">
        <v>18</v>
      </c>
      <c r="J75">
        <v>1440</v>
      </c>
      <c r="K75" t="s">
        <v>554</v>
      </c>
      <c r="L75" t="s">
        <v>673</v>
      </c>
      <c r="M75" t="s">
        <v>667</v>
      </c>
      <c r="O75" t="s">
        <v>342</v>
      </c>
      <c r="P75" t="s">
        <v>1111</v>
      </c>
      <c r="Q75" t="s">
        <v>1112</v>
      </c>
      <c r="R75" t="s">
        <v>1113</v>
      </c>
    </row>
    <row r="76" spans="1:18" hidden="1" x14ac:dyDescent="0.2">
      <c r="A76" t="s">
        <v>339</v>
      </c>
      <c r="B76" t="s">
        <v>63</v>
      </c>
      <c r="C76" t="s">
        <v>65</v>
      </c>
      <c r="D76" t="s">
        <v>591</v>
      </c>
      <c r="E76" t="s">
        <v>340</v>
      </c>
      <c r="F76" t="s">
        <v>578</v>
      </c>
      <c r="G76">
        <v>1066.7</v>
      </c>
      <c r="H76" t="s">
        <v>31</v>
      </c>
      <c r="I76" t="s">
        <v>27</v>
      </c>
      <c r="J76">
        <v>3200</v>
      </c>
      <c r="K76" t="s">
        <v>551</v>
      </c>
      <c r="L76" t="s">
        <v>674</v>
      </c>
      <c r="M76" t="s">
        <v>675</v>
      </c>
      <c r="O76" t="s">
        <v>340</v>
      </c>
      <c r="P76" t="s">
        <v>1458</v>
      </c>
      <c r="Q76" t="s">
        <v>1118</v>
      </c>
      <c r="R76" t="s">
        <v>1118</v>
      </c>
    </row>
    <row r="77" spans="1:18" hidden="1" x14ac:dyDescent="0.2">
      <c r="A77" t="s">
        <v>337</v>
      </c>
      <c r="B77" t="s">
        <v>63</v>
      </c>
      <c r="C77" t="s">
        <v>65</v>
      </c>
      <c r="D77" t="s">
        <v>591</v>
      </c>
      <c r="E77" t="s">
        <v>338</v>
      </c>
      <c r="F77" t="s">
        <v>578</v>
      </c>
      <c r="G77">
        <v>533.29999999999995</v>
      </c>
      <c r="H77" t="s">
        <v>26</v>
      </c>
      <c r="I77" t="s">
        <v>18</v>
      </c>
      <c r="J77">
        <v>1600</v>
      </c>
      <c r="K77" t="s">
        <v>554</v>
      </c>
      <c r="L77" t="s">
        <v>676</v>
      </c>
      <c r="M77" t="s">
        <v>1532</v>
      </c>
      <c r="O77" t="s">
        <v>338</v>
      </c>
      <c r="P77" t="s">
        <v>1459</v>
      </c>
      <c r="Q77" t="s">
        <v>1460</v>
      </c>
      <c r="R77" t="s">
        <v>1461</v>
      </c>
    </row>
    <row r="78" spans="1:18" hidden="1" x14ac:dyDescent="0.2">
      <c r="A78" t="s">
        <v>335</v>
      </c>
      <c r="B78" t="s">
        <v>63</v>
      </c>
      <c r="C78" t="s">
        <v>65</v>
      </c>
      <c r="D78" t="s">
        <v>591</v>
      </c>
      <c r="E78" t="s">
        <v>336</v>
      </c>
      <c r="F78" t="s">
        <v>578</v>
      </c>
      <c r="G78">
        <v>160</v>
      </c>
      <c r="H78" t="s">
        <v>26</v>
      </c>
      <c r="I78" t="s">
        <v>18</v>
      </c>
      <c r="J78">
        <v>480</v>
      </c>
      <c r="K78" t="s">
        <v>554</v>
      </c>
      <c r="L78" t="s">
        <v>677</v>
      </c>
      <c r="M78" t="s">
        <v>627</v>
      </c>
      <c r="O78" t="s">
        <v>336</v>
      </c>
      <c r="P78" t="s">
        <v>1462</v>
      </c>
      <c r="Q78" t="s">
        <v>1455</v>
      </c>
      <c r="R78" t="s">
        <v>1463</v>
      </c>
    </row>
    <row r="79" spans="1:18" hidden="1" x14ac:dyDescent="0.2">
      <c r="A79" t="s">
        <v>333</v>
      </c>
      <c r="B79" t="s">
        <v>63</v>
      </c>
      <c r="C79" t="s">
        <v>65</v>
      </c>
      <c r="D79" t="s">
        <v>591</v>
      </c>
      <c r="E79" t="s">
        <v>334</v>
      </c>
      <c r="F79" t="s">
        <v>578</v>
      </c>
      <c r="G79">
        <v>160</v>
      </c>
      <c r="H79" t="s">
        <v>26</v>
      </c>
      <c r="I79" t="s">
        <v>18</v>
      </c>
      <c r="J79">
        <v>480</v>
      </c>
      <c r="K79" t="s">
        <v>554</v>
      </c>
      <c r="L79" t="s">
        <v>678</v>
      </c>
      <c r="M79" t="s">
        <v>627</v>
      </c>
      <c r="O79" t="s">
        <v>334</v>
      </c>
      <c r="P79" t="s">
        <v>1464</v>
      </c>
      <c r="Q79" t="s">
        <v>1465</v>
      </c>
      <c r="R79" t="s">
        <v>1466</v>
      </c>
    </row>
    <row r="80" spans="1:18" hidden="1" x14ac:dyDescent="0.2">
      <c r="A80" t="s">
        <v>331</v>
      </c>
      <c r="B80" t="s">
        <v>63</v>
      </c>
      <c r="C80" t="s">
        <v>64</v>
      </c>
      <c r="D80" t="s">
        <v>679</v>
      </c>
      <c r="E80" t="s">
        <v>332</v>
      </c>
      <c r="F80" t="s">
        <v>672</v>
      </c>
      <c r="G80">
        <v>264</v>
      </c>
      <c r="H80" t="s">
        <v>26</v>
      </c>
      <c r="I80" t="s">
        <v>18</v>
      </c>
      <c r="J80">
        <v>792</v>
      </c>
      <c r="K80" t="s">
        <v>554</v>
      </c>
      <c r="L80" t="s">
        <v>680</v>
      </c>
      <c r="M80" t="s">
        <v>681</v>
      </c>
      <c r="O80" t="s">
        <v>332</v>
      </c>
      <c r="P80" t="s">
        <v>1223</v>
      </c>
      <c r="Q80" t="s">
        <v>1224</v>
      </c>
      <c r="R80" t="s">
        <v>1225</v>
      </c>
    </row>
    <row r="81" spans="1:18" x14ac:dyDescent="0.2">
      <c r="A81" t="s">
        <v>329</v>
      </c>
      <c r="B81" t="s">
        <v>75</v>
      </c>
      <c r="C81" t="s">
        <v>85</v>
      </c>
      <c r="D81" t="s">
        <v>553</v>
      </c>
      <c r="E81" t="s">
        <v>330</v>
      </c>
      <c r="F81" t="s">
        <v>578</v>
      </c>
      <c r="H81" t="s">
        <v>26</v>
      </c>
      <c r="I81" t="s">
        <v>18</v>
      </c>
      <c r="J81" t="s">
        <v>550</v>
      </c>
      <c r="K81" t="s">
        <v>554</v>
      </c>
      <c r="L81" t="s">
        <v>682</v>
      </c>
      <c r="M81" t="s">
        <v>683</v>
      </c>
      <c r="O81" t="s">
        <v>330</v>
      </c>
      <c r="P81" t="s">
        <v>1262</v>
      </c>
      <c r="Q81" t="s">
        <v>1263</v>
      </c>
      <c r="R81" t="s">
        <v>1264</v>
      </c>
    </row>
    <row r="82" spans="1:18" hidden="1" x14ac:dyDescent="0.2">
      <c r="A82" t="s">
        <v>327</v>
      </c>
      <c r="B82" t="s">
        <v>66</v>
      </c>
      <c r="C82" t="s">
        <v>73</v>
      </c>
      <c r="D82" t="s">
        <v>633</v>
      </c>
      <c r="E82" t="s">
        <v>328</v>
      </c>
      <c r="F82" t="s">
        <v>573</v>
      </c>
      <c r="G82">
        <v>266.7</v>
      </c>
      <c r="H82" t="s">
        <v>31</v>
      </c>
      <c r="I82" t="s">
        <v>51</v>
      </c>
      <c r="J82">
        <v>800</v>
      </c>
      <c r="K82" t="s">
        <v>551</v>
      </c>
      <c r="L82" t="s">
        <v>684</v>
      </c>
      <c r="M82" t="s">
        <v>685</v>
      </c>
      <c r="O82" t="s">
        <v>328</v>
      </c>
      <c r="P82" t="s">
        <v>1286</v>
      </c>
      <c r="Q82" t="s">
        <v>1287</v>
      </c>
      <c r="R82" t="s">
        <v>1288</v>
      </c>
    </row>
    <row r="83" spans="1:18" hidden="1" x14ac:dyDescent="0.2">
      <c r="A83" t="s">
        <v>325</v>
      </c>
      <c r="B83" t="s">
        <v>56</v>
      </c>
      <c r="C83" t="s">
        <v>62</v>
      </c>
      <c r="D83" t="s">
        <v>572</v>
      </c>
      <c r="E83" t="s">
        <v>326</v>
      </c>
      <c r="F83" t="s">
        <v>686</v>
      </c>
      <c r="G83">
        <v>37.299999999999997</v>
      </c>
      <c r="H83" t="s">
        <v>26</v>
      </c>
      <c r="I83" t="s">
        <v>14</v>
      </c>
      <c r="J83">
        <v>112</v>
      </c>
      <c r="K83" t="s">
        <v>592</v>
      </c>
      <c r="L83" t="s">
        <v>687</v>
      </c>
      <c r="M83" t="s">
        <v>1638</v>
      </c>
      <c r="N83" t="s">
        <v>493</v>
      </c>
      <c r="O83" t="s">
        <v>326</v>
      </c>
      <c r="P83" t="s">
        <v>1202</v>
      </c>
      <c r="Q83" t="s">
        <v>1118</v>
      </c>
      <c r="R83" t="s">
        <v>1203</v>
      </c>
    </row>
    <row r="84" spans="1:18" hidden="1" x14ac:dyDescent="0.2">
      <c r="A84" t="s">
        <v>323</v>
      </c>
      <c r="B84" t="s">
        <v>56</v>
      </c>
      <c r="C84" t="s">
        <v>60</v>
      </c>
      <c r="D84" t="s">
        <v>647</v>
      </c>
      <c r="E84" t="s">
        <v>324</v>
      </c>
      <c r="F84" t="s">
        <v>688</v>
      </c>
      <c r="G84">
        <v>136</v>
      </c>
      <c r="H84" t="s">
        <v>26</v>
      </c>
      <c r="I84" t="s">
        <v>14</v>
      </c>
      <c r="J84">
        <v>408</v>
      </c>
      <c r="K84" t="s">
        <v>592</v>
      </c>
      <c r="L84" t="s">
        <v>689</v>
      </c>
      <c r="M84" t="s">
        <v>1637</v>
      </c>
      <c r="N84" t="s">
        <v>493</v>
      </c>
      <c r="O84" t="s">
        <v>324</v>
      </c>
      <c r="P84" t="s">
        <v>1173</v>
      </c>
      <c r="Q84" t="s">
        <v>1118</v>
      </c>
      <c r="R84" t="s">
        <v>1174</v>
      </c>
    </row>
    <row r="85" spans="1:18" hidden="1" x14ac:dyDescent="0.2">
      <c r="A85" t="s">
        <v>1583</v>
      </c>
      <c r="D85" t="s">
        <v>953</v>
      </c>
      <c r="E85" t="s">
        <v>1584</v>
      </c>
      <c r="F85" t="s">
        <v>549</v>
      </c>
      <c r="H85" t="s">
        <v>31</v>
      </c>
      <c r="I85" t="s">
        <v>51</v>
      </c>
      <c r="J85" t="s">
        <v>550</v>
      </c>
      <c r="K85" t="s">
        <v>551</v>
      </c>
      <c r="L85" t="s">
        <v>1585</v>
      </c>
      <c r="M85" t="s">
        <v>489</v>
      </c>
    </row>
    <row r="86" spans="1:18" hidden="1" x14ac:dyDescent="0.2">
      <c r="A86" t="s">
        <v>1580</v>
      </c>
      <c r="D86" t="s">
        <v>953</v>
      </c>
      <c r="E86" t="s">
        <v>1581</v>
      </c>
      <c r="F86" t="s">
        <v>549</v>
      </c>
      <c r="H86" t="s">
        <v>31</v>
      </c>
      <c r="I86" t="s">
        <v>51</v>
      </c>
      <c r="J86" t="s">
        <v>550</v>
      </c>
      <c r="K86" t="s">
        <v>551</v>
      </c>
      <c r="L86" t="s">
        <v>1582</v>
      </c>
      <c r="M86" t="s">
        <v>489</v>
      </c>
    </row>
    <row r="87" spans="1:18" hidden="1" x14ac:dyDescent="0.2">
      <c r="A87" t="s">
        <v>1577</v>
      </c>
      <c r="D87" t="s">
        <v>953</v>
      </c>
      <c r="E87" t="s">
        <v>1578</v>
      </c>
      <c r="F87" t="s">
        <v>549</v>
      </c>
      <c r="H87" t="s">
        <v>31</v>
      </c>
      <c r="I87" t="s">
        <v>51</v>
      </c>
      <c r="J87" t="s">
        <v>550</v>
      </c>
      <c r="K87" t="s">
        <v>551</v>
      </c>
      <c r="L87" t="s">
        <v>1579</v>
      </c>
      <c r="M87" t="s">
        <v>489</v>
      </c>
    </row>
    <row r="88" spans="1:18" hidden="1" x14ac:dyDescent="0.2">
      <c r="A88" t="s">
        <v>1574</v>
      </c>
      <c r="D88" t="s">
        <v>953</v>
      </c>
      <c r="E88" t="s">
        <v>1575</v>
      </c>
      <c r="F88" t="s">
        <v>549</v>
      </c>
      <c r="H88" t="s">
        <v>31</v>
      </c>
      <c r="I88" t="s">
        <v>51</v>
      </c>
      <c r="J88" t="s">
        <v>550</v>
      </c>
      <c r="K88" t="s">
        <v>551</v>
      </c>
      <c r="L88" t="s">
        <v>1576</v>
      </c>
      <c r="M88" t="s">
        <v>489</v>
      </c>
    </row>
    <row r="89" spans="1:18" hidden="1" x14ac:dyDescent="0.2">
      <c r="A89" t="s">
        <v>1571</v>
      </c>
      <c r="D89" t="s">
        <v>953</v>
      </c>
      <c r="E89" t="s">
        <v>1572</v>
      </c>
      <c r="F89" t="s">
        <v>549</v>
      </c>
      <c r="H89" t="s">
        <v>31</v>
      </c>
      <c r="I89" t="s">
        <v>51</v>
      </c>
      <c r="J89" t="s">
        <v>550</v>
      </c>
      <c r="K89" t="s">
        <v>551</v>
      </c>
      <c r="L89" t="s">
        <v>1573</v>
      </c>
      <c r="M89" t="s">
        <v>489</v>
      </c>
    </row>
    <row r="90" spans="1:18" hidden="1" x14ac:dyDescent="0.2">
      <c r="A90" t="s">
        <v>1567</v>
      </c>
      <c r="D90" t="s">
        <v>953</v>
      </c>
      <c r="E90" t="s">
        <v>1568</v>
      </c>
      <c r="F90" t="s">
        <v>549</v>
      </c>
      <c r="H90" t="s">
        <v>31</v>
      </c>
      <c r="I90" t="s">
        <v>14</v>
      </c>
      <c r="J90" t="s">
        <v>550</v>
      </c>
      <c r="K90" t="s">
        <v>554</v>
      </c>
      <c r="L90" t="s">
        <v>1569</v>
      </c>
      <c r="M90" t="s">
        <v>1570</v>
      </c>
      <c r="N90" t="s">
        <v>493</v>
      </c>
    </row>
    <row r="91" spans="1:18" hidden="1" x14ac:dyDescent="0.2">
      <c r="A91" t="s">
        <v>321</v>
      </c>
      <c r="B91" t="s">
        <v>75</v>
      </c>
      <c r="C91" t="s">
        <v>77</v>
      </c>
      <c r="D91" t="s">
        <v>548</v>
      </c>
      <c r="E91" t="s">
        <v>322</v>
      </c>
      <c r="F91" t="s">
        <v>656</v>
      </c>
      <c r="G91">
        <v>66.7</v>
      </c>
      <c r="H91" t="s">
        <v>26</v>
      </c>
      <c r="I91" t="s">
        <v>14</v>
      </c>
      <c r="J91">
        <v>200</v>
      </c>
      <c r="K91" t="s">
        <v>592</v>
      </c>
      <c r="L91" t="s">
        <v>690</v>
      </c>
      <c r="M91" t="s">
        <v>691</v>
      </c>
      <c r="N91" t="s">
        <v>493</v>
      </c>
      <c r="O91" t="s">
        <v>322</v>
      </c>
      <c r="P91" t="s">
        <v>1474</v>
      </c>
      <c r="Q91" t="s">
        <v>1118</v>
      </c>
      <c r="R91" t="s">
        <v>1475</v>
      </c>
    </row>
    <row r="92" spans="1:18" hidden="1" x14ac:dyDescent="0.2">
      <c r="A92" t="s">
        <v>319</v>
      </c>
      <c r="D92" t="s">
        <v>692</v>
      </c>
      <c r="E92" t="s">
        <v>320</v>
      </c>
      <c r="F92" t="s">
        <v>693</v>
      </c>
      <c r="G92">
        <v>160</v>
      </c>
      <c r="H92" t="s">
        <v>26</v>
      </c>
      <c r="I92" t="s">
        <v>14</v>
      </c>
      <c r="J92">
        <v>480</v>
      </c>
      <c r="K92" t="s">
        <v>592</v>
      </c>
      <c r="L92" t="s">
        <v>694</v>
      </c>
      <c r="M92" t="s">
        <v>695</v>
      </c>
      <c r="N92" t="s">
        <v>493</v>
      </c>
      <c r="O92" t="s">
        <v>320</v>
      </c>
      <c r="P92" t="s">
        <v>1383</v>
      </c>
      <c r="Q92" t="s">
        <v>1384</v>
      </c>
      <c r="R92" t="s">
        <v>1119</v>
      </c>
    </row>
    <row r="93" spans="1:18" hidden="1" x14ac:dyDescent="0.2">
      <c r="A93" t="s">
        <v>317</v>
      </c>
      <c r="B93" t="s">
        <v>66</v>
      </c>
      <c r="C93" t="s">
        <v>70</v>
      </c>
      <c r="D93" t="s">
        <v>671</v>
      </c>
      <c r="E93" t="s">
        <v>318</v>
      </c>
      <c r="F93" t="s">
        <v>672</v>
      </c>
      <c r="G93">
        <v>266.7</v>
      </c>
      <c r="H93" t="s">
        <v>26</v>
      </c>
      <c r="I93" t="s">
        <v>18</v>
      </c>
      <c r="J93">
        <v>800</v>
      </c>
      <c r="K93" t="s">
        <v>554</v>
      </c>
      <c r="L93" t="s">
        <v>696</v>
      </c>
      <c r="M93" t="s">
        <v>655</v>
      </c>
      <c r="O93" t="s">
        <v>318</v>
      </c>
      <c r="P93" t="s">
        <v>1114</v>
      </c>
      <c r="Q93" t="s">
        <v>1115</v>
      </c>
      <c r="R93" t="s">
        <v>1116</v>
      </c>
    </row>
    <row r="94" spans="1:18" hidden="1" x14ac:dyDescent="0.2">
      <c r="A94" t="s">
        <v>315</v>
      </c>
      <c r="B94" t="s">
        <v>66</v>
      </c>
      <c r="C94" t="s">
        <v>71</v>
      </c>
      <c r="D94" t="s">
        <v>625</v>
      </c>
      <c r="E94" t="s">
        <v>316</v>
      </c>
      <c r="F94" t="s">
        <v>686</v>
      </c>
      <c r="G94">
        <v>10.7</v>
      </c>
      <c r="H94" t="s">
        <v>26</v>
      </c>
      <c r="I94" t="s">
        <v>14</v>
      </c>
      <c r="J94">
        <v>32</v>
      </c>
      <c r="K94" t="s">
        <v>554</v>
      </c>
      <c r="L94" t="s">
        <v>697</v>
      </c>
      <c r="M94" t="s">
        <v>698</v>
      </c>
      <c r="N94" t="s">
        <v>493</v>
      </c>
      <c r="O94" t="s">
        <v>316</v>
      </c>
      <c r="P94" t="s">
        <v>1435</v>
      </c>
      <c r="Q94" t="s">
        <v>1436</v>
      </c>
      <c r="R94" t="s">
        <v>1437</v>
      </c>
    </row>
    <row r="95" spans="1:18" hidden="1" x14ac:dyDescent="0.2">
      <c r="A95" t="s">
        <v>313</v>
      </c>
      <c r="B95" t="s">
        <v>66</v>
      </c>
      <c r="C95" t="s">
        <v>71</v>
      </c>
      <c r="D95" t="s">
        <v>625</v>
      </c>
      <c r="E95" t="s">
        <v>314</v>
      </c>
      <c r="F95" t="s">
        <v>688</v>
      </c>
      <c r="G95">
        <v>10.7</v>
      </c>
      <c r="H95" t="s">
        <v>26</v>
      </c>
      <c r="I95" t="s">
        <v>14</v>
      </c>
      <c r="J95">
        <v>32</v>
      </c>
      <c r="K95" t="s">
        <v>554</v>
      </c>
      <c r="L95" t="s">
        <v>699</v>
      </c>
      <c r="M95" t="s">
        <v>698</v>
      </c>
      <c r="N95" t="s">
        <v>493</v>
      </c>
      <c r="O95" t="s">
        <v>314</v>
      </c>
      <c r="P95" t="s">
        <v>1438</v>
      </c>
      <c r="Q95" t="s">
        <v>1439</v>
      </c>
      <c r="R95" t="s">
        <v>1440</v>
      </c>
    </row>
    <row r="96" spans="1:18" hidden="1" x14ac:dyDescent="0.2">
      <c r="A96" t="s">
        <v>311</v>
      </c>
      <c r="B96" t="s">
        <v>56</v>
      </c>
      <c r="C96" t="s">
        <v>60</v>
      </c>
      <c r="D96" t="s">
        <v>647</v>
      </c>
      <c r="E96" t="s">
        <v>312</v>
      </c>
      <c r="F96" t="s">
        <v>688</v>
      </c>
      <c r="G96">
        <v>58.7</v>
      </c>
      <c r="H96" t="s">
        <v>26</v>
      </c>
      <c r="I96" t="s">
        <v>14</v>
      </c>
      <c r="J96">
        <v>176</v>
      </c>
      <c r="K96" t="s">
        <v>554</v>
      </c>
      <c r="L96" t="s">
        <v>700</v>
      </c>
      <c r="M96" t="s">
        <v>701</v>
      </c>
      <c r="N96" t="s">
        <v>493</v>
      </c>
      <c r="O96" t="s">
        <v>312</v>
      </c>
      <c r="P96" t="s">
        <v>1175</v>
      </c>
      <c r="Q96" t="s">
        <v>1118</v>
      </c>
      <c r="R96" t="s">
        <v>1176</v>
      </c>
    </row>
    <row r="97" spans="1:18" hidden="1" x14ac:dyDescent="0.2">
      <c r="A97" t="s">
        <v>309</v>
      </c>
      <c r="B97" t="s">
        <v>75</v>
      </c>
      <c r="C97" t="s">
        <v>80</v>
      </c>
      <c r="D97" t="s">
        <v>582</v>
      </c>
      <c r="E97" t="s">
        <v>310</v>
      </c>
      <c r="F97" t="s">
        <v>693</v>
      </c>
      <c r="G97">
        <v>213.3</v>
      </c>
      <c r="H97" t="s">
        <v>31</v>
      </c>
      <c r="I97" t="s">
        <v>14</v>
      </c>
      <c r="J97">
        <v>640</v>
      </c>
      <c r="K97" t="s">
        <v>554</v>
      </c>
      <c r="L97" t="s">
        <v>702</v>
      </c>
      <c r="M97" t="s">
        <v>1636</v>
      </c>
      <c r="N97" t="s">
        <v>493</v>
      </c>
      <c r="O97" t="s">
        <v>310</v>
      </c>
      <c r="P97" t="s">
        <v>1215</v>
      </c>
      <c r="Q97" t="s">
        <v>1118</v>
      </c>
      <c r="R97" t="s">
        <v>1118</v>
      </c>
    </row>
    <row r="98" spans="1:18" hidden="1" x14ac:dyDescent="0.2">
      <c r="A98" t="s">
        <v>307</v>
      </c>
      <c r="B98" t="s">
        <v>75</v>
      </c>
      <c r="C98" t="s">
        <v>78</v>
      </c>
      <c r="D98" t="s">
        <v>560</v>
      </c>
      <c r="E98" t="s">
        <v>308</v>
      </c>
      <c r="F98" t="s">
        <v>656</v>
      </c>
      <c r="G98">
        <v>26.7</v>
      </c>
      <c r="H98" t="s">
        <v>31</v>
      </c>
      <c r="I98" t="s">
        <v>14</v>
      </c>
      <c r="J98">
        <v>80</v>
      </c>
      <c r="K98" t="s">
        <v>554</v>
      </c>
      <c r="L98" t="s">
        <v>703</v>
      </c>
      <c r="M98" t="s">
        <v>1635</v>
      </c>
      <c r="N98" t="s">
        <v>493</v>
      </c>
      <c r="O98" t="s">
        <v>308</v>
      </c>
      <c r="P98" t="s">
        <v>1339</v>
      </c>
      <c r="Q98" t="s">
        <v>1118</v>
      </c>
      <c r="R98" t="s">
        <v>1328</v>
      </c>
    </row>
    <row r="99" spans="1:18" hidden="1" x14ac:dyDescent="0.2">
      <c r="A99" t="s">
        <v>305</v>
      </c>
      <c r="B99" t="s">
        <v>75</v>
      </c>
      <c r="C99" t="s">
        <v>82</v>
      </c>
      <c r="D99" t="s">
        <v>594</v>
      </c>
      <c r="E99" t="s">
        <v>306</v>
      </c>
      <c r="F99" t="s">
        <v>656</v>
      </c>
      <c r="G99">
        <v>320</v>
      </c>
      <c r="H99" t="s">
        <v>26</v>
      </c>
      <c r="I99" t="s">
        <v>14</v>
      </c>
      <c r="J99">
        <v>960</v>
      </c>
      <c r="K99" t="s">
        <v>554</v>
      </c>
      <c r="L99" t="s">
        <v>704</v>
      </c>
      <c r="M99" t="s">
        <v>705</v>
      </c>
      <c r="N99" t="s">
        <v>493</v>
      </c>
      <c r="O99" t="s">
        <v>306</v>
      </c>
      <c r="P99" t="s">
        <v>1398</v>
      </c>
      <c r="Q99" t="s">
        <v>1118</v>
      </c>
      <c r="R99" t="s">
        <v>1399</v>
      </c>
    </row>
    <row r="100" spans="1:18" hidden="1" x14ac:dyDescent="0.2">
      <c r="A100" t="s">
        <v>303</v>
      </c>
      <c r="B100" t="s">
        <v>75</v>
      </c>
      <c r="C100" t="s">
        <v>80</v>
      </c>
      <c r="D100" t="s">
        <v>582</v>
      </c>
      <c r="E100" t="s">
        <v>304</v>
      </c>
      <c r="F100" t="s">
        <v>686</v>
      </c>
      <c r="G100">
        <v>34.700000000000003</v>
      </c>
      <c r="H100" t="s">
        <v>26</v>
      </c>
      <c r="I100" t="s">
        <v>14</v>
      </c>
      <c r="J100">
        <v>104</v>
      </c>
      <c r="K100" t="s">
        <v>554</v>
      </c>
      <c r="L100" t="s">
        <v>706</v>
      </c>
      <c r="M100" t="s">
        <v>707</v>
      </c>
      <c r="N100" t="s">
        <v>493</v>
      </c>
      <c r="O100" t="s">
        <v>304</v>
      </c>
      <c r="P100" t="s">
        <v>1216</v>
      </c>
      <c r="Q100" t="s">
        <v>1118</v>
      </c>
      <c r="R100" t="s">
        <v>1217</v>
      </c>
    </row>
    <row r="101" spans="1:18" hidden="1" x14ac:dyDescent="0.2">
      <c r="A101" t="s">
        <v>301</v>
      </c>
      <c r="B101" t="s">
        <v>63</v>
      </c>
      <c r="C101" t="s">
        <v>64</v>
      </c>
      <c r="D101" t="s">
        <v>679</v>
      </c>
      <c r="E101" t="s">
        <v>302</v>
      </c>
      <c r="F101" t="s">
        <v>549</v>
      </c>
      <c r="G101">
        <v>320</v>
      </c>
      <c r="H101" t="s">
        <v>31</v>
      </c>
      <c r="I101" t="s">
        <v>27</v>
      </c>
      <c r="J101">
        <v>960</v>
      </c>
      <c r="K101" t="s">
        <v>551</v>
      </c>
      <c r="L101" t="s">
        <v>708</v>
      </c>
      <c r="M101" t="s">
        <v>709</v>
      </c>
      <c r="O101" t="s">
        <v>302</v>
      </c>
      <c r="P101" t="s">
        <v>1226</v>
      </c>
      <c r="Q101" t="s">
        <v>1118</v>
      </c>
      <c r="R101" t="s">
        <v>1227</v>
      </c>
    </row>
    <row r="102" spans="1:18" hidden="1" x14ac:dyDescent="0.2">
      <c r="A102" t="s">
        <v>299</v>
      </c>
      <c r="B102" t="s">
        <v>66</v>
      </c>
      <c r="C102" t="s">
        <v>68</v>
      </c>
      <c r="D102" t="s">
        <v>710</v>
      </c>
      <c r="E102" t="s">
        <v>300</v>
      </c>
      <c r="F102" t="s">
        <v>656</v>
      </c>
      <c r="G102">
        <v>2.7</v>
      </c>
      <c r="H102" t="s">
        <v>26</v>
      </c>
      <c r="I102" t="s">
        <v>14</v>
      </c>
      <c r="J102">
        <v>8</v>
      </c>
      <c r="K102" t="s">
        <v>592</v>
      </c>
      <c r="L102" t="s">
        <v>711</v>
      </c>
      <c r="M102" t="s">
        <v>712</v>
      </c>
      <c r="N102" t="s">
        <v>493</v>
      </c>
      <c r="O102" t="s">
        <v>300</v>
      </c>
      <c r="P102" t="s">
        <v>1307</v>
      </c>
      <c r="Q102" t="s">
        <v>1308</v>
      </c>
      <c r="R102" t="s">
        <v>1309</v>
      </c>
    </row>
    <row r="103" spans="1:18" hidden="1" x14ac:dyDescent="0.2">
      <c r="A103" t="s">
        <v>297</v>
      </c>
      <c r="B103" t="s">
        <v>75</v>
      </c>
      <c r="C103" t="s">
        <v>78</v>
      </c>
      <c r="D103" t="s">
        <v>560</v>
      </c>
      <c r="E103" t="s">
        <v>298</v>
      </c>
      <c r="F103" t="s">
        <v>578</v>
      </c>
      <c r="G103">
        <v>69.3</v>
      </c>
      <c r="H103" t="s">
        <v>31</v>
      </c>
      <c r="I103" t="s">
        <v>27</v>
      </c>
      <c r="J103">
        <v>208</v>
      </c>
      <c r="K103" t="s">
        <v>592</v>
      </c>
      <c r="L103" t="s">
        <v>713</v>
      </c>
      <c r="M103" t="s">
        <v>714</v>
      </c>
      <c r="O103" t="s">
        <v>298</v>
      </c>
      <c r="P103" t="s">
        <v>1340</v>
      </c>
      <c r="Q103" t="s">
        <v>1341</v>
      </c>
      <c r="R103" t="s">
        <v>1342</v>
      </c>
    </row>
    <row r="104" spans="1:18" hidden="1" x14ac:dyDescent="0.2">
      <c r="A104" t="s">
        <v>295</v>
      </c>
      <c r="B104" t="s">
        <v>75</v>
      </c>
      <c r="C104" t="s">
        <v>78</v>
      </c>
      <c r="D104" t="s">
        <v>560</v>
      </c>
      <c r="E104" t="s">
        <v>296</v>
      </c>
      <c r="F104" t="s">
        <v>693</v>
      </c>
      <c r="G104">
        <v>42.7</v>
      </c>
      <c r="H104" t="s">
        <v>31</v>
      </c>
      <c r="I104" t="s">
        <v>14</v>
      </c>
      <c r="J104">
        <v>128</v>
      </c>
      <c r="K104" t="s">
        <v>554</v>
      </c>
      <c r="L104" t="s">
        <v>715</v>
      </c>
      <c r="M104" t="s">
        <v>1628</v>
      </c>
      <c r="N104" t="s">
        <v>493</v>
      </c>
      <c r="O104" t="s">
        <v>296</v>
      </c>
      <c r="P104" t="s">
        <v>1343</v>
      </c>
      <c r="Q104" t="s">
        <v>1344</v>
      </c>
      <c r="R104" t="s">
        <v>1345</v>
      </c>
    </row>
    <row r="105" spans="1:18" hidden="1" x14ac:dyDescent="0.2">
      <c r="A105" t="s">
        <v>293</v>
      </c>
      <c r="B105" t="s">
        <v>75</v>
      </c>
      <c r="C105" t="s">
        <v>78</v>
      </c>
      <c r="D105" t="s">
        <v>560</v>
      </c>
      <c r="E105" t="s">
        <v>294</v>
      </c>
      <c r="F105" t="s">
        <v>686</v>
      </c>
      <c r="G105">
        <v>53.3</v>
      </c>
      <c r="H105" t="s">
        <v>26</v>
      </c>
      <c r="I105" t="s">
        <v>14</v>
      </c>
      <c r="J105">
        <v>160</v>
      </c>
      <c r="K105" t="s">
        <v>554</v>
      </c>
      <c r="L105" t="s">
        <v>716</v>
      </c>
      <c r="M105" t="s">
        <v>1634</v>
      </c>
      <c r="N105" t="s">
        <v>493</v>
      </c>
      <c r="O105" t="s">
        <v>294</v>
      </c>
      <c r="P105" t="s">
        <v>1346</v>
      </c>
      <c r="Q105" t="s">
        <v>1347</v>
      </c>
      <c r="R105" t="s">
        <v>1348</v>
      </c>
    </row>
    <row r="106" spans="1:18" hidden="1" x14ac:dyDescent="0.2">
      <c r="A106" t="s">
        <v>291</v>
      </c>
      <c r="B106" t="s">
        <v>56</v>
      </c>
      <c r="C106" t="s">
        <v>60</v>
      </c>
      <c r="D106" t="s">
        <v>647</v>
      </c>
      <c r="E106" t="s">
        <v>292</v>
      </c>
      <c r="F106" t="s">
        <v>656</v>
      </c>
      <c r="G106">
        <v>106.7</v>
      </c>
      <c r="H106" t="s">
        <v>26</v>
      </c>
      <c r="I106" t="s">
        <v>14</v>
      </c>
      <c r="J106">
        <v>320</v>
      </c>
      <c r="K106" t="s">
        <v>554</v>
      </c>
      <c r="L106" t="s">
        <v>717</v>
      </c>
      <c r="M106" t="s">
        <v>718</v>
      </c>
      <c r="N106" t="s">
        <v>493</v>
      </c>
      <c r="O106" t="s">
        <v>292</v>
      </c>
      <c r="P106" t="s">
        <v>1177</v>
      </c>
      <c r="Q106" t="s">
        <v>1118</v>
      </c>
      <c r="R106" t="s">
        <v>1178</v>
      </c>
    </row>
    <row r="107" spans="1:18" hidden="1" x14ac:dyDescent="0.2">
      <c r="A107" t="s">
        <v>289</v>
      </c>
      <c r="B107" t="s">
        <v>66</v>
      </c>
      <c r="C107" t="s">
        <v>71</v>
      </c>
      <c r="D107" t="s">
        <v>625</v>
      </c>
      <c r="E107" t="s">
        <v>290</v>
      </c>
      <c r="F107" t="s">
        <v>686</v>
      </c>
      <c r="G107">
        <v>26.7</v>
      </c>
      <c r="H107" t="s">
        <v>26</v>
      </c>
      <c r="I107" t="s">
        <v>14</v>
      </c>
      <c r="J107">
        <v>80</v>
      </c>
      <c r="K107" t="s">
        <v>592</v>
      </c>
      <c r="L107" t="s">
        <v>719</v>
      </c>
      <c r="M107" t="s">
        <v>720</v>
      </c>
      <c r="N107" t="s">
        <v>493</v>
      </c>
      <c r="O107" t="s">
        <v>290</v>
      </c>
      <c r="P107" t="s">
        <v>1441</v>
      </c>
      <c r="Q107" t="s">
        <v>1118</v>
      </c>
      <c r="R107" t="s">
        <v>1442</v>
      </c>
    </row>
    <row r="108" spans="1:18" hidden="1" x14ac:dyDescent="0.2">
      <c r="A108" t="s">
        <v>287</v>
      </c>
      <c r="B108" t="s">
        <v>75</v>
      </c>
      <c r="C108" t="s">
        <v>78</v>
      </c>
      <c r="D108" t="s">
        <v>560</v>
      </c>
      <c r="E108" t="s">
        <v>288</v>
      </c>
      <c r="F108" t="s">
        <v>549</v>
      </c>
      <c r="G108">
        <v>160</v>
      </c>
      <c r="H108" t="s">
        <v>31</v>
      </c>
      <c r="I108" t="s">
        <v>27</v>
      </c>
      <c r="J108">
        <v>480</v>
      </c>
      <c r="K108" t="s">
        <v>551</v>
      </c>
      <c r="L108" t="s">
        <v>721</v>
      </c>
      <c r="M108" t="s">
        <v>722</v>
      </c>
      <c r="O108" t="s">
        <v>288</v>
      </c>
      <c r="P108" t="s">
        <v>1349</v>
      </c>
      <c r="Q108" t="s">
        <v>1118</v>
      </c>
      <c r="R108" t="s">
        <v>1350</v>
      </c>
    </row>
    <row r="109" spans="1:18" hidden="1" x14ac:dyDescent="0.2">
      <c r="A109" t="s">
        <v>285</v>
      </c>
      <c r="B109" t="s">
        <v>66</v>
      </c>
      <c r="C109" t="s">
        <v>73</v>
      </c>
      <c r="D109" t="s">
        <v>633</v>
      </c>
      <c r="E109" t="s">
        <v>286</v>
      </c>
      <c r="F109" t="s">
        <v>688</v>
      </c>
      <c r="G109">
        <v>160</v>
      </c>
      <c r="H109" t="s">
        <v>26</v>
      </c>
      <c r="I109" t="s">
        <v>14</v>
      </c>
      <c r="J109">
        <v>480</v>
      </c>
      <c r="K109" t="s">
        <v>592</v>
      </c>
      <c r="L109" t="s">
        <v>723</v>
      </c>
      <c r="M109" t="s">
        <v>724</v>
      </c>
      <c r="N109" t="s">
        <v>493</v>
      </c>
      <c r="O109" t="s">
        <v>286</v>
      </c>
      <c r="P109" t="s">
        <v>1289</v>
      </c>
      <c r="Q109" t="s">
        <v>1290</v>
      </c>
      <c r="R109" t="s">
        <v>1291</v>
      </c>
    </row>
    <row r="110" spans="1:18" hidden="1" x14ac:dyDescent="0.2">
      <c r="A110" t="s">
        <v>283</v>
      </c>
      <c r="B110" t="s">
        <v>75</v>
      </c>
      <c r="C110" t="s">
        <v>85</v>
      </c>
      <c r="D110" t="s">
        <v>553</v>
      </c>
      <c r="E110" t="s">
        <v>284</v>
      </c>
      <c r="F110" t="s">
        <v>549</v>
      </c>
      <c r="G110">
        <v>160</v>
      </c>
      <c r="H110" t="s">
        <v>31</v>
      </c>
      <c r="I110" t="s">
        <v>14</v>
      </c>
      <c r="J110">
        <v>480</v>
      </c>
      <c r="K110" t="s">
        <v>554</v>
      </c>
      <c r="L110" t="s">
        <v>725</v>
      </c>
      <c r="M110" t="s">
        <v>1633</v>
      </c>
      <c r="N110" t="s">
        <v>493</v>
      </c>
      <c r="O110" t="s">
        <v>284</v>
      </c>
      <c r="P110" t="s">
        <v>1265</v>
      </c>
      <c r="Q110" t="s">
        <v>1236</v>
      </c>
      <c r="R110" t="s">
        <v>1119</v>
      </c>
    </row>
    <row r="111" spans="1:18" hidden="1" x14ac:dyDescent="0.2">
      <c r="A111" t="s">
        <v>281</v>
      </c>
      <c r="B111" t="s">
        <v>75</v>
      </c>
      <c r="C111" t="s">
        <v>78</v>
      </c>
      <c r="D111" t="s">
        <v>560</v>
      </c>
      <c r="E111" t="s">
        <v>282</v>
      </c>
      <c r="F111" t="s">
        <v>549</v>
      </c>
      <c r="G111">
        <v>266.7</v>
      </c>
      <c r="H111" t="s">
        <v>31</v>
      </c>
      <c r="I111" t="s">
        <v>14</v>
      </c>
      <c r="J111">
        <v>800</v>
      </c>
      <c r="K111" t="s">
        <v>554</v>
      </c>
      <c r="L111" t="s">
        <v>726</v>
      </c>
      <c r="M111" t="s">
        <v>1629</v>
      </c>
      <c r="N111" t="s">
        <v>493</v>
      </c>
      <c r="O111" t="s">
        <v>282</v>
      </c>
      <c r="P111" t="s">
        <v>1351</v>
      </c>
      <c r="Q111" t="s">
        <v>1119</v>
      </c>
      <c r="R111" t="s">
        <v>1119</v>
      </c>
    </row>
    <row r="112" spans="1:18" hidden="1" x14ac:dyDescent="0.2">
      <c r="A112" t="s">
        <v>279</v>
      </c>
      <c r="B112" t="s">
        <v>75</v>
      </c>
      <c r="C112" t="s">
        <v>80</v>
      </c>
      <c r="D112" t="s">
        <v>582</v>
      </c>
      <c r="E112" t="s">
        <v>280</v>
      </c>
      <c r="F112" t="s">
        <v>693</v>
      </c>
      <c r="G112">
        <v>160</v>
      </c>
      <c r="H112" t="s">
        <v>31</v>
      </c>
      <c r="I112" t="s">
        <v>14</v>
      </c>
      <c r="J112">
        <v>480</v>
      </c>
      <c r="K112" t="s">
        <v>554</v>
      </c>
      <c r="L112" t="s">
        <v>727</v>
      </c>
      <c r="M112" t="s">
        <v>728</v>
      </c>
      <c r="N112" t="s">
        <v>493</v>
      </c>
      <c r="O112" t="s">
        <v>280</v>
      </c>
      <c r="P112" t="s">
        <v>1209</v>
      </c>
      <c r="Q112" t="s">
        <v>1118</v>
      </c>
      <c r="R112" t="s">
        <v>1118</v>
      </c>
    </row>
    <row r="113" spans="1:18" hidden="1" x14ac:dyDescent="0.2">
      <c r="A113" t="s">
        <v>277</v>
      </c>
      <c r="B113" t="s">
        <v>75</v>
      </c>
      <c r="C113" t="s">
        <v>78</v>
      </c>
      <c r="D113" t="s">
        <v>560</v>
      </c>
      <c r="E113" t="s">
        <v>278</v>
      </c>
      <c r="F113" t="s">
        <v>688</v>
      </c>
      <c r="G113">
        <v>186.7</v>
      </c>
      <c r="H113" t="s">
        <v>26</v>
      </c>
      <c r="I113" t="s">
        <v>14</v>
      </c>
      <c r="J113">
        <v>560</v>
      </c>
      <c r="K113" t="s">
        <v>554</v>
      </c>
      <c r="L113" t="s">
        <v>729</v>
      </c>
      <c r="M113" t="s">
        <v>730</v>
      </c>
      <c r="N113" t="s">
        <v>493</v>
      </c>
      <c r="O113" t="s">
        <v>278</v>
      </c>
      <c r="P113" t="s">
        <v>1352</v>
      </c>
      <c r="Q113" t="s">
        <v>1118</v>
      </c>
      <c r="R113" t="s">
        <v>1353</v>
      </c>
    </row>
    <row r="114" spans="1:18" x14ac:dyDescent="0.2">
      <c r="A114" t="s">
        <v>275</v>
      </c>
      <c r="B114" t="s">
        <v>75</v>
      </c>
      <c r="C114" t="s">
        <v>81</v>
      </c>
      <c r="D114" t="s">
        <v>665</v>
      </c>
      <c r="E114" t="s">
        <v>276</v>
      </c>
      <c r="F114" t="s">
        <v>616</v>
      </c>
      <c r="G114">
        <v>533.29999999999995</v>
      </c>
      <c r="H114" t="s">
        <v>31</v>
      </c>
      <c r="I114" t="s">
        <v>18</v>
      </c>
      <c r="J114">
        <v>1600</v>
      </c>
      <c r="K114" t="s">
        <v>554</v>
      </c>
      <c r="L114" t="s">
        <v>731</v>
      </c>
      <c r="M114" t="s">
        <v>732</v>
      </c>
      <c r="O114" t="s">
        <v>276</v>
      </c>
      <c r="P114" t="s">
        <v>1325</v>
      </c>
      <c r="Q114" t="s">
        <v>1326</v>
      </c>
      <c r="R114" t="s">
        <v>1118</v>
      </c>
    </row>
    <row r="115" spans="1:18" hidden="1" x14ac:dyDescent="0.2">
      <c r="A115" t="s">
        <v>273</v>
      </c>
      <c r="B115" t="s">
        <v>75</v>
      </c>
      <c r="C115" t="s">
        <v>78</v>
      </c>
      <c r="D115" t="s">
        <v>560</v>
      </c>
      <c r="E115" t="s">
        <v>274</v>
      </c>
      <c r="F115" t="s">
        <v>733</v>
      </c>
      <c r="G115">
        <v>42.7</v>
      </c>
      <c r="H115" t="s">
        <v>26</v>
      </c>
      <c r="I115" t="s">
        <v>14</v>
      </c>
      <c r="J115">
        <v>128</v>
      </c>
      <c r="K115" t="s">
        <v>554</v>
      </c>
      <c r="L115" t="s">
        <v>734</v>
      </c>
      <c r="M115" t="s">
        <v>735</v>
      </c>
      <c r="N115" t="s">
        <v>493</v>
      </c>
      <c r="O115" t="s">
        <v>274</v>
      </c>
      <c r="P115" t="s">
        <v>1354</v>
      </c>
      <c r="Q115" t="s">
        <v>1347</v>
      </c>
      <c r="R115" t="s">
        <v>1355</v>
      </c>
    </row>
    <row r="116" spans="1:18" x14ac:dyDescent="0.2">
      <c r="A116" t="s">
        <v>271</v>
      </c>
      <c r="B116" t="s">
        <v>75</v>
      </c>
      <c r="C116" t="s">
        <v>84</v>
      </c>
      <c r="D116" t="s">
        <v>628</v>
      </c>
      <c r="E116" t="s">
        <v>272</v>
      </c>
      <c r="F116" t="s">
        <v>578</v>
      </c>
      <c r="G116">
        <v>264</v>
      </c>
      <c r="H116" t="s">
        <v>26</v>
      </c>
      <c r="I116" t="s">
        <v>18</v>
      </c>
      <c r="J116">
        <v>792</v>
      </c>
      <c r="K116" t="s">
        <v>592</v>
      </c>
      <c r="L116" t="s">
        <v>736</v>
      </c>
      <c r="M116" t="s">
        <v>737</v>
      </c>
      <c r="O116" t="s">
        <v>272</v>
      </c>
      <c r="P116" t="s">
        <v>1151</v>
      </c>
      <c r="Q116" t="s">
        <v>1118</v>
      </c>
      <c r="R116" t="s">
        <v>1152</v>
      </c>
    </row>
    <row r="117" spans="1:18" hidden="1" x14ac:dyDescent="0.2">
      <c r="A117" t="s">
        <v>269</v>
      </c>
      <c r="B117" t="s">
        <v>63</v>
      </c>
      <c r="C117" t="s">
        <v>65</v>
      </c>
      <c r="D117" t="s">
        <v>591</v>
      </c>
      <c r="E117" t="s">
        <v>270</v>
      </c>
      <c r="F117" t="s">
        <v>656</v>
      </c>
      <c r="G117">
        <v>192</v>
      </c>
      <c r="H117" t="s">
        <v>26</v>
      </c>
      <c r="I117" t="s">
        <v>14</v>
      </c>
      <c r="J117">
        <v>576</v>
      </c>
      <c r="K117" t="s">
        <v>554</v>
      </c>
      <c r="L117" t="s">
        <v>738</v>
      </c>
      <c r="M117" t="s">
        <v>739</v>
      </c>
      <c r="N117" t="s">
        <v>493</v>
      </c>
      <c r="O117" t="s">
        <v>270</v>
      </c>
      <c r="P117" t="s">
        <v>1467</v>
      </c>
      <c r="Q117" t="s">
        <v>1118</v>
      </c>
      <c r="R117" t="s">
        <v>1468</v>
      </c>
    </row>
    <row r="118" spans="1:18" hidden="1" x14ac:dyDescent="0.2">
      <c r="A118" t="s">
        <v>267</v>
      </c>
      <c r="B118" t="s">
        <v>75</v>
      </c>
      <c r="C118" t="s">
        <v>78</v>
      </c>
      <c r="D118" t="s">
        <v>560</v>
      </c>
      <c r="E118" t="s">
        <v>268</v>
      </c>
      <c r="F118" t="s">
        <v>686</v>
      </c>
      <c r="G118">
        <v>237.3</v>
      </c>
      <c r="H118" t="s">
        <v>26</v>
      </c>
      <c r="I118" t="s">
        <v>14</v>
      </c>
      <c r="J118">
        <v>712</v>
      </c>
      <c r="K118" t="s">
        <v>554</v>
      </c>
      <c r="L118" t="s">
        <v>740</v>
      </c>
      <c r="M118" t="s">
        <v>741</v>
      </c>
      <c r="N118" t="s">
        <v>493</v>
      </c>
      <c r="O118" t="s">
        <v>268</v>
      </c>
      <c r="P118" t="s">
        <v>1356</v>
      </c>
      <c r="Q118" t="s">
        <v>1118</v>
      </c>
      <c r="R118" t="s">
        <v>1357</v>
      </c>
    </row>
    <row r="119" spans="1:18" x14ac:dyDescent="0.2">
      <c r="A119" t="s">
        <v>265</v>
      </c>
      <c r="B119" t="s">
        <v>75</v>
      </c>
      <c r="C119" t="s">
        <v>79</v>
      </c>
      <c r="D119" t="s">
        <v>742</v>
      </c>
      <c r="E119" t="s">
        <v>266</v>
      </c>
      <c r="F119" t="s">
        <v>642</v>
      </c>
      <c r="G119">
        <v>21.3</v>
      </c>
      <c r="H119" t="s">
        <v>26</v>
      </c>
      <c r="I119" t="s">
        <v>18</v>
      </c>
      <c r="J119">
        <v>64</v>
      </c>
      <c r="K119" t="s">
        <v>554</v>
      </c>
      <c r="L119" t="s">
        <v>743</v>
      </c>
      <c r="M119" t="s">
        <v>744</v>
      </c>
      <c r="O119" t="s">
        <v>266</v>
      </c>
      <c r="P119" t="s">
        <v>1450</v>
      </c>
      <c r="Q119" t="s">
        <v>1451</v>
      </c>
      <c r="R119" t="s">
        <v>1452</v>
      </c>
    </row>
    <row r="120" spans="1:18" hidden="1" x14ac:dyDescent="0.2">
      <c r="A120" t="s">
        <v>263</v>
      </c>
      <c r="B120" t="s">
        <v>66</v>
      </c>
      <c r="C120" t="s">
        <v>74</v>
      </c>
      <c r="D120" t="s">
        <v>611</v>
      </c>
      <c r="E120" t="s">
        <v>264</v>
      </c>
      <c r="F120" t="s">
        <v>672</v>
      </c>
      <c r="G120">
        <v>45.3</v>
      </c>
      <c r="H120" t="s">
        <v>26</v>
      </c>
      <c r="I120" t="s">
        <v>18</v>
      </c>
      <c r="J120">
        <v>136</v>
      </c>
      <c r="K120" t="s">
        <v>554</v>
      </c>
      <c r="L120" t="s">
        <v>745</v>
      </c>
      <c r="M120" t="s">
        <v>746</v>
      </c>
      <c r="O120" t="s">
        <v>264</v>
      </c>
      <c r="P120" t="s">
        <v>1138</v>
      </c>
      <c r="Q120" t="s">
        <v>1139</v>
      </c>
      <c r="R120" t="s">
        <v>1140</v>
      </c>
    </row>
    <row r="121" spans="1:18" hidden="1" x14ac:dyDescent="0.2">
      <c r="A121" t="s">
        <v>261</v>
      </c>
      <c r="B121" t="s">
        <v>66</v>
      </c>
      <c r="C121" t="s">
        <v>74</v>
      </c>
      <c r="D121" t="s">
        <v>611</v>
      </c>
      <c r="E121" t="s">
        <v>262</v>
      </c>
      <c r="F121" t="s">
        <v>733</v>
      </c>
      <c r="G121">
        <v>26.7</v>
      </c>
      <c r="H121" t="s">
        <v>31</v>
      </c>
      <c r="I121" t="s">
        <v>50</v>
      </c>
      <c r="J121">
        <v>80</v>
      </c>
      <c r="K121" t="s">
        <v>551</v>
      </c>
      <c r="L121" t="s">
        <v>747</v>
      </c>
      <c r="M121" t="s">
        <v>748</v>
      </c>
      <c r="N121" t="s">
        <v>512</v>
      </c>
      <c r="O121" t="s">
        <v>262</v>
      </c>
      <c r="P121" t="s">
        <v>1141</v>
      </c>
      <c r="Q121" t="s">
        <v>1119</v>
      </c>
      <c r="R121" t="s">
        <v>1142</v>
      </c>
    </row>
    <row r="122" spans="1:18" hidden="1" x14ac:dyDescent="0.2">
      <c r="A122" t="s">
        <v>259</v>
      </c>
      <c r="B122" t="s">
        <v>66</v>
      </c>
      <c r="C122" t="s">
        <v>74</v>
      </c>
      <c r="D122" t="s">
        <v>611</v>
      </c>
      <c r="E122" t="s">
        <v>260</v>
      </c>
      <c r="F122" t="s">
        <v>578</v>
      </c>
      <c r="G122">
        <v>133.30000000000001</v>
      </c>
      <c r="H122" t="s">
        <v>31</v>
      </c>
      <c r="I122" t="s">
        <v>27</v>
      </c>
      <c r="J122">
        <v>400</v>
      </c>
      <c r="K122" t="s">
        <v>554</v>
      </c>
      <c r="L122" t="s">
        <v>749</v>
      </c>
      <c r="M122" t="s">
        <v>750</v>
      </c>
      <c r="O122" t="s">
        <v>260</v>
      </c>
      <c r="P122" t="s">
        <v>1143</v>
      </c>
      <c r="Q122" t="s">
        <v>1119</v>
      </c>
      <c r="R122" t="s">
        <v>1144</v>
      </c>
    </row>
    <row r="123" spans="1:18" hidden="1" x14ac:dyDescent="0.2">
      <c r="A123" t="s">
        <v>257</v>
      </c>
      <c r="B123" t="s">
        <v>56</v>
      </c>
      <c r="C123" t="s">
        <v>60</v>
      </c>
      <c r="D123" t="s">
        <v>647</v>
      </c>
      <c r="E123" t="s">
        <v>258</v>
      </c>
      <c r="F123" t="s">
        <v>733</v>
      </c>
      <c r="G123">
        <v>10.7</v>
      </c>
      <c r="H123" t="s">
        <v>31</v>
      </c>
      <c r="I123" t="s">
        <v>50</v>
      </c>
      <c r="J123">
        <v>32</v>
      </c>
      <c r="K123" t="s">
        <v>554</v>
      </c>
      <c r="L123" t="s">
        <v>751</v>
      </c>
      <c r="M123" t="s">
        <v>752</v>
      </c>
      <c r="N123" t="s">
        <v>512</v>
      </c>
      <c r="O123" t="s">
        <v>258</v>
      </c>
      <c r="P123" t="s">
        <v>1179</v>
      </c>
      <c r="Q123" t="s">
        <v>1180</v>
      </c>
      <c r="R123" t="s">
        <v>1181</v>
      </c>
    </row>
    <row r="124" spans="1:18" hidden="1" x14ac:dyDescent="0.2">
      <c r="A124" t="s">
        <v>255</v>
      </c>
      <c r="B124" t="s">
        <v>63</v>
      </c>
      <c r="C124" t="s">
        <v>64</v>
      </c>
      <c r="D124" t="s">
        <v>679</v>
      </c>
      <c r="E124" t="s">
        <v>256</v>
      </c>
      <c r="F124" t="s">
        <v>688</v>
      </c>
      <c r="G124">
        <v>80</v>
      </c>
      <c r="H124" t="s">
        <v>26</v>
      </c>
      <c r="I124" t="s">
        <v>14</v>
      </c>
      <c r="J124">
        <v>240</v>
      </c>
      <c r="K124" t="s">
        <v>554</v>
      </c>
      <c r="L124" t="s">
        <v>753</v>
      </c>
      <c r="M124" t="s">
        <v>754</v>
      </c>
      <c r="N124" t="s">
        <v>493</v>
      </c>
      <c r="O124" t="s">
        <v>256</v>
      </c>
      <c r="P124" t="s">
        <v>1228</v>
      </c>
      <c r="Q124" t="s">
        <v>1118</v>
      </c>
      <c r="R124" t="s">
        <v>1229</v>
      </c>
    </row>
    <row r="125" spans="1:18" hidden="1" x14ac:dyDescent="0.2">
      <c r="A125" t="s">
        <v>253</v>
      </c>
      <c r="B125" t="s">
        <v>56</v>
      </c>
      <c r="C125" t="s">
        <v>60</v>
      </c>
      <c r="D125" t="s">
        <v>647</v>
      </c>
      <c r="E125" t="s">
        <v>254</v>
      </c>
      <c r="F125" t="s">
        <v>688</v>
      </c>
      <c r="G125">
        <v>213.3</v>
      </c>
      <c r="H125" t="s">
        <v>26</v>
      </c>
      <c r="I125" t="s">
        <v>14</v>
      </c>
      <c r="J125">
        <v>640</v>
      </c>
      <c r="K125" t="s">
        <v>554</v>
      </c>
      <c r="L125" t="s">
        <v>755</v>
      </c>
      <c r="M125" t="s">
        <v>756</v>
      </c>
      <c r="N125" t="s">
        <v>493</v>
      </c>
      <c r="O125" t="s">
        <v>254</v>
      </c>
      <c r="P125" t="s">
        <v>1182</v>
      </c>
      <c r="Q125" t="s">
        <v>1183</v>
      </c>
      <c r="R125" t="s">
        <v>1184</v>
      </c>
    </row>
    <row r="126" spans="1:18" hidden="1" x14ac:dyDescent="0.2">
      <c r="A126" t="s">
        <v>251</v>
      </c>
      <c r="B126" t="s">
        <v>75</v>
      </c>
      <c r="C126" t="s">
        <v>82</v>
      </c>
      <c r="D126" t="s">
        <v>594</v>
      </c>
      <c r="E126" t="s">
        <v>252</v>
      </c>
      <c r="F126" t="s">
        <v>686</v>
      </c>
      <c r="G126">
        <v>186.7</v>
      </c>
      <c r="H126" t="s">
        <v>26</v>
      </c>
      <c r="I126" t="s">
        <v>14</v>
      </c>
      <c r="J126">
        <v>560</v>
      </c>
      <c r="K126" t="s">
        <v>592</v>
      </c>
      <c r="L126" t="s">
        <v>757</v>
      </c>
      <c r="M126" t="s">
        <v>758</v>
      </c>
      <c r="N126" t="s">
        <v>493</v>
      </c>
      <c r="O126" t="s">
        <v>252</v>
      </c>
      <c r="P126" t="s">
        <v>1400</v>
      </c>
      <c r="Q126" t="s">
        <v>1401</v>
      </c>
      <c r="R126" t="s">
        <v>1401</v>
      </c>
    </row>
    <row r="127" spans="1:18" hidden="1" x14ac:dyDescent="0.2">
      <c r="A127" t="s">
        <v>249</v>
      </c>
      <c r="B127" t="s">
        <v>75</v>
      </c>
      <c r="C127" t="s">
        <v>80</v>
      </c>
      <c r="D127" t="s">
        <v>582</v>
      </c>
      <c r="E127" t="s">
        <v>250</v>
      </c>
      <c r="F127" t="s">
        <v>668</v>
      </c>
      <c r="G127">
        <v>64</v>
      </c>
      <c r="H127" t="s">
        <v>26</v>
      </c>
      <c r="I127" t="s">
        <v>14</v>
      </c>
      <c r="J127">
        <v>192</v>
      </c>
      <c r="K127" t="s">
        <v>554</v>
      </c>
      <c r="L127" t="s">
        <v>759</v>
      </c>
      <c r="M127" t="s">
        <v>760</v>
      </c>
      <c r="N127" t="s">
        <v>493</v>
      </c>
      <c r="O127" t="s">
        <v>250</v>
      </c>
      <c r="P127" t="s">
        <v>1218</v>
      </c>
      <c r="Q127" t="s">
        <v>1118</v>
      </c>
      <c r="R127" t="s">
        <v>1219</v>
      </c>
    </row>
    <row r="128" spans="1:18" hidden="1" x14ac:dyDescent="0.2">
      <c r="A128" t="s">
        <v>247</v>
      </c>
      <c r="B128" t="s">
        <v>75</v>
      </c>
      <c r="C128" t="s">
        <v>77</v>
      </c>
      <c r="D128" t="s">
        <v>548</v>
      </c>
      <c r="E128" t="s">
        <v>248</v>
      </c>
      <c r="F128" t="s">
        <v>686</v>
      </c>
      <c r="G128">
        <v>50.7</v>
      </c>
      <c r="H128" t="s">
        <v>26</v>
      </c>
      <c r="I128" t="s">
        <v>14</v>
      </c>
      <c r="J128">
        <v>152</v>
      </c>
      <c r="K128" t="s">
        <v>554</v>
      </c>
      <c r="L128" t="s">
        <v>761</v>
      </c>
      <c r="M128" t="s">
        <v>762</v>
      </c>
      <c r="N128" t="s">
        <v>493</v>
      </c>
      <c r="O128" t="s">
        <v>248</v>
      </c>
      <c r="P128" t="s">
        <v>1476</v>
      </c>
      <c r="Q128" t="s">
        <v>1118</v>
      </c>
      <c r="R128" t="s">
        <v>1477</v>
      </c>
    </row>
    <row r="129" spans="1:18" hidden="1" x14ac:dyDescent="0.2">
      <c r="A129" t="s">
        <v>245</v>
      </c>
      <c r="B129" t="s">
        <v>56</v>
      </c>
      <c r="C129" t="s">
        <v>60</v>
      </c>
      <c r="D129" t="s">
        <v>647</v>
      </c>
      <c r="E129" t="s">
        <v>246</v>
      </c>
      <c r="F129" t="s">
        <v>763</v>
      </c>
      <c r="G129">
        <v>112</v>
      </c>
      <c r="H129" t="s">
        <v>26</v>
      </c>
      <c r="I129" t="s">
        <v>14</v>
      </c>
      <c r="J129">
        <v>336</v>
      </c>
      <c r="K129" t="s">
        <v>554</v>
      </c>
      <c r="L129" t="s">
        <v>764</v>
      </c>
      <c r="M129" t="s">
        <v>765</v>
      </c>
      <c r="N129" t="s">
        <v>493</v>
      </c>
      <c r="O129" t="s">
        <v>246</v>
      </c>
      <c r="P129" t="s">
        <v>1185</v>
      </c>
      <c r="Q129" t="s">
        <v>1118</v>
      </c>
      <c r="R129" t="s">
        <v>1186</v>
      </c>
    </row>
    <row r="130" spans="1:18" hidden="1" x14ac:dyDescent="0.2">
      <c r="A130" t="s">
        <v>243</v>
      </c>
      <c r="B130" t="s">
        <v>56</v>
      </c>
      <c r="C130" t="s">
        <v>60</v>
      </c>
      <c r="D130" t="s">
        <v>647</v>
      </c>
      <c r="E130" t="s">
        <v>244</v>
      </c>
      <c r="F130" t="s">
        <v>656</v>
      </c>
      <c r="G130">
        <v>106.7</v>
      </c>
      <c r="H130" t="s">
        <v>26</v>
      </c>
      <c r="I130" t="s">
        <v>14</v>
      </c>
      <c r="J130">
        <v>320</v>
      </c>
      <c r="K130" t="s">
        <v>592</v>
      </c>
      <c r="L130" t="s">
        <v>766</v>
      </c>
      <c r="M130" t="s">
        <v>1632</v>
      </c>
      <c r="N130" t="s">
        <v>493</v>
      </c>
      <c r="O130" t="s">
        <v>244</v>
      </c>
      <c r="P130" t="s">
        <v>1187</v>
      </c>
      <c r="Q130" t="s">
        <v>1118</v>
      </c>
      <c r="R130" t="s">
        <v>1188</v>
      </c>
    </row>
    <row r="131" spans="1:18" hidden="1" x14ac:dyDescent="0.2">
      <c r="A131" t="s">
        <v>241</v>
      </c>
      <c r="B131" t="s">
        <v>66</v>
      </c>
      <c r="C131" t="s">
        <v>70</v>
      </c>
      <c r="D131" t="s">
        <v>671</v>
      </c>
      <c r="E131" t="s">
        <v>242</v>
      </c>
      <c r="F131" t="s">
        <v>763</v>
      </c>
      <c r="G131">
        <v>240.7</v>
      </c>
      <c r="H131" t="s">
        <v>26</v>
      </c>
      <c r="I131" t="s">
        <v>14</v>
      </c>
      <c r="J131">
        <v>722</v>
      </c>
      <c r="K131" t="s">
        <v>554</v>
      </c>
      <c r="L131" t="s">
        <v>767</v>
      </c>
      <c r="M131" t="s">
        <v>1631</v>
      </c>
      <c r="N131" t="s">
        <v>493</v>
      </c>
      <c r="O131" t="s">
        <v>242</v>
      </c>
      <c r="P131" t="s">
        <v>1117</v>
      </c>
      <c r="Q131" t="s">
        <v>1118</v>
      </c>
      <c r="R131" t="s">
        <v>1119</v>
      </c>
    </row>
    <row r="132" spans="1:18" hidden="1" x14ac:dyDescent="0.2">
      <c r="A132" t="s">
        <v>239</v>
      </c>
      <c r="B132" t="s">
        <v>66</v>
      </c>
      <c r="C132" t="s">
        <v>70</v>
      </c>
      <c r="D132" t="s">
        <v>671</v>
      </c>
      <c r="E132" t="s">
        <v>240</v>
      </c>
      <c r="F132" t="s">
        <v>763</v>
      </c>
      <c r="G132">
        <v>127.3</v>
      </c>
      <c r="H132" t="s">
        <v>26</v>
      </c>
      <c r="I132" t="s">
        <v>14</v>
      </c>
      <c r="J132">
        <v>382</v>
      </c>
      <c r="K132" t="s">
        <v>554</v>
      </c>
      <c r="L132" t="s">
        <v>768</v>
      </c>
      <c r="M132" t="s">
        <v>769</v>
      </c>
      <c r="N132" t="s">
        <v>493</v>
      </c>
      <c r="O132" t="s">
        <v>240</v>
      </c>
      <c r="P132" t="s">
        <v>1120</v>
      </c>
      <c r="Q132" t="s">
        <v>1121</v>
      </c>
      <c r="R132" t="s">
        <v>1119</v>
      </c>
    </row>
    <row r="133" spans="1:18" hidden="1" x14ac:dyDescent="0.2">
      <c r="A133" t="s">
        <v>237</v>
      </c>
      <c r="B133" t="s">
        <v>66</v>
      </c>
      <c r="C133" t="s">
        <v>70</v>
      </c>
      <c r="D133" t="s">
        <v>671</v>
      </c>
      <c r="E133" t="s">
        <v>238</v>
      </c>
      <c r="F133" t="s">
        <v>763</v>
      </c>
      <c r="G133">
        <v>20</v>
      </c>
      <c r="H133" t="s">
        <v>26</v>
      </c>
      <c r="I133" t="s">
        <v>14</v>
      </c>
      <c r="J133">
        <v>60</v>
      </c>
      <c r="K133" t="s">
        <v>554</v>
      </c>
      <c r="L133" t="s">
        <v>770</v>
      </c>
      <c r="M133" t="s">
        <v>771</v>
      </c>
      <c r="N133" t="s">
        <v>493</v>
      </c>
      <c r="O133" t="s">
        <v>238</v>
      </c>
      <c r="P133" t="s">
        <v>1122</v>
      </c>
      <c r="Q133" t="s">
        <v>1121</v>
      </c>
      <c r="R133" t="s">
        <v>1119</v>
      </c>
    </row>
    <row r="134" spans="1:18" hidden="1" x14ac:dyDescent="0.2">
      <c r="A134" t="s">
        <v>235</v>
      </c>
      <c r="B134" t="s">
        <v>63</v>
      </c>
      <c r="C134" t="s">
        <v>64</v>
      </c>
      <c r="D134" t="s">
        <v>679</v>
      </c>
      <c r="E134" t="s">
        <v>236</v>
      </c>
      <c r="F134" t="s">
        <v>686</v>
      </c>
      <c r="G134">
        <v>160</v>
      </c>
      <c r="H134" t="s">
        <v>26</v>
      </c>
      <c r="I134" t="s">
        <v>14</v>
      </c>
      <c r="J134">
        <v>480</v>
      </c>
      <c r="K134" t="s">
        <v>554</v>
      </c>
      <c r="L134" t="s">
        <v>772</v>
      </c>
      <c r="M134" t="s">
        <v>773</v>
      </c>
      <c r="N134" t="s">
        <v>493</v>
      </c>
      <c r="O134" t="s">
        <v>236</v>
      </c>
      <c r="P134" t="s">
        <v>1230</v>
      </c>
      <c r="Q134" t="s">
        <v>1118</v>
      </c>
      <c r="R134" t="s">
        <v>1231</v>
      </c>
    </row>
    <row r="135" spans="1:18" hidden="1" x14ac:dyDescent="0.2">
      <c r="A135" t="s">
        <v>233</v>
      </c>
      <c r="D135" t="s">
        <v>692</v>
      </c>
      <c r="E135" t="s">
        <v>234</v>
      </c>
      <c r="F135" t="s">
        <v>578</v>
      </c>
      <c r="G135">
        <v>213.3</v>
      </c>
      <c r="H135" t="s">
        <v>31</v>
      </c>
      <c r="I135" t="s">
        <v>18</v>
      </c>
      <c r="J135">
        <v>640</v>
      </c>
      <c r="K135" t="s">
        <v>554</v>
      </c>
      <c r="L135" t="s">
        <v>774</v>
      </c>
      <c r="M135" t="s">
        <v>1606</v>
      </c>
      <c r="O135" t="s">
        <v>234</v>
      </c>
      <c r="P135" t="s">
        <v>1630</v>
      </c>
      <c r="Q135" t="s">
        <v>1119</v>
      </c>
      <c r="R135" t="s">
        <v>1119</v>
      </c>
    </row>
    <row r="136" spans="1:18" hidden="1" x14ac:dyDescent="0.2">
      <c r="A136" t="s">
        <v>231</v>
      </c>
      <c r="B136" t="s">
        <v>53</v>
      </c>
      <c r="C136" t="s">
        <v>55</v>
      </c>
      <c r="D136" t="s">
        <v>775</v>
      </c>
      <c r="E136" t="s">
        <v>232</v>
      </c>
      <c r="F136" t="s">
        <v>549</v>
      </c>
      <c r="G136">
        <v>1333.3</v>
      </c>
      <c r="H136" t="s">
        <v>26</v>
      </c>
      <c r="I136" t="s">
        <v>51</v>
      </c>
      <c r="J136">
        <v>4000</v>
      </c>
      <c r="K136" t="s">
        <v>551</v>
      </c>
      <c r="L136" t="s">
        <v>776</v>
      </c>
      <c r="M136" t="s">
        <v>777</v>
      </c>
      <c r="O136" t="s">
        <v>232</v>
      </c>
      <c r="P136" t="s">
        <v>1446</v>
      </c>
      <c r="Q136" t="s">
        <v>1118</v>
      </c>
      <c r="R136" t="s">
        <v>1118</v>
      </c>
    </row>
    <row r="137" spans="1:18" hidden="1" x14ac:dyDescent="0.2">
      <c r="A137" t="s">
        <v>229</v>
      </c>
      <c r="B137" t="s">
        <v>56</v>
      </c>
      <c r="C137" t="s">
        <v>58</v>
      </c>
      <c r="D137" t="s">
        <v>536</v>
      </c>
      <c r="E137" t="s">
        <v>230</v>
      </c>
      <c r="F137" t="s">
        <v>549</v>
      </c>
      <c r="G137">
        <v>433.3</v>
      </c>
      <c r="H137" t="s">
        <v>26</v>
      </c>
      <c r="I137" t="s">
        <v>51</v>
      </c>
      <c r="J137">
        <v>1300</v>
      </c>
      <c r="K137" t="s">
        <v>551</v>
      </c>
      <c r="L137" t="s">
        <v>778</v>
      </c>
      <c r="M137" t="s">
        <v>779</v>
      </c>
      <c r="O137" t="s">
        <v>230</v>
      </c>
      <c r="P137" t="s">
        <v>1470</v>
      </c>
      <c r="Q137" t="s">
        <v>1118</v>
      </c>
      <c r="R137" t="s">
        <v>1118</v>
      </c>
    </row>
    <row r="138" spans="1:18" hidden="1" x14ac:dyDescent="0.2">
      <c r="A138" t="s">
        <v>227</v>
      </c>
      <c r="B138" t="s">
        <v>63</v>
      </c>
      <c r="C138" t="s">
        <v>64</v>
      </c>
      <c r="D138" t="s">
        <v>679</v>
      </c>
      <c r="E138" t="s">
        <v>228</v>
      </c>
      <c r="F138" t="s">
        <v>688</v>
      </c>
      <c r="G138">
        <v>106.7</v>
      </c>
      <c r="H138" t="s">
        <v>26</v>
      </c>
      <c r="I138" t="s">
        <v>14</v>
      </c>
      <c r="J138">
        <v>320</v>
      </c>
      <c r="K138" t="s">
        <v>554</v>
      </c>
      <c r="L138" t="s">
        <v>780</v>
      </c>
      <c r="M138" t="s">
        <v>781</v>
      </c>
      <c r="N138" t="s">
        <v>493</v>
      </c>
      <c r="O138" t="s">
        <v>228</v>
      </c>
      <c r="P138" t="s">
        <v>1232</v>
      </c>
      <c r="Q138" t="s">
        <v>1118</v>
      </c>
      <c r="R138" t="s">
        <v>1233</v>
      </c>
    </row>
    <row r="139" spans="1:18" hidden="1" x14ac:dyDescent="0.2">
      <c r="A139" t="s">
        <v>225</v>
      </c>
      <c r="B139" t="s">
        <v>75</v>
      </c>
      <c r="C139" t="s">
        <v>76</v>
      </c>
      <c r="D139" t="s">
        <v>566</v>
      </c>
      <c r="E139" t="s">
        <v>226</v>
      </c>
      <c r="F139" t="s">
        <v>549</v>
      </c>
      <c r="G139">
        <v>160</v>
      </c>
      <c r="H139" t="s">
        <v>31</v>
      </c>
      <c r="I139" t="s">
        <v>14</v>
      </c>
      <c r="J139">
        <v>480</v>
      </c>
      <c r="K139" t="s">
        <v>554</v>
      </c>
      <c r="L139" t="s">
        <v>782</v>
      </c>
      <c r="M139" t="s">
        <v>1629</v>
      </c>
      <c r="N139" t="s">
        <v>493</v>
      </c>
      <c r="O139" t="s">
        <v>226</v>
      </c>
      <c r="P139" t="s">
        <v>1494</v>
      </c>
      <c r="Q139" t="s">
        <v>1495</v>
      </c>
      <c r="R139" t="s">
        <v>1496</v>
      </c>
    </row>
    <row r="140" spans="1:18" x14ac:dyDescent="0.2">
      <c r="A140" t="s">
        <v>223</v>
      </c>
      <c r="B140" t="s">
        <v>75</v>
      </c>
      <c r="C140" t="s">
        <v>78</v>
      </c>
      <c r="D140" t="s">
        <v>560</v>
      </c>
      <c r="E140" t="s">
        <v>224</v>
      </c>
      <c r="F140" t="s">
        <v>672</v>
      </c>
      <c r="G140">
        <v>133.30000000000001</v>
      </c>
      <c r="H140" t="s">
        <v>31</v>
      </c>
      <c r="I140" t="s">
        <v>18</v>
      </c>
      <c r="J140">
        <v>400</v>
      </c>
      <c r="K140" t="s">
        <v>554</v>
      </c>
      <c r="L140" t="s">
        <v>783</v>
      </c>
      <c r="M140" t="s">
        <v>784</v>
      </c>
      <c r="O140" t="s">
        <v>224</v>
      </c>
      <c r="P140" t="s">
        <v>1358</v>
      </c>
      <c r="Q140" t="s">
        <v>1118</v>
      </c>
      <c r="R140" t="s">
        <v>1328</v>
      </c>
    </row>
    <row r="141" spans="1:18" hidden="1" x14ac:dyDescent="0.2">
      <c r="A141" t="s">
        <v>221</v>
      </c>
      <c r="B141" t="s">
        <v>75</v>
      </c>
      <c r="C141" t="s">
        <v>78</v>
      </c>
      <c r="D141" t="s">
        <v>560</v>
      </c>
      <c r="E141" t="s">
        <v>222</v>
      </c>
      <c r="F141" t="s">
        <v>549</v>
      </c>
      <c r="G141">
        <v>46.7</v>
      </c>
      <c r="H141" t="s">
        <v>31</v>
      </c>
      <c r="I141" t="s">
        <v>51</v>
      </c>
      <c r="J141">
        <v>140</v>
      </c>
      <c r="K141" t="s">
        <v>551</v>
      </c>
      <c r="L141" t="s">
        <v>785</v>
      </c>
      <c r="M141" t="s">
        <v>786</v>
      </c>
      <c r="O141" t="s">
        <v>222</v>
      </c>
      <c r="P141" t="s">
        <v>1359</v>
      </c>
      <c r="Q141" t="s">
        <v>1118</v>
      </c>
      <c r="R141" t="s">
        <v>1119</v>
      </c>
    </row>
    <row r="142" spans="1:18" hidden="1" x14ac:dyDescent="0.2">
      <c r="A142" t="s">
        <v>219</v>
      </c>
      <c r="B142" t="s">
        <v>75</v>
      </c>
      <c r="C142" t="s">
        <v>78</v>
      </c>
      <c r="D142" t="s">
        <v>560</v>
      </c>
      <c r="E142" t="s">
        <v>220</v>
      </c>
      <c r="F142" t="s">
        <v>656</v>
      </c>
      <c r="G142">
        <v>140</v>
      </c>
      <c r="H142" t="s">
        <v>31</v>
      </c>
      <c r="I142" t="s">
        <v>14</v>
      </c>
      <c r="J142">
        <v>420</v>
      </c>
      <c r="K142" t="s">
        <v>551</v>
      </c>
      <c r="L142" t="s">
        <v>787</v>
      </c>
      <c r="M142" t="s">
        <v>1617</v>
      </c>
      <c r="N142" t="s">
        <v>493</v>
      </c>
      <c r="O142" t="s">
        <v>220</v>
      </c>
      <c r="P142" t="s">
        <v>1360</v>
      </c>
      <c r="Q142" t="s">
        <v>1361</v>
      </c>
      <c r="R142" t="s">
        <v>1328</v>
      </c>
    </row>
    <row r="143" spans="1:18" hidden="1" x14ac:dyDescent="0.2">
      <c r="A143" t="s">
        <v>217</v>
      </c>
      <c r="B143" t="s">
        <v>75</v>
      </c>
      <c r="C143" t="s">
        <v>84</v>
      </c>
      <c r="D143" t="s">
        <v>628</v>
      </c>
      <c r="E143" t="s">
        <v>218</v>
      </c>
      <c r="F143" t="s">
        <v>549</v>
      </c>
      <c r="G143">
        <v>140</v>
      </c>
      <c r="H143" t="s">
        <v>31</v>
      </c>
      <c r="I143" t="s">
        <v>51</v>
      </c>
      <c r="J143">
        <v>420</v>
      </c>
      <c r="K143" t="s">
        <v>551</v>
      </c>
      <c r="L143" t="s">
        <v>788</v>
      </c>
      <c r="M143" t="s">
        <v>789</v>
      </c>
      <c r="O143" t="s">
        <v>218</v>
      </c>
      <c r="P143" t="s">
        <v>1153</v>
      </c>
      <c r="Q143" t="s">
        <v>1118</v>
      </c>
      <c r="R143" t="s">
        <v>1154</v>
      </c>
    </row>
    <row r="144" spans="1:18" hidden="1" x14ac:dyDescent="0.2">
      <c r="A144" t="s">
        <v>215</v>
      </c>
      <c r="B144" t="s">
        <v>75</v>
      </c>
      <c r="C144" t="s">
        <v>78</v>
      </c>
      <c r="D144" t="s">
        <v>560</v>
      </c>
      <c r="E144" t="s">
        <v>216</v>
      </c>
      <c r="F144" t="s">
        <v>549</v>
      </c>
      <c r="G144">
        <v>140</v>
      </c>
      <c r="H144" t="s">
        <v>31</v>
      </c>
      <c r="I144" t="s">
        <v>51</v>
      </c>
      <c r="J144">
        <v>420</v>
      </c>
      <c r="K144" t="s">
        <v>551</v>
      </c>
      <c r="L144" t="s">
        <v>790</v>
      </c>
      <c r="M144" t="s">
        <v>789</v>
      </c>
      <c r="O144" t="s">
        <v>216</v>
      </c>
      <c r="P144" t="s">
        <v>1362</v>
      </c>
      <c r="Q144" t="s">
        <v>1118</v>
      </c>
      <c r="R144" t="s">
        <v>1328</v>
      </c>
    </row>
    <row r="145" spans="1:18" hidden="1" x14ac:dyDescent="0.2">
      <c r="A145" t="s">
        <v>213</v>
      </c>
      <c r="B145" t="s">
        <v>75</v>
      </c>
      <c r="C145" t="s">
        <v>78</v>
      </c>
      <c r="D145" t="s">
        <v>560</v>
      </c>
      <c r="E145" t="s">
        <v>214</v>
      </c>
      <c r="F145" t="s">
        <v>549</v>
      </c>
      <c r="G145">
        <v>140</v>
      </c>
      <c r="H145" t="s">
        <v>31</v>
      </c>
      <c r="I145" t="s">
        <v>51</v>
      </c>
      <c r="J145">
        <v>420</v>
      </c>
      <c r="K145" t="s">
        <v>551</v>
      </c>
      <c r="L145" t="s">
        <v>791</v>
      </c>
      <c r="M145" t="s">
        <v>789</v>
      </c>
      <c r="O145" t="s">
        <v>214</v>
      </c>
      <c r="P145" t="s">
        <v>1363</v>
      </c>
      <c r="Q145" t="s">
        <v>1118</v>
      </c>
      <c r="R145" t="s">
        <v>1119</v>
      </c>
    </row>
    <row r="146" spans="1:18" hidden="1" x14ac:dyDescent="0.2">
      <c r="A146" t="s">
        <v>211</v>
      </c>
      <c r="B146" t="s">
        <v>75</v>
      </c>
      <c r="C146" t="s">
        <v>85</v>
      </c>
      <c r="D146" t="s">
        <v>553</v>
      </c>
      <c r="E146" t="s">
        <v>212</v>
      </c>
      <c r="F146" t="s">
        <v>549</v>
      </c>
      <c r="G146">
        <v>106.7</v>
      </c>
      <c r="H146" t="s">
        <v>31</v>
      </c>
      <c r="I146" t="s">
        <v>27</v>
      </c>
      <c r="J146">
        <v>320</v>
      </c>
      <c r="K146" t="s">
        <v>554</v>
      </c>
      <c r="L146" t="s">
        <v>792</v>
      </c>
      <c r="M146" t="s">
        <v>793</v>
      </c>
      <c r="O146" t="s">
        <v>212</v>
      </c>
      <c r="P146" t="s">
        <v>1266</v>
      </c>
      <c r="Q146" t="s">
        <v>1267</v>
      </c>
      <c r="R146" t="s">
        <v>1268</v>
      </c>
    </row>
    <row r="147" spans="1:18" hidden="1" x14ac:dyDescent="0.2">
      <c r="A147" t="s">
        <v>209</v>
      </c>
      <c r="B147" t="s">
        <v>75</v>
      </c>
      <c r="C147" t="s">
        <v>78</v>
      </c>
      <c r="D147" t="s">
        <v>560</v>
      </c>
      <c r="E147" t="s">
        <v>210</v>
      </c>
      <c r="F147" t="s">
        <v>549</v>
      </c>
      <c r="G147">
        <v>266.7</v>
      </c>
      <c r="H147" t="s">
        <v>31</v>
      </c>
      <c r="I147" t="s">
        <v>51</v>
      </c>
      <c r="J147">
        <v>800</v>
      </c>
      <c r="K147" t="s">
        <v>551</v>
      </c>
      <c r="L147" t="s">
        <v>794</v>
      </c>
      <c r="M147" t="s">
        <v>795</v>
      </c>
      <c r="O147" t="s">
        <v>210</v>
      </c>
      <c r="P147" t="s">
        <v>1364</v>
      </c>
      <c r="Q147" t="s">
        <v>1365</v>
      </c>
      <c r="R147" t="s">
        <v>1118</v>
      </c>
    </row>
    <row r="148" spans="1:18" hidden="1" x14ac:dyDescent="0.2">
      <c r="A148" t="s">
        <v>207</v>
      </c>
      <c r="B148" t="s">
        <v>75</v>
      </c>
      <c r="C148" t="s">
        <v>78</v>
      </c>
      <c r="D148" t="s">
        <v>560</v>
      </c>
      <c r="E148" t="s">
        <v>208</v>
      </c>
      <c r="F148" t="s">
        <v>549</v>
      </c>
      <c r="G148">
        <v>266.7</v>
      </c>
      <c r="H148" t="s">
        <v>31</v>
      </c>
      <c r="I148" t="s">
        <v>51</v>
      </c>
      <c r="J148">
        <v>800</v>
      </c>
      <c r="K148" t="s">
        <v>551</v>
      </c>
      <c r="L148" t="s">
        <v>796</v>
      </c>
      <c r="M148" t="s">
        <v>795</v>
      </c>
      <c r="O148" t="s">
        <v>208</v>
      </c>
      <c r="P148" t="s">
        <v>1366</v>
      </c>
      <c r="Q148" t="s">
        <v>1367</v>
      </c>
      <c r="R148" t="s">
        <v>1118</v>
      </c>
    </row>
    <row r="149" spans="1:18" hidden="1" x14ac:dyDescent="0.2">
      <c r="A149" t="s">
        <v>205</v>
      </c>
      <c r="D149" t="s">
        <v>692</v>
      </c>
      <c r="E149" t="s">
        <v>206</v>
      </c>
      <c r="F149" t="s">
        <v>693</v>
      </c>
      <c r="G149">
        <v>466.7</v>
      </c>
      <c r="H149" t="s">
        <v>31</v>
      </c>
      <c r="I149" t="s">
        <v>18</v>
      </c>
      <c r="J149">
        <v>1400</v>
      </c>
      <c r="K149" t="s">
        <v>554</v>
      </c>
      <c r="L149" t="s">
        <v>797</v>
      </c>
      <c r="M149" t="s">
        <v>798</v>
      </c>
      <c r="O149" t="s">
        <v>206</v>
      </c>
      <c r="P149" t="s">
        <v>1385</v>
      </c>
      <c r="Q149" t="s">
        <v>1119</v>
      </c>
      <c r="R149" t="s">
        <v>1616</v>
      </c>
    </row>
    <row r="150" spans="1:18" hidden="1" x14ac:dyDescent="0.2">
      <c r="A150" t="s">
        <v>1564</v>
      </c>
      <c r="D150" t="s">
        <v>1045</v>
      </c>
      <c r="E150" t="s">
        <v>1565</v>
      </c>
      <c r="F150" t="s">
        <v>573</v>
      </c>
      <c r="G150">
        <v>533.29999999999995</v>
      </c>
      <c r="H150" t="s">
        <v>31</v>
      </c>
      <c r="I150" t="s">
        <v>51</v>
      </c>
      <c r="J150">
        <v>1600</v>
      </c>
      <c r="K150" t="s">
        <v>551</v>
      </c>
      <c r="L150" t="s">
        <v>1566</v>
      </c>
      <c r="M150" t="s">
        <v>1560</v>
      </c>
    </row>
    <row r="151" spans="1:18" hidden="1" x14ac:dyDescent="0.2">
      <c r="A151" t="s">
        <v>1561</v>
      </c>
      <c r="D151" t="s">
        <v>1045</v>
      </c>
      <c r="E151" t="s">
        <v>1562</v>
      </c>
      <c r="F151" t="s">
        <v>549</v>
      </c>
      <c r="G151">
        <v>800</v>
      </c>
      <c r="H151" t="s">
        <v>31</v>
      </c>
      <c r="I151" t="s">
        <v>51</v>
      </c>
      <c r="J151">
        <v>2400</v>
      </c>
      <c r="K151" t="s">
        <v>551</v>
      </c>
      <c r="L151" t="s">
        <v>1563</v>
      </c>
      <c r="M151" t="s">
        <v>1560</v>
      </c>
    </row>
    <row r="152" spans="1:18" hidden="1" x14ac:dyDescent="0.2">
      <c r="A152" t="s">
        <v>1557</v>
      </c>
      <c r="D152" t="s">
        <v>1045</v>
      </c>
      <c r="E152" t="s">
        <v>1558</v>
      </c>
      <c r="F152" t="s">
        <v>693</v>
      </c>
      <c r="G152">
        <v>0.3</v>
      </c>
      <c r="H152" t="s">
        <v>31</v>
      </c>
      <c r="I152" t="s">
        <v>51</v>
      </c>
      <c r="J152">
        <v>0.8833333333333333</v>
      </c>
      <c r="K152" t="s">
        <v>551</v>
      </c>
      <c r="L152" t="s">
        <v>1559</v>
      </c>
      <c r="M152" t="s">
        <v>1560</v>
      </c>
    </row>
    <row r="153" spans="1:18" hidden="1" x14ac:dyDescent="0.2">
      <c r="A153" t="s">
        <v>203</v>
      </c>
      <c r="B153" t="s">
        <v>75</v>
      </c>
      <c r="C153" t="s">
        <v>78</v>
      </c>
      <c r="D153" t="s">
        <v>560</v>
      </c>
      <c r="E153" t="s">
        <v>204</v>
      </c>
      <c r="F153" t="s">
        <v>549</v>
      </c>
      <c r="G153">
        <v>4266.7</v>
      </c>
      <c r="H153" t="s">
        <v>26</v>
      </c>
      <c r="I153" t="s">
        <v>27</v>
      </c>
      <c r="J153">
        <v>12800</v>
      </c>
      <c r="K153" t="s">
        <v>551</v>
      </c>
      <c r="L153" t="s">
        <v>799</v>
      </c>
      <c r="M153" t="s">
        <v>800</v>
      </c>
      <c r="O153" t="s">
        <v>204</v>
      </c>
      <c r="P153" t="s">
        <v>1368</v>
      </c>
      <c r="Q153" t="s">
        <v>1369</v>
      </c>
      <c r="R153" t="s">
        <v>1605</v>
      </c>
    </row>
    <row r="154" spans="1:18" hidden="1" x14ac:dyDescent="0.2">
      <c r="A154" t="s">
        <v>1553</v>
      </c>
      <c r="D154" t="s">
        <v>1035</v>
      </c>
      <c r="E154" t="s">
        <v>1554</v>
      </c>
      <c r="F154" t="s">
        <v>549</v>
      </c>
      <c r="G154">
        <v>266.7</v>
      </c>
      <c r="H154" t="s">
        <v>31</v>
      </c>
      <c r="I154" t="s">
        <v>51</v>
      </c>
      <c r="J154">
        <v>800</v>
      </c>
      <c r="K154" t="s">
        <v>551</v>
      </c>
      <c r="L154" t="s">
        <v>1555</v>
      </c>
      <c r="M154" t="s">
        <v>1556</v>
      </c>
    </row>
    <row r="155" spans="1:18" hidden="1" x14ac:dyDescent="0.2">
      <c r="A155" t="s">
        <v>1549</v>
      </c>
      <c r="D155" t="s">
        <v>1035</v>
      </c>
      <c r="E155" t="s">
        <v>1550</v>
      </c>
      <c r="F155" t="s">
        <v>549</v>
      </c>
      <c r="G155">
        <v>433.3</v>
      </c>
      <c r="H155" t="s">
        <v>31</v>
      </c>
      <c r="I155" t="s">
        <v>51</v>
      </c>
      <c r="J155">
        <v>1300</v>
      </c>
      <c r="K155" t="s">
        <v>551</v>
      </c>
      <c r="L155" t="s">
        <v>1551</v>
      </c>
      <c r="M155" t="s">
        <v>1552</v>
      </c>
    </row>
    <row r="156" spans="1:18" hidden="1" x14ac:dyDescent="0.2">
      <c r="A156" t="s">
        <v>201</v>
      </c>
      <c r="B156" t="s">
        <v>75</v>
      </c>
      <c r="C156" t="s">
        <v>78</v>
      </c>
      <c r="D156" t="s">
        <v>560</v>
      </c>
      <c r="E156" t="s">
        <v>202</v>
      </c>
      <c r="F156" t="s">
        <v>656</v>
      </c>
      <c r="G156">
        <v>42.7</v>
      </c>
      <c r="H156" t="s">
        <v>31</v>
      </c>
      <c r="I156" t="s">
        <v>14</v>
      </c>
      <c r="J156">
        <v>128</v>
      </c>
      <c r="K156" t="s">
        <v>554</v>
      </c>
      <c r="L156" t="s">
        <v>801</v>
      </c>
      <c r="M156" t="s">
        <v>1628</v>
      </c>
      <c r="N156" t="s">
        <v>493</v>
      </c>
      <c r="O156" t="s">
        <v>202</v>
      </c>
      <c r="P156" t="s">
        <v>1371</v>
      </c>
      <c r="Q156" t="s">
        <v>1372</v>
      </c>
      <c r="R156" t="s">
        <v>1373</v>
      </c>
    </row>
    <row r="157" spans="1:18" hidden="1" x14ac:dyDescent="0.2">
      <c r="A157" t="s">
        <v>197</v>
      </c>
      <c r="B157" t="s">
        <v>75</v>
      </c>
      <c r="C157" t="s">
        <v>76</v>
      </c>
      <c r="D157" t="s">
        <v>566</v>
      </c>
      <c r="E157" t="s">
        <v>198</v>
      </c>
      <c r="F157" t="s">
        <v>549</v>
      </c>
      <c r="G157">
        <v>133.30000000000001</v>
      </c>
      <c r="H157" t="s">
        <v>31</v>
      </c>
      <c r="I157" t="s">
        <v>51</v>
      </c>
      <c r="J157">
        <v>400</v>
      </c>
      <c r="K157" t="s">
        <v>551</v>
      </c>
      <c r="L157" t="s">
        <v>802</v>
      </c>
      <c r="M157" t="s">
        <v>489</v>
      </c>
      <c r="O157" t="s">
        <v>198</v>
      </c>
      <c r="P157" t="s">
        <v>1118</v>
      </c>
      <c r="Q157" t="s">
        <v>1118</v>
      </c>
      <c r="R157" t="s">
        <v>1118</v>
      </c>
    </row>
    <row r="158" spans="1:18" hidden="1" x14ac:dyDescent="0.2">
      <c r="A158" t="s">
        <v>195</v>
      </c>
      <c r="B158" t="s">
        <v>75</v>
      </c>
      <c r="C158" t="s">
        <v>85</v>
      </c>
      <c r="D158" t="s">
        <v>553</v>
      </c>
      <c r="E158" t="s">
        <v>196</v>
      </c>
      <c r="F158" t="s">
        <v>549</v>
      </c>
      <c r="G158">
        <v>266.7</v>
      </c>
      <c r="H158" t="s">
        <v>26</v>
      </c>
      <c r="I158" t="s">
        <v>27</v>
      </c>
      <c r="J158">
        <v>800</v>
      </c>
      <c r="K158" t="s">
        <v>551</v>
      </c>
      <c r="L158" t="s">
        <v>803</v>
      </c>
      <c r="M158" t="s">
        <v>804</v>
      </c>
      <c r="O158" t="s">
        <v>196</v>
      </c>
      <c r="P158" t="s">
        <v>1269</v>
      </c>
      <c r="Q158" t="s">
        <v>1118</v>
      </c>
      <c r="R158" t="s">
        <v>1118</v>
      </c>
    </row>
    <row r="159" spans="1:18" hidden="1" x14ac:dyDescent="0.2">
      <c r="A159" t="s">
        <v>193</v>
      </c>
      <c r="B159" t="s">
        <v>66</v>
      </c>
      <c r="C159" t="s">
        <v>74</v>
      </c>
      <c r="D159" t="s">
        <v>611</v>
      </c>
      <c r="E159" t="s">
        <v>194</v>
      </c>
      <c r="F159" t="s">
        <v>549</v>
      </c>
      <c r="G159">
        <v>80</v>
      </c>
      <c r="H159" t="s">
        <v>26</v>
      </c>
      <c r="I159" t="s">
        <v>27</v>
      </c>
      <c r="J159">
        <v>240</v>
      </c>
      <c r="K159" t="s">
        <v>551</v>
      </c>
      <c r="L159" t="s">
        <v>805</v>
      </c>
      <c r="M159" t="s">
        <v>806</v>
      </c>
      <c r="O159" t="s">
        <v>194</v>
      </c>
      <c r="P159" t="s">
        <v>1145</v>
      </c>
      <c r="Q159" t="s">
        <v>1118</v>
      </c>
      <c r="R159" t="s">
        <v>1118</v>
      </c>
    </row>
    <row r="160" spans="1:18" hidden="1" x14ac:dyDescent="0.2">
      <c r="A160" t="s">
        <v>191</v>
      </c>
      <c r="B160" t="s">
        <v>66</v>
      </c>
      <c r="C160" t="s">
        <v>69</v>
      </c>
      <c r="D160" t="s">
        <v>534</v>
      </c>
      <c r="E160" t="s">
        <v>192</v>
      </c>
      <c r="F160" t="s">
        <v>549</v>
      </c>
      <c r="G160">
        <v>266.7</v>
      </c>
      <c r="H160" t="s">
        <v>26</v>
      </c>
      <c r="I160" t="s">
        <v>27</v>
      </c>
      <c r="J160">
        <v>800</v>
      </c>
      <c r="K160" t="s">
        <v>551</v>
      </c>
      <c r="L160" t="s">
        <v>807</v>
      </c>
      <c r="M160" t="s">
        <v>808</v>
      </c>
      <c r="O160" t="s">
        <v>192</v>
      </c>
      <c r="P160" t="s">
        <v>1448</v>
      </c>
      <c r="Q160" t="s">
        <v>1118</v>
      </c>
      <c r="R160" t="s">
        <v>1118</v>
      </c>
    </row>
    <row r="161" spans="1:18" hidden="1" x14ac:dyDescent="0.2">
      <c r="A161" t="s">
        <v>189</v>
      </c>
      <c r="B161" t="s">
        <v>66</v>
      </c>
      <c r="C161" t="s">
        <v>71</v>
      </c>
      <c r="D161" t="s">
        <v>625</v>
      </c>
      <c r="E161" t="s">
        <v>190</v>
      </c>
      <c r="F161" t="s">
        <v>656</v>
      </c>
      <c r="G161">
        <v>320</v>
      </c>
      <c r="H161" t="s">
        <v>26</v>
      </c>
      <c r="I161" t="s">
        <v>14</v>
      </c>
      <c r="J161">
        <v>960</v>
      </c>
      <c r="K161" t="s">
        <v>554</v>
      </c>
      <c r="L161" t="s">
        <v>809</v>
      </c>
      <c r="M161" t="s">
        <v>1548</v>
      </c>
      <c r="N161" t="s">
        <v>493</v>
      </c>
      <c r="O161" t="s">
        <v>190</v>
      </c>
      <c r="P161" t="s">
        <v>1443</v>
      </c>
      <c r="Q161" t="s">
        <v>1118</v>
      </c>
      <c r="R161" t="s">
        <v>1444</v>
      </c>
    </row>
    <row r="162" spans="1:18" hidden="1" x14ac:dyDescent="0.2">
      <c r="A162" t="s">
        <v>187</v>
      </c>
      <c r="B162" t="s">
        <v>66</v>
      </c>
      <c r="C162" t="s">
        <v>67</v>
      </c>
      <c r="D162" t="s">
        <v>810</v>
      </c>
      <c r="E162" t="s">
        <v>188</v>
      </c>
      <c r="F162" t="s">
        <v>549</v>
      </c>
      <c r="G162">
        <v>140</v>
      </c>
      <c r="H162" t="s">
        <v>26</v>
      </c>
      <c r="I162" t="s">
        <v>51</v>
      </c>
      <c r="J162">
        <v>420</v>
      </c>
      <c r="K162" t="s">
        <v>551</v>
      </c>
      <c r="L162" t="s">
        <v>811</v>
      </c>
      <c r="M162" t="s">
        <v>812</v>
      </c>
      <c r="O162" t="s">
        <v>188</v>
      </c>
      <c r="P162" t="s">
        <v>1163</v>
      </c>
      <c r="Q162" t="s">
        <v>1118</v>
      </c>
      <c r="R162" t="s">
        <v>1118</v>
      </c>
    </row>
    <row r="163" spans="1:18" hidden="1" x14ac:dyDescent="0.2">
      <c r="A163" t="s">
        <v>185</v>
      </c>
      <c r="B163" t="s">
        <v>75</v>
      </c>
      <c r="C163" t="s">
        <v>80</v>
      </c>
      <c r="D163" t="s">
        <v>582</v>
      </c>
      <c r="E163" t="s">
        <v>186</v>
      </c>
      <c r="F163" t="s">
        <v>578</v>
      </c>
      <c r="G163">
        <v>128</v>
      </c>
      <c r="H163" t="s">
        <v>31</v>
      </c>
      <c r="I163" t="s">
        <v>27</v>
      </c>
      <c r="J163">
        <v>384</v>
      </c>
      <c r="K163" t="s">
        <v>554</v>
      </c>
      <c r="L163" t="s">
        <v>813</v>
      </c>
      <c r="M163" t="s">
        <v>814</v>
      </c>
      <c r="O163" t="s">
        <v>186</v>
      </c>
      <c r="P163" t="s">
        <v>1220</v>
      </c>
      <c r="Q163" t="s">
        <v>1118</v>
      </c>
      <c r="R163" t="s">
        <v>1221</v>
      </c>
    </row>
    <row r="164" spans="1:18" hidden="1" x14ac:dyDescent="0.2">
      <c r="A164" t="s">
        <v>183</v>
      </c>
      <c r="B164" t="s">
        <v>75</v>
      </c>
      <c r="C164" t="s">
        <v>82</v>
      </c>
      <c r="D164" t="s">
        <v>594</v>
      </c>
      <c r="E164" t="s">
        <v>184</v>
      </c>
      <c r="F164" t="s">
        <v>549</v>
      </c>
      <c r="G164">
        <v>140</v>
      </c>
      <c r="H164" t="s">
        <v>26</v>
      </c>
      <c r="I164" t="s">
        <v>27</v>
      </c>
      <c r="J164">
        <v>420</v>
      </c>
      <c r="K164" t="s">
        <v>551</v>
      </c>
      <c r="L164" t="s">
        <v>815</v>
      </c>
      <c r="M164" t="s">
        <v>816</v>
      </c>
      <c r="O164" t="s">
        <v>184</v>
      </c>
      <c r="P164" t="s">
        <v>1402</v>
      </c>
      <c r="Q164" t="s">
        <v>1118</v>
      </c>
      <c r="R164" t="s">
        <v>1403</v>
      </c>
    </row>
    <row r="165" spans="1:18" hidden="1" x14ac:dyDescent="0.2">
      <c r="A165" t="s">
        <v>181</v>
      </c>
      <c r="B165" t="s">
        <v>56</v>
      </c>
      <c r="C165" t="s">
        <v>60</v>
      </c>
      <c r="D165" t="s">
        <v>647</v>
      </c>
      <c r="E165" t="s">
        <v>182</v>
      </c>
      <c r="F165" t="s">
        <v>763</v>
      </c>
      <c r="G165">
        <v>29.3</v>
      </c>
      <c r="H165" t="s">
        <v>26</v>
      </c>
      <c r="I165" t="s">
        <v>14</v>
      </c>
      <c r="J165">
        <v>88</v>
      </c>
      <c r="K165" t="s">
        <v>554</v>
      </c>
      <c r="L165" t="s">
        <v>817</v>
      </c>
      <c r="M165" t="s">
        <v>818</v>
      </c>
      <c r="N165" t="s">
        <v>493</v>
      </c>
      <c r="O165" t="s">
        <v>182</v>
      </c>
      <c r="P165" t="s">
        <v>1189</v>
      </c>
      <c r="Q165" t="s">
        <v>1190</v>
      </c>
      <c r="R165" t="s">
        <v>1191</v>
      </c>
    </row>
    <row r="166" spans="1:18" hidden="1" x14ac:dyDescent="0.2">
      <c r="A166" t="s">
        <v>179</v>
      </c>
      <c r="B166" t="s">
        <v>75</v>
      </c>
      <c r="C166" t="s">
        <v>84</v>
      </c>
      <c r="D166" t="s">
        <v>628</v>
      </c>
      <c r="E166" t="s">
        <v>180</v>
      </c>
      <c r="F166" t="s">
        <v>656</v>
      </c>
      <c r="G166">
        <v>373.3</v>
      </c>
      <c r="H166" t="s">
        <v>26</v>
      </c>
      <c r="I166" t="s">
        <v>14</v>
      </c>
      <c r="J166">
        <v>1120</v>
      </c>
      <c r="K166" t="s">
        <v>554</v>
      </c>
      <c r="L166" t="s">
        <v>819</v>
      </c>
      <c r="M166" t="s">
        <v>820</v>
      </c>
      <c r="N166" t="s">
        <v>493</v>
      </c>
      <c r="O166" t="s">
        <v>180</v>
      </c>
      <c r="P166" t="s">
        <v>1155</v>
      </c>
      <c r="Q166" t="s">
        <v>1118</v>
      </c>
      <c r="R166" t="s">
        <v>1156</v>
      </c>
    </row>
    <row r="167" spans="1:18" hidden="1" x14ac:dyDescent="0.2">
      <c r="A167" t="s">
        <v>177</v>
      </c>
      <c r="B167" t="s">
        <v>56</v>
      </c>
      <c r="C167" t="s">
        <v>60</v>
      </c>
      <c r="D167" t="s">
        <v>647</v>
      </c>
      <c r="E167" t="s">
        <v>178</v>
      </c>
      <c r="F167" t="s">
        <v>688</v>
      </c>
      <c r="G167">
        <v>106.7</v>
      </c>
      <c r="H167" t="s">
        <v>26</v>
      </c>
      <c r="I167" t="s">
        <v>14</v>
      </c>
      <c r="J167">
        <v>320</v>
      </c>
      <c r="K167" t="s">
        <v>554</v>
      </c>
      <c r="L167" t="s">
        <v>821</v>
      </c>
      <c r="M167" t="s">
        <v>822</v>
      </c>
      <c r="N167" t="s">
        <v>493</v>
      </c>
      <c r="O167" t="s">
        <v>178</v>
      </c>
      <c r="P167" t="s">
        <v>1192</v>
      </c>
      <c r="Q167" t="s">
        <v>1118</v>
      </c>
      <c r="R167" t="s">
        <v>1193</v>
      </c>
    </row>
    <row r="168" spans="1:18" hidden="1" x14ac:dyDescent="0.2">
      <c r="A168" t="s">
        <v>175</v>
      </c>
      <c r="B168" t="s">
        <v>56</v>
      </c>
      <c r="C168" t="s">
        <v>62</v>
      </c>
      <c r="D168" t="s">
        <v>572</v>
      </c>
      <c r="E168" t="s">
        <v>176</v>
      </c>
      <c r="F168" t="s">
        <v>578</v>
      </c>
      <c r="G168">
        <v>533.29999999999995</v>
      </c>
      <c r="H168" t="s">
        <v>26</v>
      </c>
      <c r="I168" t="s">
        <v>27</v>
      </c>
      <c r="J168">
        <v>1600</v>
      </c>
      <c r="K168" t="s">
        <v>551</v>
      </c>
      <c r="L168" t="s">
        <v>823</v>
      </c>
      <c r="M168" t="s">
        <v>1627</v>
      </c>
      <c r="O168" t="s">
        <v>176</v>
      </c>
      <c r="P168" t="s">
        <v>1604</v>
      </c>
      <c r="Q168" t="s">
        <v>1204</v>
      </c>
      <c r="R168" t="s">
        <v>1547</v>
      </c>
    </row>
    <row r="169" spans="1:18" hidden="1" x14ac:dyDescent="0.2">
      <c r="A169" t="s">
        <v>173</v>
      </c>
      <c r="B169" t="s">
        <v>75</v>
      </c>
      <c r="C169" t="s">
        <v>82</v>
      </c>
      <c r="D169" t="s">
        <v>594</v>
      </c>
      <c r="E169" t="s">
        <v>174</v>
      </c>
      <c r="F169" t="s">
        <v>549</v>
      </c>
      <c r="G169">
        <v>440</v>
      </c>
      <c r="H169" t="s">
        <v>26</v>
      </c>
      <c r="I169" t="s">
        <v>27</v>
      </c>
      <c r="J169">
        <v>1320</v>
      </c>
      <c r="K169" t="s">
        <v>554</v>
      </c>
      <c r="L169" t="s">
        <v>825</v>
      </c>
      <c r="M169" t="s">
        <v>826</v>
      </c>
      <c r="O169" t="s">
        <v>174</v>
      </c>
      <c r="P169" t="s">
        <v>1404</v>
      </c>
      <c r="Q169" t="s">
        <v>1118</v>
      </c>
      <c r="R169" t="s">
        <v>1118</v>
      </c>
    </row>
    <row r="170" spans="1:18" hidden="1" x14ac:dyDescent="0.2">
      <c r="A170" t="s">
        <v>171</v>
      </c>
      <c r="B170" t="s">
        <v>75</v>
      </c>
      <c r="C170" t="s">
        <v>85</v>
      </c>
      <c r="D170" t="s">
        <v>553</v>
      </c>
      <c r="E170" t="s">
        <v>172</v>
      </c>
      <c r="F170" t="s">
        <v>549</v>
      </c>
      <c r="G170">
        <v>266.7</v>
      </c>
      <c r="H170" t="s">
        <v>31</v>
      </c>
      <c r="I170" t="s">
        <v>51</v>
      </c>
      <c r="J170">
        <v>800</v>
      </c>
      <c r="K170" t="s">
        <v>551</v>
      </c>
      <c r="L170" t="s">
        <v>827</v>
      </c>
      <c r="M170" t="s">
        <v>828</v>
      </c>
      <c r="O170" t="s">
        <v>172</v>
      </c>
      <c r="P170" t="s">
        <v>1270</v>
      </c>
      <c r="Q170" t="s">
        <v>1118</v>
      </c>
      <c r="R170" t="s">
        <v>1118</v>
      </c>
    </row>
    <row r="171" spans="1:18" hidden="1" x14ac:dyDescent="0.2">
      <c r="A171" t="s">
        <v>169</v>
      </c>
      <c r="B171" t="s">
        <v>75</v>
      </c>
      <c r="C171" t="s">
        <v>85</v>
      </c>
      <c r="D171" t="s">
        <v>553</v>
      </c>
      <c r="E171" t="s">
        <v>170</v>
      </c>
      <c r="F171" t="s">
        <v>549</v>
      </c>
      <c r="G171">
        <v>433.3</v>
      </c>
      <c r="H171" t="s">
        <v>31</v>
      </c>
      <c r="I171" t="s">
        <v>51</v>
      </c>
      <c r="J171">
        <v>1300</v>
      </c>
      <c r="K171" t="s">
        <v>551</v>
      </c>
      <c r="L171" t="s">
        <v>829</v>
      </c>
      <c r="M171" t="s">
        <v>830</v>
      </c>
      <c r="O171" t="s">
        <v>170</v>
      </c>
      <c r="P171" t="s">
        <v>1271</v>
      </c>
      <c r="Q171" t="s">
        <v>1118</v>
      </c>
      <c r="R171" t="s">
        <v>1118</v>
      </c>
    </row>
    <row r="172" spans="1:18" hidden="1" x14ac:dyDescent="0.2">
      <c r="A172" t="s">
        <v>167</v>
      </c>
      <c r="B172" t="s">
        <v>53</v>
      </c>
      <c r="C172" t="s">
        <v>54</v>
      </c>
      <c r="D172" t="s">
        <v>831</v>
      </c>
      <c r="E172" t="s">
        <v>168</v>
      </c>
      <c r="F172" t="s">
        <v>549</v>
      </c>
      <c r="G172">
        <v>800</v>
      </c>
      <c r="H172" t="s">
        <v>26</v>
      </c>
      <c r="I172" t="s">
        <v>51</v>
      </c>
      <c r="J172">
        <v>2400</v>
      </c>
      <c r="K172" t="s">
        <v>551</v>
      </c>
      <c r="L172" t="s">
        <v>832</v>
      </c>
      <c r="M172" t="s">
        <v>777</v>
      </c>
      <c r="O172" t="s">
        <v>168</v>
      </c>
      <c r="P172" t="s">
        <v>1278</v>
      </c>
      <c r="Q172" t="s">
        <v>1118</v>
      </c>
      <c r="R172" t="s">
        <v>1118</v>
      </c>
    </row>
    <row r="173" spans="1:18" hidden="1" x14ac:dyDescent="0.2">
      <c r="A173" t="s">
        <v>165</v>
      </c>
      <c r="D173" t="s">
        <v>833</v>
      </c>
      <c r="E173" t="s">
        <v>166</v>
      </c>
      <c r="F173" t="s">
        <v>549</v>
      </c>
      <c r="G173">
        <v>140</v>
      </c>
      <c r="H173" t="s">
        <v>26</v>
      </c>
      <c r="I173" t="s">
        <v>51</v>
      </c>
      <c r="J173">
        <v>420</v>
      </c>
      <c r="K173" t="s">
        <v>551</v>
      </c>
      <c r="L173" t="s">
        <v>834</v>
      </c>
      <c r="M173" t="s">
        <v>835</v>
      </c>
      <c r="O173" t="s">
        <v>166</v>
      </c>
      <c r="P173" t="s">
        <v>1511</v>
      </c>
      <c r="Q173" t="s">
        <v>1118</v>
      </c>
      <c r="R173" t="s">
        <v>1118</v>
      </c>
    </row>
    <row r="174" spans="1:18" hidden="1" x14ac:dyDescent="0.2">
      <c r="A174" t="s">
        <v>163</v>
      </c>
      <c r="B174" t="s">
        <v>75</v>
      </c>
      <c r="C174" t="s">
        <v>78</v>
      </c>
      <c r="D174" t="s">
        <v>560</v>
      </c>
      <c r="E174" t="s">
        <v>164</v>
      </c>
      <c r="F174" t="s">
        <v>573</v>
      </c>
      <c r="G174">
        <v>433.3</v>
      </c>
      <c r="H174" t="s">
        <v>31</v>
      </c>
      <c r="I174" t="s">
        <v>51</v>
      </c>
      <c r="J174">
        <v>1300</v>
      </c>
      <c r="K174" t="s">
        <v>551</v>
      </c>
      <c r="L174" t="s">
        <v>836</v>
      </c>
      <c r="M174" t="s">
        <v>837</v>
      </c>
      <c r="O174" t="s">
        <v>164</v>
      </c>
      <c r="P174" t="s">
        <v>1374</v>
      </c>
      <c r="Q174" t="s">
        <v>1375</v>
      </c>
      <c r="R174" t="s">
        <v>1376</v>
      </c>
    </row>
    <row r="175" spans="1:18" hidden="1" x14ac:dyDescent="0.2">
      <c r="A175" t="s">
        <v>161</v>
      </c>
      <c r="B175" t="s">
        <v>66</v>
      </c>
      <c r="C175" t="s">
        <v>72</v>
      </c>
      <c r="D175" t="s">
        <v>838</v>
      </c>
      <c r="E175" t="s">
        <v>162</v>
      </c>
      <c r="F175" t="s">
        <v>573</v>
      </c>
      <c r="G175">
        <v>240</v>
      </c>
      <c r="H175" t="s">
        <v>26</v>
      </c>
      <c r="I175" t="s">
        <v>27</v>
      </c>
      <c r="J175">
        <v>720</v>
      </c>
      <c r="K175" t="s">
        <v>551</v>
      </c>
      <c r="L175" t="s">
        <v>839</v>
      </c>
      <c r="M175" t="s">
        <v>840</v>
      </c>
      <c r="O175" t="s">
        <v>162</v>
      </c>
      <c r="P175" t="s">
        <v>1425</v>
      </c>
      <c r="Q175" t="s">
        <v>1426</v>
      </c>
      <c r="R175" t="s">
        <v>1427</v>
      </c>
    </row>
    <row r="176" spans="1:18" hidden="1" x14ac:dyDescent="0.2">
      <c r="A176" t="s">
        <v>159</v>
      </c>
      <c r="B176" t="s">
        <v>75</v>
      </c>
      <c r="C176" t="s">
        <v>82</v>
      </c>
      <c r="D176" t="s">
        <v>594</v>
      </c>
      <c r="E176" t="s">
        <v>160</v>
      </c>
      <c r="F176" t="s">
        <v>686</v>
      </c>
      <c r="G176">
        <v>106.7</v>
      </c>
      <c r="H176" t="s">
        <v>26</v>
      </c>
      <c r="I176" t="s">
        <v>14</v>
      </c>
      <c r="J176">
        <v>320</v>
      </c>
      <c r="K176" t="s">
        <v>592</v>
      </c>
      <c r="L176" t="s">
        <v>841</v>
      </c>
      <c r="M176" t="s">
        <v>842</v>
      </c>
      <c r="N176" t="s">
        <v>493</v>
      </c>
      <c r="O176" t="s">
        <v>160</v>
      </c>
      <c r="P176" t="s">
        <v>1405</v>
      </c>
      <c r="Q176" t="s">
        <v>1406</v>
      </c>
      <c r="R176" t="s">
        <v>1407</v>
      </c>
    </row>
    <row r="177" spans="1:18" x14ac:dyDescent="0.2">
      <c r="A177" t="s">
        <v>157</v>
      </c>
      <c r="B177" t="s">
        <v>75</v>
      </c>
      <c r="C177" t="s">
        <v>84</v>
      </c>
      <c r="D177" t="s">
        <v>628</v>
      </c>
      <c r="E177" t="s">
        <v>158</v>
      </c>
      <c r="F177" t="s">
        <v>672</v>
      </c>
      <c r="G177">
        <v>264</v>
      </c>
      <c r="H177" t="s">
        <v>26</v>
      </c>
      <c r="I177" t="s">
        <v>18</v>
      </c>
      <c r="J177">
        <v>792</v>
      </c>
      <c r="K177" t="s">
        <v>554</v>
      </c>
      <c r="L177" t="s">
        <v>843</v>
      </c>
      <c r="M177" t="s">
        <v>844</v>
      </c>
      <c r="O177" t="s">
        <v>158</v>
      </c>
      <c r="P177" t="s">
        <v>1157</v>
      </c>
      <c r="Q177" t="s">
        <v>1158</v>
      </c>
      <c r="R177" t="s">
        <v>1159</v>
      </c>
    </row>
    <row r="178" spans="1:18" hidden="1" x14ac:dyDescent="0.2">
      <c r="A178" t="s">
        <v>155</v>
      </c>
      <c r="B178" t="s">
        <v>75</v>
      </c>
      <c r="C178" t="s">
        <v>78</v>
      </c>
      <c r="D178" t="s">
        <v>560</v>
      </c>
      <c r="E178" t="s">
        <v>156</v>
      </c>
      <c r="F178" t="s">
        <v>656</v>
      </c>
      <c r="G178">
        <v>213.3</v>
      </c>
      <c r="H178" t="s">
        <v>26</v>
      </c>
      <c r="I178" t="s">
        <v>14</v>
      </c>
      <c r="J178">
        <v>640</v>
      </c>
      <c r="K178" t="s">
        <v>551</v>
      </c>
      <c r="L178" t="s">
        <v>845</v>
      </c>
      <c r="M178" t="s">
        <v>1626</v>
      </c>
      <c r="N178" t="s">
        <v>493</v>
      </c>
      <c r="O178" t="s">
        <v>156</v>
      </c>
      <c r="P178" t="s">
        <v>1333</v>
      </c>
      <c r="Q178" t="s">
        <v>1334</v>
      </c>
      <c r="R178" t="s">
        <v>1377</v>
      </c>
    </row>
    <row r="179" spans="1:18" hidden="1" x14ac:dyDescent="0.2">
      <c r="A179" t="s">
        <v>23</v>
      </c>
      <c r="B179" t="s">
        <v>9</v>
      </c>
      <c r="C179" t="s">
        <v>24</v>
      </c>
      <c r="D179" t="s">
        <v>846</v>
      </c>
      <c r="E179" t="s">
        <v>25</v>
      </c>
      <c r="F179" t="s">
        <v>578</v>
      </c>
      <c r="G179">
        <v>140</v>
      </c>
      <c r="H179" t="s">
        <v>26</v>
      </c>
      <c r="I179" t="s">
        <v>27</v>
      </c>
      <c r="J179">
        <v>420</v>
      </c>
      <c r="K179" t="s">
        <v>551</v>
      </c>
      <c r="L179" t="s">
        <v>847</v>
      </c>
      <c r="M179" t="s">
        <v>848</v>
      </c>
      <c r="O179" t="s">
        <v>25</v>
      </c>
      <c r="P179" t="s">
        <v>1421</v>
      </c>
      <c r="Q179" t="s">
        <v>1422</v>
      </c>
      <c r="R179" t="s">
        <v>1423</v>
      </c>
    </row>
    <row r="180" spans="1:18" x14ac:dyDescent="0.2">
      <c r="A180" t="s">
        <v>153</v>
      </c>
      <c r="B180" t="s">
        <v>75</v>
      </c>
      <c r="C180" t="s">
        <v>85</v>
      </c>
      <c r="D180" t="s">
        <v>553</v>
      </c>
      <c r="E180" t="s">
        <v>154</v>
      </c>
      <c r="F180" t="s">
        <v>616</v>
      </c>
      <c r="G180">
        <v>1.1000000000000001</v>
      </c>
      <c r="H180" t="s">
        <v>26</v>
      </c>
      <c r="I180" t="s">
        <v>18</v>
      </c>
      <c r="J180">
        <v>3.2</v>
      </c>
      <c r="K180" t="s">
        <v>592</v>
      </c>
      <c r="L180" t="s">
        <v>849</v>
      </c>
      <c r="M180" t="s">
        <v>850</v>
      </c>
      <c r="O180" t="s">
        <v>154</v>
      </c>
      <c r="P180" t="s">
        <v>1272</v>
      </c>
      <c r="Q180" t="s">
        <v>1118</v>
      </c>
      <c r="R180" t="s">
        <v>1273</v>
      </c>
    </row>
    <row r="181" spans="1:18" hidden="1" x14ac:dyDescent="0.2">
      <c r="A181" t="s">
        <v>151</v>
      </c>
      <c r="B181" t="s">
        <v>56</v>
      </c>
      <c r="C181" t="s">
        <v>59</v>
      </c>
      <c r="D181" t="s">
        <v>851</v>
      </c>
      <c r="E181" t="s">
        <v>152</v>
      </c>
      <c r="F181" t="s">
        <v>578</v>
      </c>
      <c r="G181">
        <v>1066.7</v>
      </c>
      <c r="H181" t="s">
        <v>13</v>
      </c>
      <c r="I181" t="s">
        <v>18</v>
      </c>
      <c r="J181">
        <v>3200</v>
      </c>
      <c r="K181" t="s">
        <v>554</v>
      </c>
      <c r="L181" t="s">
        <v>852</v>
      </c>
      <c r="M181" t="s">
        <v>853</v>
      </c>
      <c r="O181" t="s">
        <v>152</v>
      </c>
      <c r="P181" t="s">
        <v>1500</v>
      </c>
      <c r="Q181" t="s">
        <v>1501</v>
      </c>
      <c r="R181" t="s">
        <v>1502</v>
      </c>
    </row>
    <row r="182" spans="1:18" hidden="1" x14ac:dyDescent="0.2">
      <c r="A182" t="s">
        <v>149</v>
      </c>
      <c r="B182" t="s">
        <v>66</v>
      </c>
      <c r="C182" t="s">
        <v>73</v>
      </c>
      <c r="D182" t="s">
        <v>633</v>
      </c>
      <c r="E182" t="s">
        <v>150</v>
      </c>
      <c r="F182" t="s">
        <v>688</v>
      </c>
      <c r="G182">
        <v>160</v>
      </c>
      <c r="H182" t="s">
        <v>26</v>
      </c>
      <c r="I182" t="s">
        <v>14</v>
      </c>
      <c r="J182">
        <v>480</v>
      </c>
      <c r="K182" t="s">
        <v>592</v>
      </c>
      <c r="L182" t="s">
        <v>854</v>
      </c>
      <c r="M182" t="s">
        <v>855</v>
      </c>
      <c r="N182" t="s">
        <v>493</v>
      </c>
      <c r="O182" t="s">
        <v>150</v>
      </c>
      <c r="P182" t="s">
        <v>1292</v>
      </c>
      <c r="Q182" t="s">
        <v>1290</v>
      </c>
      <c r="R182" t="s">
        <v>1293</v>
      </c>
    </row>
    <row r="183" spans="1:18" hidden="1" x14ac:dyDescent="0.2">
      <c r="A183" t="s">
        <v>147</v>
      </c>
      <c r="B183" t="s">
        <v>66</v>
      </c>
      <c r="C183" t="s">
        <v>73</v>
      </c>
      <c r="D183" t="s">
        <v>633</v>
      </c>
      <c r="E183" t="s">
        <v>148</v>
      </c>
      <c r="F183" t="s">
        <v>686</v>
      </c>
      <c r="G183">
        <v>26.7</v>
      </c>
      <c r="H183" t="s">
        <v>26</v>
      </c>
      <c r="I183" t="s">
        <v>14</v>
      </c>
      <c r="J183">
        <v>80</v>
      </c>
      <c r="K183" t="s">
        <v>592</v>
      </c>
      <c r="L183" t="s">
        <v>856</v>
      </c>
      <c r="M183" t="s">
        <v>857</v>
      </c>
      <c r="N183" t="s">
        <v>493</v>
      </c>
      <c r="O183" t="s">
        <v>148</v>
      </c>
      <c r="P183" t="s">
        <v>1294</v>
      </c>
      <c r="Q183" t="s">
        <v>1295</v>
      </c>
      <c r="R183" t="s">
        <v>1296</v>
      </c>
    </row>
    <row r="184" spans="1:18" hidden="1" x14ac:dyDescent="0.2">
      <c r="A184" t="s">
        <v>145</v>
      </c>
      <c r="B184" t="s">
        <v>75</v>
      </c>
      <c r="C184" t="s">
        <v>85</v>
      </c>
      <c r="D184" t="s">
        <v>553</v>
      </c>
      <c r="E184" t="s">
        <v>146</v>
      </c>
      <c r="F184" t="s">
        <v>688</v>
      </c>
      <c r="G184">
        <v>213.3</v>
      </c>
      <c r="H184" t="s">
        <v>26</v>
      </c>
      <c r="I184" t="s">
        <v>14</v>
      </c>
      <c r="J184">
        <v>640</v>
      </c>
      <c r="K184" t="s">
        <v>592</v>
      </c>
      <c r="L184" t="s">
        <v>858</v>
      </c>
      <c r="M184" t="s">
        <v>859</v>
      </c>
      <c r="N184" t="s">
        <v>493</v>
      </c>
      <c r="O184" t="s">
        <v>146</v>
      </c>
      <c r="P184" t="s">
        <v>1274</v>
      </c>
      <c r="Q184" t="s">
        <v>1275</v>
      </c>
      <c r="R184" t="s">
        <v>1276</v>
      </c>
    </row>
    <row r="185" spans="1:18" x14ac:dyDescent="0.2">
      <c r="A185" t="s">
        <v>143</v>
      </c>
      <c r="B185" t="s">
        <v>75</v>
      </c>
      <c r="C185" t="s">
        <v>78</v>
      </c>
      <c r="D185" t="s">
        <v>560</v>
      </c>
      <c r="E185" t="s">
        <v>144</v>
      </c>
      <c r="F185" t="s">
        <v>578</v>
      </c>
      <c r="G185">
        <v>800</v>
      </c>
      <c r="H185" t="s">
        <v>31</v>
      </c>
      <c r="I185" t="s">
        <v>18</v>
      </c>
      <c r="J185">
        <v>2400</v>
      </c>
      <c r="K185" t="s">
        <v>592</v>
      </c>
      <c r="L185" t="s">
        <v>860</v>
      </c>
      <c r="M185" t="s">
        <v>861</v>
      </c>
      <c r="O185" t="s">
        <v>144</v>
      </c>
      <c r="P185" t="s">
        <v>1378</v>
      </c>
      <c r="Q185" t="s">
        <v>1369</v>
      </c>
      <c r="R185" t="s">
        <v>1370</v>
      </c>
    </row>
    <row r="186" spans="1:18" hidden="1" x14ac:dyDescent="0.2">
      <c r="A186" t="s">
        <v>141</v>
      </c>
      <c r="B186" t="s">
        <v>66</v>
      </c>
      <c r="C186" t="s">
        <v>70</v>
      </c>
      <c r="D186" t="s">
        <v>671</v>
      </c>
      <c r="E186" t="s">
        <v>142</v>
      </c>
      <c r="F186" t="s">
        <v>733</v>
      </c>
      <c r="G186">
        <v>37.299999999999997</v>
      </c>
      <c r="H186" t="s">
        <v>31</v>
      </c>
      <c r="I186" t="s">
        <v>51</v>
      </c>
      <c r="J186">
        <v>112</v>
      </c>
      <c r="K186" t="s">
        <v>554</v>
      </c>
      <c r="L186" t="s">
        <v>862</v>
      </c>
      <c r="M186" t="s">
        <v>863</v>
      </c>
      <c r="N186" t="s">
        <v>864</v>
      </c>
      <c r="O186" t="s">
        <v>142</v>
      </c>
      <c r="P186" t="s">
        <v>1123</v>
      </c>
      <c r="Q186" t="s">
        <v>1124</v>
      </c>
      <c r="R186" t="s">
        <v>1125</v>
      </c>
    </row>
    <row r="187" spans="1:18" hidden="1" x14ac:dyDescent="0.2">
      <c r="A187" t="s">
        <v>139</v>
      </c>
      <c r="B187" t="s">
        <v>66</v>
      </c>
      <c r="C187" t="s">
        <v>70</v>
      </c>
      <c r="D187" t="s">
        <v>671</v>
      </c>
      <c r="E187" t="s">
        <v>140</v>
      </c>
      <c r="F187" t="s">
        <v>763</v>
      </c>
      <c r="G187">
        <v>160</v>
      </c>
      <c r="H187" t="s">
        <v>26</v>
      </c>
      <c r="I187" t="s">
        <v>14</v>
      </c>
      <c r="J187">
        <v>480</v>
      </c>
      <c r="K187" t="s">
        <v>554</v>
      </c>
      <c r="L187" t="s">
        <v>865</v>
      </c>
      <c r="M187" t="s">
        <v>866</v>
      </c>
      <c r="N187" t="s">
        <v>493</v>
      </c>
      <c r="O187" t="s">
        <v>140</v>
      </c>
      <c r="P187" t="s">
        <v>1126</v>
      </c>
      <c r="Q187" t="s">
        <v>1127</v>
      </c>
      <c r="R187" t="s">
        <v>1128</v>
      </c>
    </row>
    <row r="188" spans="1:18" hidden="1" x14ac:dyDescent="0.2">
      <c r="A188" t="s">
        <v>137</v>
      </c>
      <c r="B188" t="s">
        <v>66</v>
      </c>
      <c r="C188" t="s">
        <v>70</v>
      </c>
      <c r="D188" t="s">
        <v>671</v>
      </c>
      <c r="E188" t="s">
        <v>138</v>
      </c>
      <c r="F188" t="s">
        <v>763</v>
      </c>
      <c r="G188">
        <v>46</v>
      </c>
      <c r="H188" t="s">
        <v>26</v>
      </c>
      <c r="I188" t="s">
        <v>14</v>
      </c>
      <c r="J188">
        <v>138</v>
      </c>
      <c r="K188" t="s">
        <v>554</v>
      </c>
      <c r="L188" t="s">
        <v>867</v>
      </c>
      <c r="M188" t="s">
        <v>1625</v>
      </c>
      <c r="N188" t="s">
        <v>493</v>
      </c>
      <c r="O188" t="s">
        <v>138</v>
      </c>
      <c r="P188" t="s">
        <v>1129</v>
      </c>
      <c r="Q188" t="s">
        <v>1130</v>
      </c>
      <c r="R188" t="s">
        <v>1131</v>
      </c>
    </row>
    <row r="189" spans="1:18" hidden="1" x14ac:dyDescent="0.2">
      <c r="A189" t="s">
        <v>135</v>
      </c>
      <c r="B189" t="s">
        <v>66</v>
      </c>
      <c r="C189" t="s">
        <v>70</v>
      </c>
      <c r="D189" t="s">
        <v>671</v>
      </c>
      <c r="E189" t="s">
        <v>136</v>
      </c>
      <c r="F189" t="s">
        <v>763</v>
      </c>
      <c r="G189">
        <v>38</v>
      </c>
      <c r="H189" t="s">
        <v>26</v>
      </c>
      <c r="I189" t="s">
        <v>14</v>
      </c>
      <c r="J189">
        <v>114</v>
      </c>
      <c r="K189" t="s">
        <v>554</v>
      </c>
      <c r="L189" t="s">
        <v>868</v>
      </c>
      <c r="M189" t="s">
        <v>1625</v>
      </c>
      <c r="N189" t="s">
        <v>493</v>
      </c>
      <c r="O189" t="s">
        <v>136</v>
      </c>
      <c r="P189" t="s">
        <v>1132</v>
      </c>
      <c r="Q189" t="s">
        <v>1127</v>
      </c>
      <c r="R189" t="s">
        <v>1133</v>
      </c>
    </row>
    <row r="190" spans="1:18" hidden="1" x14ac:dyDescent="0.2">
      <c r="A190" t="s">
        <v>1543</v>
      </c>
      <c r="D190" t="s">
        <v>1040</v>
      </c>
      <c r="E190" t="s">
        <v>1544</v>
      </c>
      <c r="F190" t="s">
        <v>549</v>
      </c>
      <c r="H190" t="s">
        <v>31</v>
      </c>
      <c r="I190" t="s">
        <v>27</v>
      </c>
      <c r="J190" t="s">
        <v>550</v>
      </c>
      <c r="K190" t="s">
        <v>551</v>
      </c>
      <c r="L190" t="s">
        <v>1545</v>
      </c>
      <c r="M190" t="s">
        <v>1546</v>
      </c>
    </row>
    <row r="191" spans="1:18" hidden="1" x14ac:dyDescent="0.2">
      <c r="A191" t="s">
        <v>1539</v>
      </c>
      <c r="D191" t="s">
        <v>1040</v>
      </c>
      <c r="E191" t="s">
        <v>1540</v>
      </c>
      <c r="F191" t="s">
        <v>578</v>
      </c>
      <c r="H191" t="s">
        <v>31</v>
      </c>
      <c r="I191" t="s">
        <v>27</v>
      </c>
      <c r="J191" t="s">
        <v>550</v>
      </c>
      <c r="K191" t="s">
        <v>551</v>
      </c>
      <c r="L191" t="s">
        <v>1541</v>
      </c>
      <c r="M191" t="s">
        <v>1542</v>
      </c>
    </row>
    <row r="192" spans="1:18" hidden="1" x14ac:dyDescent="0.2">
      <c r="A192" t="s">
        <v>133</v>
      </c>
      <c r="B192" t="s">
        <v>66</v>
      </c>
      <c r="C192" t="s">
        <v>73</v>
      </c>
      <c r="D192" t="s">
        <v>633</v>
      </c>
      <c r="E192" t="s">
        <v>134</v>
      </c>
      <c r="F192" t="s">
        <v>688</v>
      </c>
      <c r="G192">
        <v>101.3</v>
      </c>
      <c r="H192" t="s">
        <v>26</v>
      </c>
      <c r="I192" t="s">
        <v>14</v>
      </c>
      <c r="J192">
        <v>304</v>
      </c>
      <c r="K192" t="s">
        <v>592</v>
      </c>
      <c r="L192" t="s">
        <v>869</v>
      </c>
      <c r="M192" t="s">
        <v>870</v>
      </c>
      <c r="N192" t="s">
        <v>493</v>
      </c>
      <c r="O192" t="s">
        <v>134</v>
      </c>
      <c r="P192" t="s">
        <v>1297</v>
      </c>
      <c r="Q192" t="s">
        <v>1298</v>
      </c>
      <c r="R192" t="s">
        <v>1299</v>
      </c>
    </row>
    <row r="193" spans="1:18" hidden="1" x14ac:dyDescent="0.2">
      <c r="A193" t="s">
        <v>131</v>
      </c>
      <c r="B193" t="s">
        <v>66</v>
      </c>
      <c r="C193" t="s">
        <v>68</v>
      </c>
      <c r="D193" t="s">
        <v>710</v>
      </c>
      <c r="E193" t="s">
        <v>132</v>
      </c>
      <c r="F193" t="s">
        <v>688</v>
      </c>
      <c r="G193">
        <v>40</v>
      </c>
      <c r="H193" t="s">
        <v>26</v>
      </c>
      <c r="I193" t="s">
        <v>14</v>
      </c>
      <c r="J193">
        <v>120</v>
      </c>
      <c r="K193" t="s">
        <v>554</v>
      </c>
      <c r="L193" t="s">
        <v>871</v>
      </c>
      <c r="M193" t="s">
        <v>872</v>
      </c>
      <c r="N193" t="s">
        <v>493</v>
      </c>
      <c r="O193" t="s">
        <v>132</v>
      </c>
      <c r="P193" t="s">
        <v>1310</v>
      </c>
      <c r="Q193" t="s">
        <v>1311</v>
      </c>
      <c r="R193" t="s">
        <v>1312</v>
      </c>
    </row>
    <row r="194" spans="1:18" hidden="1" x14ac:dyDescent="0.2">
      <c r="A194" t="s">
        <v>129</v>
      </c>
      <c r="B194" t="s">
        <v>66</v>
      </c>
      <c r="C194" t="s">
        <v>68</v>
      </c>
      <c r="D194" t="s">
        <v>710</v>
      </c>
      <c r="E194" t="s">
        <v>130</v>
      </c>
      <c r="F194" t="s">
        <v>616</v>
      </c>
      <c r="G194">
        <v>253.3</v>
      </c>
      <c r="H194" t="s">
        <v>26</v>
      </c>
      <c r="I194" t="s">
        <v>18</v>
      </c>
      <c r="J194">
        <v>760</v>
      </c>
      <c r="K194" t="s">
        <v>554</v>
      </c>
      <c r="L194" t="s">
        <v>873</v>
      </c>
      <c r="M194" t="s">
        <v>874</v>
      </c>
      <c r="O194" t="s">
        <v>130</v>
      </c>
      <c r="P194" t="s">
        <v>1313</v>
      </c>
      <c r="Q194" t="s">
        <v>1314</v>
      </c>
      <c r="R194" t="s">
        <v>1315</v>
      </c>
    </row>
    <row r="195" spans="1:18" hidden="1" x14ac:dyDescent="0.2">
      <c r="A195" t="s">
        <v>127</v>
      </c>
      <c r="B195" t="s">
        <v>75</v>
      </c>
      <c r="C195" t="s">
        <v>78</v>
      </c>
      <c r="D195" t="s">
        <v>560</v>
      </c>
      <c r="E195" t="s">
        <v>128</v>
      </c>
      <c r="F195" t="s">
        <v>693</v>
      </c>
      <c r="G195">
        <v>69.3</v>
      </c>
      <c r="H195" t="s">
        <v>26</v>
      </c>
      <c r="I195" t="s">
        <v>14</v>
      </c>
      <c r="J195">
        <v>208</v>
      </c>
      <c r="K195" t="s">
        <v>554</v>
      </c>
      <c r="L195" t="s">
        <v>875</v>
      </c>
      <c r="M195" t="s">
        <v>1624</v>
      </c>
      <c r="N195" t="s">
        <v>493</v>
      </c>
      <c r="O195" t="s">
        <v>128</v>
      </c>
      <c r="P195" t="s">
        <v>1379</v>
      </c>
      <c r="Q195" t="s">
        <v>1119</v>
      </c>
      <c r="R195" t="s">
        <v>1119</v>
      </c>
    </row>
    <row r="196" spans="1:18" hidden="1" x14ac:dyDescent="0.2">
      <c r="A196" t="s">
        <v>45</v>
      </c>
      <c r="B196" t="s">
        <v>9</v>
      </c>
      <c r="C196" t="s">
        <v>33</v>
      </c>
      <c r="D196" t="s">
        <v>876</v>
      </c>
      <c r="E196" t="s">
        <v>46</v>
      </c>
      <c r="F196" t="s">
        <v>573</v>
      </c>
      <c r="G196">
        <v>373.3</v>
      </c>
      <c r="H196" t="s">
        <v>26</v>
      </c>
      <c r="I196" t="s">
        <v>27</v>
      </c>
      <c r="J196">
        <v>1120</v>
      </c>
      <c r="K196" t="s">
        <v>554</v>
      </c>
      <c r="L196" t="s">
        <v>877</v>
      </c>
      <c r="M196" t="s">
        <v>878</v>
      </c>
      <c r="O196" t="s">
        <v>46</v>
      </c>
      <c r="P196" t="s">
        <v>1411</v>
      </c>
      <c r="Q196" t="s">
        <v>1165</v>
      </c>
      <c r="R196" t="s">
        <v>1165</v>
      </c>
    </row>
    <row r="197" spans="1:18" hidden="1" x14ac:dyDescent="0.2">
      <c r="A197" t="s">
        <v>1535</v>
      </c>
      <c r="D197" t="s">
        <v>516</v>
      </c>
      <c r="E197" t="s">
        <v>1536</v>
      </c>
      <c r="F197" t="s">
        <v>642</v>
      </c>
      <c r="G197">
        <v>266.7</v>
      </c>
      <c r="H197" t="s">
        <v>31</v>
      </c>
      <c r="I197" t="s">
        <v>27</v>
      </c>
      <c r="J197">
        <v>800</v>
      </c>
      <c r="K197" t="s">
        <v>592</v>
      </c>
      <c r="L197" t="s">
        <v>1537</v>
      </c>
      <c r="M197" t="s">
        <v>1538</v>
      </c>
    </row>
    <row r="198" spans="1:18" x14ac:dyDescent="0.2">
      <c r="A198" t="s">
        <v>125</v>
      </c>
      <c r="B198" t="s">
        <v>75</v>
      </c>
      <c r="C198" t="s">
        <v>82</v>
      </c>
      <c r="D198" t="s">
        <v>594</v>
      </c>
      <c r="E198" t="s">
        <v>126</v>
      </c>
      <c r="F198" t="s">
        <v>578</v>
      </c>
      <c r="G198">
        <v>434.7</v>
      </c>
      <c r="H198" t="s">
        <v>31</v>
      </c>
      <c r="I198" t="s">
        <v>18</v>
      </c>
      <c r="J198">
        <v>1304</v>
      </c>
      <c r="K198" t="s">
        <v>592</v>
      </c>
      <c r="L198" t="s">
        <v>879</v>
      </c>
      <c r="M198" t="s">
        <v>880</v>
      </c>
      <c r="O198" t="s">
        <v>126</v>
      </c>
      <c r="P198" t="s">
        <v>1408</v>
      </c>
      <c r="Q198" t="s">
        <v>1392</v>
      </c>
      <c r="R198" t="s">
        <v>1409</v>
      </c>
    </row>
    <row r="199" spans="1:18" hidden="1" x14ac:dyDescent="0.2">
      <c r="A199" t="s">
        <v>123</v>
      </c>
      <c r="B199" t="s">
        <v>56</v>
      </c>
      <c r="C199" t="s">
        <v>57</v>
      </c>
      <c r="D199" t="s">
        <v>652</v>
      </c>
      <c r="E199" t="s">
        <v>124</v>
      </c>
      <c r="F199" t="s">
        <v>616</v>
      </c>
      <c r="G199">
        <v>293.3</v>
      </c>
      <c r="H199" t="s">
        <v>26</v>
      </c>
      <c r="I199" t="s">
        <v>18</v>
      </c>
      <c r="J199">
        <v>880</v>
      </c>
      <c r="K199" t="s">
        <v>554</v>
      </c>
      <c r="L199" t="s">
        <v>881</v>
      </c>
      <c r="M199" t="s">
        <v>882</v>
      </c>
      <c r="O199" t="s">
        <v>124</v>
      </c>
      <c r="P199" t="s">
        <v>1483</v>
      </c>
      <c r="Q199" t="s">
        <v>1118</v>
      </c>
      <c r="R199" t="s">
        <v>1484</v>
      </c>
    </row>
    <row r="200" spans="1:18" hidden="1" x14ac:dyDescent="0.2">
      <c r="A200" t="s">
        <v>121</v>
      </c>
      <c r="D200" t="s">
        <v>883</v>
      </c>
      <c r="E200" t="s">
        <v>122</v>
      </c>
      <c r="F200" t="s">
        <v>642</v>
      </c>
      <c r="G200">
        <v>2.7</v>
      </c>
      <c r="H200" t="s">
        <v>26</v>
      </c>
      <c r="I200" t="s">
        <v>27</v>
      </c>
      <c r="J200">
        <v>8</v>
      </c>
      <c r="K200" t="s">
        <v>554</v>
      </c>
      <c r="L200" t="s">
        <v>884</v>
      </c>
      <c r="M200" t="s">
        <v>885</v>
      </c>
      <c r="O200" t="s">
        <v>122</v>
      </c>
      <c r="P200" t="s">
        <v>1301</v>
      </c>
      <c r="Q200" t="s">
        <v>1302</v>
      </c>
      <c r="R200" t="s">
        <v>1303</v>
      </c>
    </row>
    <row r="201" spans="1:18" hidden="1" x14ac:dyDescent="0.2">
      <c r="A201" t="s">
        <v>119</v>
      </c>
      <c r="B201" t="s">
        <v>66</v>
      </c>
      <c r="C201" t="s">
        <v>73</v>
      </c>
      <c r="D201" t="s">
        <v>633</v>
      </c>
      <c r="E201" t="s">
        <v>1593</v>
      </c>
      <c r="F201" t="s">
        <v>578</v>
      </c>
      <c r="G201">
        <v>140</v>
      </c>
      <c r="H201" t="s">
        <v>26</v>
      </c>
      <c r="I201" t="s">
        <v>27</v>
      </c>
      <c r="J201">
        <v>420</v>
      </c>
      <c r="K201" t="s">
        <v>551</v>
      </c>
      <c r="L201" t="s">
        <v>886</v>
      </c>
      <c r="M201" t="s">
        <v>887</v>
      </c>
      <c r="O201" t="s">
        <v>1593</v>
      </c>
      <c r="P201" t="s">
        <v>1602</v>
      </c>
      <c r="Q201" t="s">
        <v>1165</v>
      </c>
      <c r="R201" t="s">
        <v>1603</v>
      </c>
    </row>
    <row r="202" spans="1:18" hidden="1" x14ac:dyDescent="0.2">
      <c r="A202" t="s">
        <v>117</v>
      </c>
      <c r="B202" t="s">
        <v>66</v>
      </c>
      <c r="C202" t="s">
        <v>73</v>
      </c>
      <c r="D202" t="s">
        <v>633</v>
      </c>
      <c r="E202" t="s">
        <v>118</v>
      </c>
      <c r="F202" t="s">
        <v>578</v>
      </c>
      <c r="G202">
        <v>140</v>
      </c>
      <c r="H202" t="s">
        <v>26</v>
      </c>
      <c r="I202" t="s">
        <v>27</v>
      </c>
      <c r="J202">
        <v>420</v>
      </c>
      <c r="K202" t="s">
        <v>551</v>
      </c>
      <c r="L202" t="s">
        <v>888</v>
      </c>
      <c r="M202" t="s">
        <v>1600</v>
      </c>
      <c r="O202" t="s">
        <v>118</v>
      </c>
      <c r="P202" t="s">
        <v>1601</v>
      </c>
      <c r="Q202" t="s">
        <v>1165</v>
      </c>
      <c r="R202" t="s">
        <v>1165</v>
      </c>
    </row>
    <row r="203" spans="1:18" hidden="1" x14ac:dyDescent="0.2">
      <c r="A203" t="s">
        <v>115</v>
      </c>
      <c r="B203" t="s">
        <v>75</v>
      </c>
      <c r="C203" t="s">
        <v>81</v>
      </c>
      <c r="D203" t="s">
        <v>665</v>
      </c>
      <c r="E203" t="s">
        <v>116</v>
      </c>
      <c r="F203" t="s">
        <v>549</v>
      </c>
      <c r="G203">
        <v>46.7</v>
      </c>
      <c r="H203" t="s">
        <v>26</v>
      </c>
      <c r="I203" t="s">
        <v>51</v>
      </c>
      <c r="J203">
        <v>140</v>
      </c>
      <c r="K203" t="s">
        <v>551</v>
      </c>
      <c r="L203" t="s">
        <v>889</v>
      </c>
      <c r="M203" t="s">
        <v>890</v>
      </c>
      <c r="O203" t="s">
        <v>116</v>
      </c>
      <c r="P203" t="s">
        <v>1327</v>
      </c>
      <c r="Q203" t="s">
        <v>1118</v>
      </c>
      <c r="R203" t="s">
        <v>1328</v>
      </c>
    </row>
    <row r="204" spans="1:18" hidden="1" x14ac:dyDescent="0.2">
      <c r="A204" t="s">
        <v>113</v>
      </c>
      <c r="B204" t="s">
        <v>75</v>
      </c>
      <c r="C204" t="s">
        <v>84</v>
      </c>
      <c r="D204" t="s">
        <v>628</v>
      </c>
      <c r="E204" t="s">
        <v>114</v>
      </c>
      <c r="F204" t="s">
        <v>549</v>
      </c>
      <c r="G204">
        <v>213.3</v>
      </c>
      <c r="H204" t="s">
        <v>31</v>
      </c>
      <c r="I204" t="s">
        <v>27</v>
      </c>
      <c r="J204">
        <v>640</v>
      </c>
      <c r="K204" t="s">
        <v>551</v>
      </c>
      <c r="L204" t="s">
        <v>891</v>
      </c>
      <c r="M204" t="s">
        <v>892</v>
      </c>
      <c r="O204" t="s">
        <v>114</v>
      </c>
      <c r="P204" t="s">
        <v>1160</v>
      </c>
      <c r="Q204" t="s">
        <v>1161</v>
      </c>
      <c r="R204" t="s">
        <v>1161</v>
      </c>
    </row>
    <row r="205" spans="1:18" hidden="1" x14ac:dyDescent="0.2">
      <c r="A205" t="s">
        <v>28</v>
      </c>
      <c r="B205" t="s">
        <v>9</v>
      </c>
      <c r="C205" t="s">
        <v>29</v>
      </c>
      <c r="D205" t="s">
        <v>893</v>
      </c>
      <c r="E205" t="s">
        <v>30</v>
      </c>
      <c r="F205" t="s">
        <v>578</v>
      </c>
      <c r="G205">
        <v>26.7</v>
      </c>
      <c r="H205" t="s">
        <v>31</v>
      </c>
      <c r="I205" t="s">
        <v>27</v>
      </c>
      <c r="J205">
        <v>80</v>
      </c>
      <c r="K205" t="s">
        <v>551</v>
      </c>
      <c r="L205" t="s">
        <v>894</v>
      </c>
      <c r="M205" t="s">
        <v>895</v>
      </c>
      <c r="N205" t="s">
        <v>896</v>
      </c>
      <c r="O205" t="s">
        <v>30</v>
      </c>
      <c r="P205" t="s">
        <v>1498</v>
      </c>
      <c r="Q205" t="s">
        <v>1165</v>
      </c>
      <c r="R205" t="s">
        <v>1165</v>
      </c>
    </row>
    <row r="206" spans="1:18" hidden="1" x14ac:dyDescent="0.2">
      <c r="A206" t="s">
        <v>111</v>
      </c>
      <c r="D206" t="s">
        <v>883</v>
      </c>
      <c r="E206" t="s">
        <v>112</v>
      </c>
      <c r="F206" t="s">
        <v>573</v>
      </c>
      <c r="G206">
        <v>46.7</v>
      </c>
      <c r="H206" t="s">
        <v>31</v>
      </c>
      <c r="I206" t="s">
        <v>51</v>
      </c>
      <c r="J206">
        <v>140</v>
      </c>
      <c r="K206" t="s">
        <v>551</v>
      </c>
      <c r="L206" t="s">
        <v>897</v>
      </c>
      <c r="M206" t="s">
        <v>898</v>
      </c>
      <c r="O206" t="s">
        <v>112</v>
      </c>
      <c r="P206" t="s">
        <v>1304</v>
      </c>
      <c r="Q206" t="s">
        <v>1165</v>
      </c>
      <c r="R206" t="s">
        <v>1165</v>
      </c>
    </row>
    <row r="207" spans="1:18" hidden="1" x14ac:dyDescent="0.2">
      <c r="A207" t="s">
        <v>109</v>
      </c>
      <c r="D207" t="s">
        <v>883</v>
      </c>
      <c r="E207" t="s">
        <v>110</v>
      </c>
      <c r="F207" t="s">
        <v>573</v>
      </c>
      <c r="G207">
        <v>46.7</v>
      </c>
      <c r="H207" t="s">
        <v>31</v>
      </c>
      <c r="I207" t="s">
        <v>51</v>
      </c>
      <c r="J207">
        <v>140</v>
      </c>
      <c r="K207" t="s">
        <v>551</v>
      </c>
      <c r="L207" t="s">
        <v>899</v>
      </c>
      <c r="M207" t="s">
        <v>898</v>
      </c>
      <c r="O207" t="s">
        <v>110</v>
      </c>
      <c r="P207" t="s">
        <v>1305</v>
      </c>
      <c r="Q207" t="s">
        <v>1165</v>
      </c>
      <c r="R207" t="s">
        <v>1165</v>
      </c>
    </row>
    <row r="208" spans="1:18" hidden="1" x14ac:dyDescent="0.2">
      <c r="A208" t="s">
        <v>107</v>
      </c>
      <c r="B208" t="s">
        <v>66</v>
      </c>
      <c r="C208" t="s">
        <v>67</v>
      </c>
      <c r="D208" t="s">
        <v>810</v>
      </c>
      <c r="E208" t="s">
        <v>108</v>
      </c>
      <c r="F208" t="s">
        <v>578</v>
      </c>
      <c r="G208">
        <v>140</v>
      </c>
      <c r="H208" t="s">
        <v>26</v>
      </c>
      <c r="I208" t="s">
        <v>27</v>
      </c>
      <c r="J208">
        <v>420</v>
      </c>
      <c r="K208" t="s">
        <v>551</v>
      </c>
      <c r="L208" t="s">
        <v>900</v>
      </c>
      <c r="M208" t="s">
        <v>901</v>
      </c>
      <c r="O208" t="s">
        <v>108</v>
      </c>
      <c r="P208" t="s">
        <v>1164</v>
      </c>
      <c r="Q208" t="s">
        <v>1165</v>
      </c>
      <c r="R208" t="s">
        <v>1165</v>
      </c>
    </row>
    <row r="209" spans="1:18" hidden="1" x14ac:dyDescent="0.2">
      <c r="A209" t="s">
        <v>105</v>
      </c>
      <c r="B209" t="s">
        <v>66</v>
      </c>
      <c r="C209" t="s">
        <v>67</v>
      </c>
      <c r="D209" t="s">
        <v>810</v>
      </c>
      <c r="E209" t="s">
        <v>106</v>
      </c>
      <c r="F209" t="s">
        <v>578</v>
      </c>
      <c r="G209">
        <v>140</v>
      </c>
      <c r="H209" t="s">
        <v>26</v>
      </c>
      <c r="I209" t="s">
        <v>27</v>
      </c>
      <c r="J209">
        <v>420</v>
      </c>
      <c r="K209" t="s">
        <v>551</v>
      </c>
      <c r="L209" t="s">
        <v>902</v>
      </c>
      <c r="M209" t="s">
        <v>901</v>
      </c>
      <c r="O209" t="s">
        <v>106</v>
      </c>
      <c r="P209" t="s">
        <v>1166</v>
      </c>
      <c r="Q209" t="s">
        <v>1165</v>
      </c>
      <c r="R209" t="s">
        <v>1165</v>
      </c>
    </row>
    <row r="210" spans="1:18" hidden="1" x14ac:dyDescent="0.2">
      <c r="A210" t="s">
        <v>103</v>
      </c>
      <c r="B210" t="s">
        <v>56</v>
      </c>
      <c r="C210" t="s">
        <v>60</v>
      </c>
      <c r="D210" t="s">
        <v>647</v>
      </c>
      <c r="E210" t="s">
        <v>104</v>
      </c>
      <c r="F210" t="s">
        <v>688</v>
      </c>
      <c r="G210">
        <v>42.7</v>
      </c>
      <c r="H210" t="s">
        <v>26</v>
      </c>
      <c r="I210" t="s">
        <v>14</v>
      </c>
      <c r="J210">
        <v>128</v>
      </c>
      <c r="K210" t="s">
        <v>551</v>
      </c>
      <c r="L210" t="s">
        <v>903</v>
      </c>
      <c r="M210" t="s">
        <v>904</v>
      </c>
      <c r="N210" t="s">
        <v>493</v>
      </c>
      <c r="O210" t="s">
        <v>104</v>
      </c>
      <c r="P210" t="s">
        <v>1194</v>
      </c>
      <c r="Q210" t="s">
        <v>1172</v>
      </c>
      <c r="R210" t="s">
        <v>1195</v>
      </c>
    </row>
    <row r="211" spans="1:18" hidden="1" x14ac:dyDescent="0.2">
      <c r="A211" t="s">
        <v>32</v>
      </c>
      <c r="B211" t="s">
        <v>9</v>
      </c>
      <c r="C211" t="s">
        <v>33</v>
      </c>
      <c r="D211" t="s">
        <v>876</v>
      </c>
      <c r="E211" t="s">
        <v>34</v>
      </c>
      <c r="F211" t="s">
        <v>549</v>
      </c>
      <c r="G211">
        <v>140</v>
      </c>
      <c r="H211" t="s">
        <v>31</v>
      </c>
      <c r="I211" t="s">
        <v>27</v>
      </c>
      <c r="J211">
        <v>420</v>
      </c>
      <c r="K211" t="s">
        <v>551</v>
      </c>
      <c r="L211" t="s">
        <v>905</v>
      </c>
      <c r="M211" t="s">
        <v>906</v>
      </c>
      <c r="O211" t="s">
        <v>34</v>
      </c>
      <c r="P211" t="s">
        <v>1412</v>
      </c>
      <c r="Q211" t="s">
        <v>1165</v>
      </c>
      <c r="R211" t="s">
        <v>1165</v>
      </c>
    </row>
    <row r="212" spans="1:18" hidden="1" x14ac:dyDescent="0.2">
      <c r="A212" t="s">
        <v>469</v>
      </c>
      <c r="B212" t="s">
        <v>75</v>
      </c>
      <c r="C212" t="s">
        <v>77</v>
      </c>
      <c r="D212" t="s">
        <v>548</v>
      </c>
      <c r="E212" t="s">
        <v>470</v>
      </c>
      <c r="F212" t="s">
        <v>578</v>
      </c>
      <c r="H212" t="s">
        <v>31</v>
      </c>
      <c r="I212" t="s">
        <v>27</v>
      </c>
      <c r="J212" t="s">
        <v>550</v>
      </c>
      <c r="K212" t="s">
        <v>551</v>
      </c>
      <c r="L212" t="s">
        <v>907</v>
      </c>
      <c r="M212" t="s">
        <v>660</v>
      </c>
      <c r="O212" t="s">
        <v>470</v>
      </c>
      <c r="P212" t="s">
        <v>1478</v>
      </c>
      <c r="Q212" t="s">
        <v>1165</v>
      </c>
      <c r="R212" t="s">
        <v>1165</v>
      </c>
    </row>
    <row r="213" spans="1:18" hidden="1" x14ac:dyDescent="0.2">
      <c r="A213" t="s">
        <v>37</v>
      </c>
      <c r="B213" t="s">
        <v>9</v>
      </c>
      <c r="C213" t="s">
        <v>33</v>
      </c>
      <c r="D213" t="s">
        <v>876</v>
      </c>
      <c r="E213" t="s">
        <v>38</v>
      </c>
      <c r="F213" t="s">
        <v>578</v>
      </c>
      <c r="G213">
        <v>140</v>
      </c>
      <c r="H213" t="s">
        <v>31</v>
      </c>
      <c r="I213" t="s">
        <v>27</v>
      </c>
      <c r="J213">
        <v>420</v>
      </c>
      <c r="K213" t="s">
        <v>551</v>
      </c>
      <c r="L213" t="s">
        <v>908</v>
      </c>
      <c r="M213" t="s">
        <v>909</v>
      </c>
      <c r="O213" t="s">
        <v>38</v>
      </c>
      <c r="P213" t="s">
        <v>1413</v>
      </c>
      <c r="Q213" t="s">
        <v>1165</v>
      </c>
      <c r="R213" t="s">
        <v>1165</v>
      </c>
    </row>
    <row r="214" spans="1:18" hidden="1" x14ac:dyDescent="0.2">
      <c r="A214" t="s">
        <v>39</v>
      </c>
      <c r="B214" t="s">
        <v>9</v>
      </c>
      <c r="C214" t="s">
        <v>33</v>
      </c>
      <c r="D214" t="s">
        <v>876</v>
      </c>
      <c r="E214" t="s">
        <v>40</v>
      </c>
      <c r="F214" t="s">
        <v>578</v>
      </c>
      <c r="G214">
        <v>140</v>
      </c>
      <c r="H214" t="s">
        <v>31</v>
      </c>
      <c r="I214" t="s">
        <v>27</v>
      </c>
      <c r="J214">
        <v>420</v>
      </c>
      <c r="K214" t="s">
        <v>551</v>
      </c>
      <c r="L214" t="s">
        <v>910</v>
      </c>
      <c r="M214" t="s">
        <v>911</v>
      </c>
      <c r="O214" t="s">
        <v>40</v>
      </c>
      <c r="P214" t="s">
        <v>1414</v>
      </c>
      <c r="Q214" t="s">
        <v>1165</v>
      </c>
      <c r="R214" t="s">
        <v>1165</v>
      </c>
    </row>
    <row r="215" spans="1:18" hidden="1" x14ac:dyDescent="0.2">
      <c r="A215" t="s">
        <v>41</v>
      </c>
      <c r="B215" t="s">
        <v>9</v>
      </c>
      <c r="C215" t="s">
        <v>33</v>
      </c>
      <c r="D215" t="s">
        <v>876</v>
      </c>
      <c r="E215" t="s">
        <v>42</v>
      </c>
      <c r="F215" t="s">
        <v>578</v>
      </c>
      <c r="G215">
        <v>140</v>
      </c>
      <c r="H215" t="s">
        <v>31</v>
      </c>
      <c r="I215" t="s">
        <v>27</v>
      </c>
      <c r="J215">
        <v>420</v>
      </c>
      <c r="K215" t="s">
        <v>551</v>
      </c>
      <c r="L215" t="s">
        <v>912</v>
      </c>
      <c r="M215" t="s">
        <v>913</v>
      </c>
      <c r="O215" t="s">
        <v>42</v>
      </c>
      <c r="P215" t="s">
        <v>1415</v>
      </c>
      <c r="Q215" t="s">
        <v>1165</v>
      </c>
      <c r="R215" t="s">
        <v>1165</v>
      </c>
    </row>
    <row r="216" spans="1:18" hidden="1" x14ac:dyDescent="0.2">
      <c r="A216" t="s">
        <v>43</v>
      </c>
      <c r="B216" t="s">
        <v>9</v>
      </c>
      <c r="C216" t="s">
        <v>33</v>
      </c>
      <c r="D216" t="s">
        <v>876</v>
      </c>
      <c r="E216" t="s">
        <v>44</v>
      </c>
      <c r="F216" t="s">
        <v>578</v>
      </c>
      <c r="G216">
        <v>140</v>
      </c>
      <c r="H216" t="s">
        <v>31</v>
      </c>
      <c r="I216" t="s">
        <v>27</v>
      </c>
      <c r="J216">
        <v>420</v>
      </c>
      <c r="K216" t="s">
        <v>551</v>
      </c>
      <c r="L216" t="s">
        <v>914</v>
      </c>
      <c r="M216" t="s">
        <v>913</v>
      </c>
      <c r="O216" t="s">
        <v>44</v>
      </c>
      <c r="P216" t="s">
        <v>1416</v>
      </c>
      <c r="Q216" t="s">
        <v>1165</v>
      </c>
      <c r="R216" t="s">
        <v>1165</v>
      </c>
    </row>
    <row r="217" spans="1:18" hidden="1" x14ac:dyDescent="0.2">
      <c r="A217" t="s">
        <v>481</v>
      </c>
      <c r="B217" t="s">
        <v>66</v>
      </c>
      <c r="C217" t="s">
        <v>68</v>
      </c>
      <c r="D217" t="s">
        <v>710</v>
      </c>
      <c r="E217" t="s">
        <v>482</v>
      </c>
      <c r="F217" t="s">
        <v>578</v>
      </c>
      <c r="G217">
        <v>128</v>
      </c>
      <c r="H217" t="s">
        <v>26</v>
      </c>
      <c r="I217" t="s">
        <v>27</v>
      </c>
      <c r="J217">
        <v>384</v>
      </c>
      <c r="K217" t="s">
        <v>551</v>
      </c>
      <c r="L217" t="s">
        <v>915</v>
      </c>
      <c r="M217" t="s">
        <v>916</v>
      </c>
      <c r="O217" t="s">
        <v>482</v>
      </c>
      <c r="P217" t="s">
        <v>1316</v>
      </c>
      <c r="Q217" t="s">
        <v>1165</v>
      </c>
      <c r="R217" t="s">
        <v>1165</v>
      </c>
    </row>
    <row r="218" spans="1:18" hidden="1" x14ac:dyDescent="0.2">
      <c r="A218" t="s">
        <v>479</v>
      </c>
      <c r="B218" t="s">
        <v>66</v>
      </c>
      <c r="C218" t="s">
        <v>68</v>
      </c>
      <c r="D218" t="s">
        <v>710</v>
      </c>
      <c r="E218" t="s">
        <v>480</v>
      </c>
      <c r="F218" t="s">
        <v>578</v>
      </c>
      <c r="G218">
        <v>140</v>
      </c>
      <c r="H218" t="s">
        <v>26</v>
      </c>
      <c r="I218" t="s">
        <v>27</v>
      </c>
      <c r="J218">
        <v>420</v>
      </c>
      <c r="K218" t="s">
        <v>551</v>
      </c>
      <c r="L218" t="s">
        <v>917</v>
      </c>
      <c r="M218" t="s">
        <v>918</v>
      </c>
      <c r="O218" t="s">
        <v>480</v>
      </c>
      <c r="P218" t="s">
        <v>1317</v>
      </c>
      <c r="Q218" t="s">
        <v>1165</v>
      </c>
      <c r="R218" t="s">
        <v>1165</v>
      </c>
    </row>
    <row r="219" spans="1:18" hidden="1" x14ac:dyDescent="0.2">
      <c r="A219" t="s">
        <v>477</v>
      </c>
      <c r="B219" t="s">
        <v>66</v>
      </c>
      <c r="C219" t="s">
        <v>68</v>
      </c>
      <c r="D219" t="s">
        <v>710</v>
      </c>
      <c r="E219" t="s">
        <v>478</v>
      </c>
      <c r="F219" t="s">
        <v>578</v>
      </c>
      <c r="G219">
        <v>46.7</v>
      </c>
      <c r="H219" t="s">
        <v>26</v>
      </c>
      <c r="I219" t="s">
        <v>27</v>
      </c>
      <c r="J219">
        <v>140</v>
      </c>
      <c r="K219" t="s">
        <v>551</v>
      </c>
      <c r="L219" t="s">
        <v>919</v>
      </c>
      <c r="M219" t="s">
        <v>920</v>
      </c>
      <c r="O219" t="s">
        <v>478</v>
      </c>
      <c r="P219" t="s">
        <v>1318</v>
      </c>
      <c r="Q219" t="s">
        <v>1165</v>
      </c>
      <c r="R219" t="s">
        <v>1165</v>
      </c>
    </row>
    <row r="220" spans="1:18" hidden="1" x14ac:dyDescent="0.2">
      <c r="A220" t="s">
        <v>475</v>
      </c>
      <c r="B220" t="s">
        <v>66</v>
      </c>
      <c r="C220" t="s">
        <v>68</v>
      </c>
      <c r="D220" t="s">
        <v>710</v>
      </c>
      <c r="E220" t="s">
        <v>476</v>
      </c>
      <c r="F220" t="s">
        <v>578</v>
      </c>
      <c r="G220">
        <v>264</v>
      </c>
      <c r="H220" t="s">
        <v>26</v>
      </c>
      <c r="I220" t="s">
        <v>27</v>
      </c>
      <c r="J220">
        <v>792</v>
      </c>
      <c r="K220" t="s">
        <v>554</v>
      </c>
      <c r="L220" t="s">
        <v>921</v>
      </c>
      <c r="M220" t="s">
        <v>922</v>
      </c>
      <c r="O220" t="s">
        <v>476</v>
      </c>
      <c r="P220" t="s">
        <v>1319</v>
      </c>
      <c r="Q220" t="s">
        <v>1320</v>
      </c>
      <c r="R220" t="s">
        <v>1321</v>
      </c>
    </row>
    <row r="221" spans="1:18" hidden="1" x14ac:dyDescent="0.2">
      <c r="A221" t="s">
        <v>473</v>
      </c>
      <c r="B221" t="s">
        <v>66</v>
      </c>
      <c r="C221" t="s">
        <v>68</v>
      </c>
      <c r="D221" t="s">
        <v>710</v>
      </c>
      <c r="E221" t="s">
        <v>474</v>
      </c>
      <c r="F221" t="s">
        <v>578</v>
      </c>
      <c r="G221">
        <v>140</v>
      </c>
      <c r="H221" t="s">
        <v>26</v>
      </c>
      <c r="I221" t="s">
        <v>51</v>
      </c>
      <c r="J221">
        <v>420</v>
      </c>
      <c r="K221" t="s">
        <v>551</v>
      </c>
      <c r="L221" t="s">
        <v>923</v>
      </c>
      <c r="M221" t="s">
        <v>924</v>
      </c>
      <c r="O221" t="s">
        <v>474</v>
      </c>
      <c r="P221" t="s">
        <v>1322</v>
      </c>
      <c r="Q221" t="s">
        <v>1165</v>
      </c>
      <c r="R221" t="s">
        <v>1165</v>
      </c>
    </row>
    <row r="222" spans="1:18" hidden="1" x14ac:dyDescent="0.2">
      <c r="A222" t="s">
        <v>471</v>
      </c>
      <c r="D222" t="s">
        <v>925</v>
      </c>
      <c r="E222" t="s">
        <v>472</v>
      </c>
      <c r="F222" t="s">
        <v>573</v>
      </c>
      <c r="G222">
        <v>46.7</v>
      </c>
      <c r="H222" t="s">
        <v>31</v>
      </c>
      <c r="I222" t="s">
        <v>51</v>
      </c>
      <c r="J222">
        <v>140</v>
      </c>
      <c r="K222" t="s">
        <v>551</v>
      </c>
      <c r="L222" t="s">
        <v>926</v>
      </c>
      <c r="M222" t="s">
        <v>786</v>
      </c>
      <c r="O222" t="s">
        <v>472</v>
      </c>
      <c r="P222" t="s">
        <v>1513</v>
      </c>
      <c r="Q222" t="s">
        <v>1514</v>
      </c>
      <c r="R222" t="s">
        <v>1514</v>
      </c>
    </row>
    <row r="223" spans="1:18" hidden="1" x14ac:dyDescent="0.2">
      <c r="A223" t="s">
        <v>35</v>
      </c>
      <c r="B223" t="s">
        <v>9</v>
      </c>
      <c r="C223" t="s">
        <v>33</v>
      </c>
      <c r="D223" t="s">
        <v>876</v>
      </c>
      <c r="E223" t="s">
        <v>36</v>
      </c>
      <c r="F223" t="s">
        <v>573</v>
      </c>
      <c r="G223">
        <v>181.3</v>
      </c>
      <c r="H223" t="s">
        <v>26</v>
      </c>
      <c r="I223" t="s">
        <v>27</v>
      </c>
      <c r="J223">
        <v>544</v>
      </c>
      <c r="K223" t="s">
        <v>592</v>
      </c>
      <c r="L223" t="s">
        <v>927</v>
      </c>
      <c r="M223" t="s">
        <v>928</v>
      </c>
      <c r="O223" t="s">
        <v>36</v>
      </c>
      <c r="P223" t="s">
        <v>1417</v>
      </c>
      <c r="Q223" t="s">
        <v>1418</v>
      </c>
      <c r="R223" t="s">
        <v>1419</v>
      </c>
    </row>
    <row r="226" spans="2:19" ht="15" x14ac:dyDescent="0.25">
      <c r="S226" s="59"/>
    </row>
    <row r="229" spans="2:19" ht="15" x14ac:dyDescent="0.25">
      <c r="B229" s="59"/>
      <c r="C229" s="59"/>
      <c r="D229" s="59"/>
      <c r="E229" s="59"/>
      <c r="F229" s="59"/>
      <c r="H229" s="59"/>
      <c r="I229" s="59"/>
      <c r="J229" s="59"/>
      <c r="K229" s="59"/>
      <c r="L229" s="59"/>
      <c r="M229" s="59"/>
      <c r="N229" s="59"/>
      <c r="O229" s="59"/>
      <c r="P229" s="59"/>
      <c r="Q229" s="59"/>
      <c r="R229" s="59"/>
    </row>
  </sheetData>
  <phoneticPr fontId="17"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EE37E-B8DB-44CC-8FFC-7A9F6806089E}">
  <dimension ref="A1:R33"/>
  <sheetViews>
    <sheetView zoomScale="85" zoomScaleNormal="85" workbookViewId="0">
      <selection activeCell="D28" sqref="D28"/>
    </sheetView>
  </sheetViews>
  <sheetFormatPr defaultRowHeight="14.25" x14ac:dyDescent="0.2"/>
  <cols>
    <col min="1" max="1" width="13.125" bestFit="1" customWidth="1"/>
    <col min="2" max="2" width="15.25" bestFit="1" customWidth="1"/>
    <col min="3" max="3" width="3.125" customWidth="1"/>
    <col min="4" max="4" width="46.25" bestFit="1" customWidth="1"/>
    <col min="5" max="5" width="27.875" bestFit="1" customWidth="1"/>
    <col min="6" max="6" width="11.375" bestFit="1" customWidth="1"/>
    <col min="7" max="9" width="6.625" bestFit="1" customWidth="1"/>
    <col min="10" max="10" width="11.375" bestFit="1" customWidth="1"/>
    <col min="11" max="11" width="3.125" customWidth="1"/>
    <col min="12" max="12" width="41.875" bestFit="1" customWidth="1"/>
    <col min="13" max="13" width="16.125" bestFit="1" customWidth="1"/>
    <col min="14" max="17" width="8.25" bestFit="1" customWidth="1"/>
    <col min="18" max="19" width="11.375" bestFit="1" customWidth="1"/>
  </cols>
  <sheetData>
    <row r="1" spans="1:18" x14ac:dyDescent="0.2">
      <c r="D1" s="24" t="s">
        <v>542</v>
      </c>
      <c r="E1" t="s">
        <v>18</v>
      </c>
    </row>
    <row r="3" spans="1:18" x14ac:dyDescent="0.2">
      <c r="A3" t="s">
        <v>47</v>
      </c>
      <c r="B3" t="s">
        <v>48</v>
      </c>
      <c r="D3" s="24" t="s">
        <v>47</v>
      </c>
      <c r="E3" t="s">
        <v>1653</v>
      </c>
      <c r="L3" t="s">
        <v>48</v>
      </c>
      <c r="M3" t="s">
        <v>49</v>
      </c>
    </row>
    <row r="4" spans="1:18" x14ac:dyDescent="0.2">
      <c r="A4" s="2" t="s">
        <v>50</v>
      </c>
      <c r="B4" s="37">
        <v>1464.9999999999998</v>
      </c>
      <c r="D4" s="2" t="s">
        <v>56</v>
      </c>
      <c r="E4">
        <v>9144</v>
      </c>
      <c r="L4" t="s">
        <v>47</v>
      </c>
      <c r="M4" t="s">
        <v>50</v>
      </c>
      <c r="N4" t="s">
        <v>14</v>
      </c>
      <c r="O4" t="s">
        <v>18</v>
      </c>
      <c r="P4" t="s">
        <v>27</v>
      </c>
      <c r="Q4" t="s">
        <v>51</v>
      </c>
      <c r="R4" t="s">
        <v>52</v>
      </c>
    </row>
    <row r="5" spans="1:18" x14ac:dyDescent="0.2">
      <c r="A5" s="2" t="s">
        <v>14</v>
      </c>
      <c r="B5" s="37">
        <v>21444.800000000017</v>
      </c>
      <c r="D5" s="25" t="s">
        <v>57</v>
      </c>
      <c r="E5">
        <v>1200</v>
      </c>
      <c r="L5" s="2" t="s">
        <v>12</v>
      </c>
      <c r="M5">
        <v>1359.9999999999998</v>
      </c>
      <c r="N5">
        <v>2395.1999999999989</v>
      </c>
      <c r="O5">
        <v>2993.3000000000015</v>
      </c>
      <c r="P5">
        <v>1555.4999999999998</v>
      </c>
      <c r="R5">
        <v>8304</v>
      </c>
    </row>
    <row r="6" spans="1:18" x14ac:dyDescent="0.2">
      <c r="A6" s="2" t="s">
        <v>18</v>
      </c>
      <c r="B6" s="37">
        <v>36520.800000000039</v>
      </c>
      <c r="D6" s="25" t="s">
        <v>59</v>
      </c>
      <c r="E6">
        <v>3200</v>
      </c>
      <c r="L6" s="2" t="s">
        <v>22</v>
      </c>
      <c r="M6">
        <v>37.4</v>
      </c>
      <c r="N6">
        <v>6802.7999999999975</v>
      </c>
      <c r="O6">
        <v>11974.499999999996</v>
      </c>
      <c r="P6">
        <v>14966.699999999997</v>
      </c>
      <c r="Q6">
        <v>7777.7</v>
      </c>
      <c r="R6">
        <v>41559.099999999991</v>
      </c>
    </row>
    <row r="7" spans="1:18" x14ac:dyDescent="0.2">
      <c r="A7" s="2" t="s">
        <v>27</v>
      </c>
      <c r="B7" s="37">
        <v>43462.399999999951</v>
      </c>
      <c r="D7" s="25" t="s">
        <v>60</v>
      </c>
      <c r="E7">
        <v>2720</v>
      </c>
      <c r="L7" s="2" t="s">
        <v>20</v>
      </c>
      <c r="M7">
        <v>15</v>
      </c>
      <c r="N7">
        <v>2721.3999999999996</v>
      </c>
      <c r="O7">
        <v>4789.5999999999995</v>
      </c>
      <c r="P7">
        <v>5986.7</v>
      </c>
      <c r="Q7">
        <v>3111.0999999999995</v>
      </c>
      <c r="R7">
        <v>16623.8</v>
      </c>
    </row>
    <row r="8" spans="1:18" x14ac:dyDescent="0.2">
      <c r="A8" s="2" t="s">
        <v>51</v>
      </c>
      <c r="B8" s="37">
        <v>21777.900000000009</v>
      </c>
      <c r="D8" s="25" t="s">
        <v>61</v>
      </c>
      <c r="E8">
        <v>424</v>
      </c>
      <c r="L8" s="2" t="s">
        <v>21</v>
      </c>
      <c r="M8">
        <v>18.8</v>
      </c>
      <c r="N8">
        <v>3402.0000000000014</v>
      </c>
      <c r="O8">
        <v>5986.9000000000015</v>
      </c>
      <c r="P8">
        <v>7483.4000000000015</v>
      </c>
      <c r="Q8">
        <v>3889.0000000000005</v>
      </c>
      <c r="R8">
        <v>20780.100000000006</v>
      </c>
    </row>
    <row r="9" spans="1:18" x14ac:dyDescent="0.2">
      <c r="A9" s="2" t="s">
        <v>52</v>
      </c>
      <c r="B9" s="37">
        <v>124670.90000000001</v>
      </c>
      <c r="D9" s="25" t="s">
        <v>62</v>
      </c>
      <c r="E9">
        <v>1600</v>
      </c>
      <c r="L9" s="2" t="s">
        <v>19</v>
      </c>
      <c r="M9">
        <v>15</v>
      </c>
      <c r="N9">
        <v>2721.3999999999996</v>
      </c>
      <c r="O9">
        <v>4789.5999999999995</v>
      </c>
      <c r="P9">
        <v>5986.7</v>
      </c>
      <c r="Q9">
        <v>3111.0999999999995</v>
      </c>
      <c r="R9">
        <v>16623.8</v>
      </c>
    </row>
    <row r="10" spans="1:18" x14ac:dyDescent="0.2">
      <c r="D10" s="2" t="s">
        <v>63</v>
      </c>
      <c r="E10">
        <v>4232</v>
      </c>
      <c r="L10" s="2" t="s">
        <v>17</v>
      </c>
      <c r="M10">
        <v>18.8</v>
      </c>
      <c r="N10">
        <v>3402.0000000000014</v>
      </c>
      <c r="O10">
        <v>5986.9000000000015</v>
      </c>
      <c r="P10">
        <v>7483.4000000000015</v>
      </c>
      <c r="Q10">
        <v>3889.0000000000005</v>
      </c>
      <c r="R10">
        <v>20780.100000000006</v>
      </c>
    </row>
    <row r="11" spans="1:18" x14ac:dyDescent="0.2">
      <c r="D11" s="25" t="s">
        <v>64</v>
      </c>
      <c r="E11">
        <v>792</v>
      </c>
      <c r="L11" s="2" t="s">
        <v>1528</v>
      </c>
    </row>
    <row r="12" spans="1:18" x14ac:dyDescent="0.2">
      <c r="D12" s="25" t="s">
        <v>65</v>
      </c>
      <c r="E12">
        <v>3440</v>
      </c>
      <c r="L12" s="2" t="s">
        <v>1529</v>
      </c>
    </row>
    <row r="13" spans="1:18" x14ac:dyDescent="0.2">
      <c r="A13" t="s">
        <v>47</v>
      </c>
      <c r="B13" t="s">
        <v>48</v>
      </c>
      <c r="D13" s="2" t="s">
        <v>66</v>
      </c>
      <c r="E13">
        <v>4336</v>
      </c>
      <c r="L13" s="2" t="s">
        <v>1530</v>
      </c>
    </row>
    <row r="14" spans="1:18" x14ac:dyDescent="0.2">
      <c r="A14" s="2" t="s">
        <v>26</v>
      </c>
      <c r="B14" s="37">
        <v>72271.900000000038</v>
      </c>
      <c r="D14" s="25" t="s">
        <v>68</v>
      </c>
      <c r="E14">
        <v>760</v>
      </c>
      <c r="L14" s="2" t="s">
        <v>1531</v>
      </c>
    </row>
    <row r="15" spans="1:18" x14ac:dyDescent="0.2">
      <c r="A15" s="2" t="s">
        <v>13</v>
      </c>
      <c r="B15" s="37">
        <v>4629.0000000000009</v>
      </c>
      <c r="D15" s="25" t="s">
        <v>70</v>
      </c>
      <c r="E15">
        <v>2240</v>
      </c>
      <c r="L15" s="2" t="s">
        <v>52</v>
      </c>
      <c r="M15">
        <v>1464.9999999999998</v>
      </c>
      <c r="N15">
        <v>21444.799999999996</v>
      </c>
      <c r="O15">
        <v>36520.800000000003</v>
      </c>
      <c r="P15">
        <v>43462.400000000001</v>
      </c>
      <c r="Q15">
        <v>21777.899999999998</v>
      </c>
      <c r="R15">
        <v>124670.90000000001</v>
      </c>
    </row>
    <row r="16" spans="1:18" x14ac:dyDescent="0.2">
      <c r="A16" s="2" t="s">
        <v>31</v>
      </c>
      <c r="B16" s="37">
        <v>47770.000000000022</v>
      </c>
      <c r="D16" s="25" t="s">
        <v>71</v>
      </c>
      <c r="E16">
        <v>400</v>
      </c>
    </row>
    <row r="17" spans="1:5" x14ac:dyDescent="0.2">
      <c r="A17" s="2" t="s">
        <v>52</v>
      </c>
      <c r="B17" s="37">
        <v>124670.90000000005</v>
      </c>
      <c r="D17" s="25" t="s">
        <v>73</v>
      </c>
      <c r="E17">
        <v>560</v>
      </c>
    </row>
    <row r="18" spans="1:5" x14ac:dyDescent="0.2">
      <c r="D18" s="25" t="s">
        <v>74</v>
      </c>
      <c r="E18">
        <v>376</v>
      </c>
    </row>
    <row r="19" spans="1:5" x14ac:dyDescent="0.2">
      <c r="D19" s="2" t="s">
        <v>75</v>
      </c>
      <c r="E19">
        <v>15471.2</v>
      </c>
    </row>
    <row r="20" spans="1:5" x14ac:dyDescent="0.2">
      <c r="D20" s="25" t="s">
        <v>76</v>
      </c>
      <c r="E20">
        <v>288</v>
      </c>
    </row>
    <row r="21" spans="1:5" x14ac:dyDescent="0.2">
      <c r="D21" s="25" t="s">
        <v>77</v>
      </c>
      <c r="E21">
        <v>0</v>
      </c>
    </row>
    <row r="22" spans="1:5" x14ac:dyDescent="0.2">
      <c r="D22" s="25" t="s">
        <v>78</v>
      </c>
      <c r="E22">
        <v>3600</v>
      </c>
    </row>
    <row r="23" spans="1:5" x14ac:dyDescent="0.2">
      <c r="D23" s="25" t="s">
        <v>79</v>
      </c>
      <c r="E23">
        <v>64</v>
      </c>
    </row>
    <row r="24" spans="1:5" x14ac:dyDescent="0.2">
      <c r="D24" s="25" t="s">
        <v>80</v>
      </c>
      <c r="E24">
        <v>960</v>
      </c>
    </row>
    <row r="25" spans="1:5" x14ac:dyDescent="0.2">
      <c r="D25" s="25" t="s">
        <v>81</v>
      </c>
      <c r="E25">
        <v>3200</v>
      </c>
    </row>
    <row r="26" spans="1:5" x14ac:dyDescent="0.2">
      <c r="D26" s="25" t="s">
        <v>82</v>
      </c>
      <c r="E26">
        <v>2724</v>
      </c>
    </row>
    <row r="27" spans="1:5" x14ac:dyDescent="0.2">
      <c r="D27" s="25" t="s">
        <v>84</v>
      </c>
      <c r="E27">
        <v>2352</v>
      </c>
    </row>
    <row r="28" spans="1:5" x14ac:dyDescent="0.2">
      <c r="D28" s="25" t="s">
        <v>85</v>
      </c>
      <c r="E28">
        <v>2283.1999999999998</v>
      </c>
    </row>
    <row r="29" spans="1:5" x14ac:dyDescent="0.2">
      <c r="D29" s="2" t="s">
        <v>9</v>
      </c>
      <c r="E29">
        <v>461</v>
      </c>
    </row>
    <row r="30" spans="1:5" x14ac:dyDescent="0.2">
      <c r="D30" s="25" t="s">
        <v>10</v>
      </c>
      <c r="E30">
        <v>461</v>
      </c>
    </row>
    <row r="31" spans="1:5" x14ac:dyDescent="0.2">
      <c r="D31" s="2" t="s">
        <v>86</v>
      </c>
      <c r="E31">
        <v>2680</v>
      </c>
    </row>
    <row r="32" spans="1:5" x14ac:dyDescent="0.2">
      <c r="D32" s="25" t="s">
        <v>86</v>
      </c>
      <c r="E32">
        <v>2680</v>
      </c>
    </row>
    <row r="33" spans="4:5" x14ac:dyDescent="0.2">
      <c r="D33" s="2" t="s">
        <v>52</v>
      </c>
      <c r="E33">
        <v>36324.199999999997</v>
      </c>
    </row>
  </sheetData>
  <pageMargins left="0.7" right="0.7" top="0.75" bottom="0.75" header="0.3" footer="0.3"/>
  <pageSetup paperSize="9" orientation="portrait"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01ABD-5DBE-4732-818C-F98D6ED1C169}">
  <dimension ref="A1:P83"/>
  <sheetViews>
    <sheetView topLeftCell="E1" workbookViewId="0">
      <selection activeCell="I19" sqref="I19"/>
    </sheetView>
  </sheetViews>
  <sheetFormatPr defaultRowHeight="14.25" x14ac:dyDescent="0.2"/>
  <cols>
    <col min="2" max="2" width="42.625" bestFit="1" customWidth="1"/>
    <col min="3" max="3" width="19.125" customWidth="1"/>
    <col min="5" max="5" width="137.625" bestFit="1" customWidth="1"/>
    <col min="7" max="7" width="12.125" customWidth="1"/>
    <col min="9" max="9" width="10.375" customWidth="1"/>
    <col min="10" max="10" width="9.125" customWidth="1"/>
    <col min="12" max="12" width="12.625" customWidth="1"/>
    <col min="13" max="13" width="31.375" customWidth="1"/>
    <col min="14" max="14" width="33.625" customWidth="1"/>
    <col min="15" max="15" width="40.25" customWidth="1"/>
    <col min="16" max="16" width="40.75" customWidth="1"/>
  </cols>
  <sheetData>
    <row r="1" spans="1:16" ht="15" x14ac:dyDescent="0.25">
      <c r="A1" s="61" t="s">
        <v>0</v>
      </c>
      <c r="B1" s="62" t="s">
        <v>1</v>
      </c>
      <c r="C1" s="61" t="s">
        <v>2</v>
      </c>
      <c r="D1" s="62" t="s">
        <v>539</v>
      </c>
      <c r="E1" s="62" t="s">
        <v>3</v>
      </c>
      <c r="F1" s="62" t="s">
        <v>540</v>
      </c>
      <c r="G1" s="62" t="s">
        <v>6</v>
      </c>
      <c r="H1" s="62" t="s">
        <v>7</v>
      </c>
      <c r="I1" s="62" t="s">
        <v>5</v>
      </c>
      <c r="J1" s="62" t="s">
        <v>544</v>
      </c>
      <c r="K1" s="62" t="s">
        <v>546</v>
      </c>
      <c r="L1" s="62" t="s">
        <v>547</v>
      </c>
      <c r="M1" s="61" t="s">
        <v>1528</v>
      </c>
      <c r="N1" s="61" t="s">
        <v>1529</v>
      </c>
      <c r="O1" s="61" t="s">
        <v>1530</v>
      </c>
      <c r="P1" s="61" t="s">
        <v>1531</v>
      </c>
    </row>
    <row r="2" spans="1:16" hidden="1" x14ac:dyDescent="0.2">
      <c r="A2" s="58" t="s">
        <v>1597</v>
      </c>
      <c r="B2" s="58" t="s">
        <v>75</v>
      </c>
      <c r="C2" s="58" t="s">
        <v>78</v>
      </c>
      <c r="D2" s="58" t="s">
        <v>560</v>
      </c>
      <c r="E2" s="58" t="s">
        <v>1598</v>
      </c>
      <c r="F2" s="58" t="s">
        <v>549</v>
      </c>
      <c r="G2" s="58" t="s">
        <v>31</v>
      </c>
      <c r="H2" s="58" t="s">
        <v>18</v>
      </c>
      <c r="I2" s="58" t="s">
        <v>550</v>
      </c>
      <c r="J2" s="58" t="s">
        <v>554</v>
      </c>
      <c r="K2" s="58" t="s">
        <v>562</v>
      </c>
      <c r="L2" s="58"/>
      <c r="M2" s="58" t="s">
        <v>1598</v>
      </c>
      <c r="N2" s="58" t="s">
        <v>1330</v>
      </c>
      <c r="O2" s="58" t="s">
        <v>1119</v>
      </c>
      <c r="P2" s="58" t="s">
        <v>1119</v>
      </c>
    </row>
    <row r="3" spans="1:16" hidden="1" x14ac:dyDescent="0.2">
      <c r="A3" s="57" t="s">
        <v>1599</v>
      </c>
      <c r="B3" s="57" t="s">
        <v>75</v>
      </c>
      <c r="C3" s="57" t="s">
        <v>78</v>
      </c>
      <c r="D3" s="57" t="s">
        <v>560</v>
      </c>
      <c r="E3" s="57" t="s">
        <v>496</v>
      </c>
      <c r="F3" s="57" t="s">
        <v>549</v>
      </c>
      <c r="G3" s="57" t="s">
        <v>31</v>
      </c>
      <c r="H3" s="57" t="s">
        <v>18</v>
      </c>
      <c r="I3" s="57" t="s">
        <v>550</v>
      </c>
      <c r="J3" s="57" t="s">
        <v>554</v>
      </c>
      <c r="K3" s="57" t="s">
        <v>562</v>
      </c>
      <c r="L3" s="57"/>
      <c r="M3" s="57" t="s">
        <v>496</v>
      </c>
      <c r="N3" s="57" t="s">
        <v>1330</v>
      </c>
      <c r="O3" s="57" t="s">
        <v>1119</v>
      </c>
      <c r="P3" s="57" t="s">
        <v>1119</v>
      </c>
    </row>
    <row r="4" spans="1:16" hidden="1" x14ac:dyDescent="0.2">
      <c r="A4" s="58" t="s">
        <v>1596</v>
      </c>
      <c r="B4" s="58" t="s">
        <v>75</v>
      </c>
      <c r="C4" s="58" t="s">
        <v>85</v>
      </c>
      <c r="D4" s="58" t="s">
        <v>553</v>
      </c>
      <c r="E4" s="58" t="s">
        <v>527</v>
      </c>
      <c r="F4" s="58" t="s">
        <v>549</v>
      </c>
      <c r="G4" s="58" t="s">
        <v>31</v>
      </c>
      <c r="H4" s="58" t="s">
        <v>18</v>
      </c>
      <c r="I4" s="58" t="s">
        <v>550</v>
      </c>
      <c r="J4" s="58" t="s">
        <v>554</v>
      </c>
      <c r="K4" s="58" t="s">
        <v>562</v>
      </c>
      <c r="L4" s="58"/>
      <c r="M4" s="58" t="s">
        <v>527</v>
      </c>
      <c r="N4" s="58" t="s">
        <v>1235</v>
      </c>
      <c r="O4" s="58" t="s">
        <v>1236</v>
      </c>
      <c r="P4" s="58" t="s">
        <v>1119</v>
      </c>
    </row>
    <row r="5" spans="1:16" x14ac:dyDescent="0.2">
      <c r="A5" s="57" t="s">
        <v>1594</v>
      </c>
      <c r="B5" s="57"/>
      <c r="C5" s="57"/>
      <c r="D5" s="57" t="s">
        <v>692</v>
      </c>
      <c r="E5" s="57" t="s">
        <v>1595</v>
      </c>
      <c r="F5" s="57" t="s">
        <v>549</v>
      </c>
      <c r="G5" s="57" t="s">
        <v>31</v>
      </c>
      <c r="H5" s="57" t="s">
        <v>18</v>
      </c>
      <c r="I5" s="57">
        <v>640</v>
      </c>
      <c r="J5" s="57" t="s">
        <v>554</v>
      </c>
      <c r="K5" s="57" t="s">
        <v>562</v>
      </c>
      <c r="L5" s="57"/>
      <c r="M5" s="57" t="s">
        <v>1595</v>
      </c>
      <c r="N5" s="57" t="s">
        <v>1613</v>
      </c>
      <c r="O5" s="57" t="s">
        <v>1119</v>
      </c>
      <c r="P5" s="57" t="s">
        <v>1119</v>
      </c>
    </row>
    <row r="6" spans="1:16" hidden="1" x14ac:dyDescent="0.2">
      <c r="A6" s="58" t="s">
        <v>467</v>
      </c>
      <c r="B6" s="58" t="s">
        <v>75</v>
      </c>
      <c r="C6" s="58" t="s">
        <v>77</v>
      </c>
      <c r="D6" s="58" t="s">
        <v>548</v>
      </c>
      <c r="E6" s="58" t="s">
        <v>468</v>
      </c>
      <c r="F6" s="58" t="s">
        <v>578</v>
      </c>
      <c r="G6" s="58" t="s">
        <v>26</v>
      </c>
      <c r="H6" s="58" t="s">
        <v>18</v>
      </c>
      <c r="I6" s="58" t="s">
        <v>550</v>
      </c>
      <c r="J6" s="58" t="s">
        <v>554</v>
      </c>
      <c r="K6" s="58" t="s">
        <v>649</v>
      </c>
      <c r="L6" s="58"/>
      <c r="M6" s="58" t="s">
        <v>468</v>
      </c>
      <c r="N6" s="58" t="s">
        <v>1472</v>
      </c>
      <c r="O6" s="58" t="s">
        <v>1118</v>
      </c>
      <c r="P6" s="58" t="s">
        <v>1473</v>
      </c>
    </row>
    <row r="7" spans="1:16" hidden="1" x14ac:dyDescent="0.2">
      <c r="A7" s="57" t="s">
        <v>465</v>
      </c>
      <c r="B7" s="57" t="s">
        <v>75</v>
      </c>
      <c r="C7" s="57" t="s">
        <v>85</v>
      </c>
      <c r="D7" s="57" t="s">
        <v>553</v>
      </c>
      <c r="E7" s="57" t="s">
        <v>466</v>
      </c>
      <c r="F7" s="57" t="s">
        <v>549</v>
      </c>
      <c r="G7" s="57" t="s">
        <v>31</v>
      </c>
      <c r="H7" s="57" t="s">
        <v>18</v>
      </c>
      <c r="I7" s="57" t="s">
        <v>550</v>
      </c>
      <c r="J7" s="57" t="s">
        <v>554</v>
      </c>
      <c r="K7" s="57" t="s">
        <v>556</v>
      </c>
      <c r="L7" s="57"/>
      <c r="M7" s="57" t="s">
        <v>466</v>
      </c>
      <c r="N7" s="57" t="s">
        <v>1235</v>
      </c>
      <c r="O7" s="57" t="s">
        <v>1236</v>
      </c>
      <c r="P7" s="57" t="s">
        <v>1119</v>
      </c>
    </row>
    <row r="8" spans="1:16" hidden="1" x14ac:dyDescent="0.2">
      <c r="A8" s="58" t="s">
        <v>463</v>
      </c>
      <c r="B8" s="58" t="s">
        <v>75</v>
      </c>
      <c r="C8" s="58" t="s">
        <v>85</v>
      </c>
      <c r="D8" s="58" t="s">
        <v>553</v>
      </c>
      <c r="E8" s="58" t="s">
        <v>464</v>
      </c>
      <c r="F8" s="58" t="s">
        <v>549</v>
      </c>
      <c r="G8" s="58" t="s">
        <v>31</v>
      </c>
      <c r="H8" s="58" t="s">
        <v>18</v>
      </c>
      <c r="I8" s="58" t="s">
        <v>550</v>
      </c>
      <c r="J8" s="58" t="s">
        <v>554</v>
      </c>
      <c r="K8" s="58" t="s">
        <v>556</v>
      </c>
      <c r="L8" s="58"/>
      <c r="M8" s="58" t="s">
        <v>464</v>
      </c>
      <c r="N8" s="58" t="s">
        <v>1235</v>
      </c>
      <c r="O8" s="58" t="s">
        <v>1236</v>
      </c>
      <c r="P8" s="58" t="s">
        <v>1119</v>
      </c>
    </row>
    <row r="9" spans="1:16" hidden="1" x14ac:dyDescent="0.2">
      <c r="A9" s="57" t="s">
        <v>461</v>
      </c>
      <c r="B9" s="57" t="s">
        <v>75</v>
      </c>
      <c r="C9" s="57" t="s">
        <v>85</v>
      </c>
      <c r="D9" s="57" t="s">
        <v>553</v>
      </c>
      <c r="E9" s="57" t="s">
        <v>462</v>
      </c>
      <c r="F9" s="57" t="s">
        <v>549</v>
      </c>
      <c r="G9" s="57" t="s">
        <v>31</v>
      </c>
      <c r="H9" s="57" t="s">
        <v>18</v>
      </c>
      <c r="I9" s="57" t="s">
        <v>550</v>
      </c>
      <c r="J9" s="57" t="s">
        <v>554</v>
      </c>
      <c r="K9" s="57" t="s">
        <v>556</v>
      </c>
      <c r="L9" s="57"/>
      <c r="M9" s="57" t="s">
        <v>462</v>
      </c>
      <c r="N9" s="57" t="s">
        <v>1235</v>
      </c>
      <c r="O9" s="57" t="s">
        <v>1236</v>
      </c>
      <c r="P9" s="57" t="s">
        <v>1119</v>
      </c>
    </row>
    <row r="10" spans="1:16" hidden="1" x14ac:dyDescent="0.2">
      <c r="A10" s="58" t="s">
        <v>459</v>
      </c>
      <c r="B10" s="58" t="s">
        <v>75</v>
      </c>
      <c r="C10" s="58" t="s">
        <v>85</v>
      </c>
      <c r="D10" s="58" t="s">
        <v>553</v>
      </c>
      <c r="E10" s="58" t="s">
        <v>460</v>
      </c>
      <c r="F10" s="58" t="s">
        <v>549</v>
      </c>
      <c r="G10" s="58" t="s">
        <v>31</v>
      </c>
      <c r="H10" s="58" t="s">
        <v>18</v>
      </c>
      <c r="I10" s="58" t="s">
        <v>550</v>
      </c>
      <c r="J10" s="58" t="s">
        <v>554</v>
      </c>
      <c r="K10" s="58" t="s">
        <v>556</v>
      </c>
      <c r="L10" s="58"/>
      <c r="M10" s="58" t="s">
        <v>460</v>
      </c>
      <c r="N10" s="58" t="s">
        <v>1235</v>
      </c>
      <c r="O10" s="58" t="s">
        <v>1236</v>
      </c>
      <c r="P10" s="58" t="s">
        <v>1119</v>
      </c>
    </row>
    <row r="11" spans="1:16" hidden="1" x14ac:dyDescent="0.2">
      <c r="A11" s="57" t="s">
        <v>457</v>
      </c>
      <c r="B11" s="57" t="s">
        <v>75</v>
      </c>
      <c r="C11" s="57" t="s">
        <v>78</v>
      </c>
      <c r="D11" s="57" t="s">
        <v>560</v>
      </c>
      <c r="E11" s="57" t="s">
        <v>458</v>
      </c>
      <c r="F11" s="57" t="s">
        <v>549</v>
      </c>
      <c r="G11" s="57" t="s">
        <v>31</v>
      </c>
      <c r="H11" s="57" t="s">
        <v>18</v>
      </c>
      <c r="I11" s="57" t="s">
        <v>550</v>
      </c>
      <c r="J11" s="57" t="s">
        <v>554</v>
      </c>
      <c r="K11" s="57" t="s">
        <v>562</v>
      </c>
      <c r="L11" s="57"/>
      <c r="M11" s="57" t="s">
        <v>458</v>
      </c>
      <c r="N11" s="57" t="s">
        <v>1330</v>
      </c>
      <c r="O11" s="57" t="s">
        <v>1119</v>
      </c>
      <c r="P11" s="60" t="s">
        <v>1119</v>
      </c>
    </row>
    <row r="12" spans="1:16" x14ac:dyDescent="0.2">
      <c r="A12" s="58" t="s">
        <v>455</v>
      </c>
      <c r="B12" s="58" t="s">
        <v>75</v>
      </c>
      <c r="C12" s="58" t="s">
        <v>78</v>
      </c>
      <c r="D12" s="58" t="s">
        <v>560</v>
      </c>
      <c r="E12" s="58" t="s">
        <v>456</v>
      </c>
      <c r="F12" s="58" t="s">
        <v>549</v>
      </c>
      <c r="G12" s="58" t="s">
        <v>31</v>
      </c>
      <c r="H12" s="58" t="s">
        <v>18</v>
      </c>
      <c r="I12" s="58">
        <v>160</v>
      </c>
      <c r="J12" s="58" t="s">
        <v>554</v>
      </c>
      <c r="K12" s="58" t="s">
        <v>562</v>
      </c>
      <c r="L12" s="58"/>
      <c r="M12" s="58" t="s">
        <v>456</v>
      </c>
      <c r="N12" s="58" t="s">
        <v>1330</v>
      </c>
      <c r="O12" s="58" t="s">
        <v>1119</v>
      </c>
      <c r="P12" s="58" t="s">
        <v>1119</v>
      </c>
    </row>
    <row r="13" spans="1:16" hidden="1" x14ac:dyDescent="0.2">
      <c r="A13" s="57" t="s">
        <v>453</v>
      </c>
      <c r="B13" s="57" t="s">
        <v>75</v>
      </c>
      <c r="C13" s="57" t="s">
        <v>78</v>
      </c>
      <c r="D13" s="57" t="s">
        <v>560</v>
      </c>
      <c r="E13" s="57" t="s">
        <v>454</v>
      </c>
      <c r="F13" s="57" t="s">
        <v>549</v>
      </c>
      <c r="G13" s="57" t="s">
        <v>31</v>
      </c>
      <c r="H13" s="57" t="s">
        <v>18</v>
      </c>
      <c r="I13" s="57" t="s">
        <v>550</v>
      </c>
      <c r="J13" s="57" t="s">
        <v>554</v>
      </c>
      <c r="K13" s="57" t="s">
        <v>562</v>
      </c>
      <c r="L13" s="57"/>
      <c r="M13" s="57" t="s">
        <v>454</v>
      </c>
      <c r="N13" s="57" t="s">
        <v>1330</v>
      </c>
      <c r="O13" s="57" t="s">
        <v>1119</v>
      </c>
      <c r="P13" s="57" t="s">
        <v>1119</v>
      </c>
    </row>
    <row r="14" spans="1:16" hidden="1" x14ac:dyDescent="0.2">
      <c r="A14" s="58" t="s">
        <v>451</v>
      </c>
      <c r="B14" s="58" t="s">
        <v>75</v>
      </c>
      <c r="C14" s="58" t="s">
        <v>78</v>
      </c>
      <c r="D14" s="58" t="s">
        <v>560</v>
      </c>
      <c r="E14" s="58" t="s">
        <v>452</v>
      </c>
      <c r="F14" s="58" t="s">
        <v>549</v>
      </c>
      <c r="G14" s="58" t="s">
        <v>31</v>
      </c>
      <c r="H14" s="58" t="s">
        <v>18</v>
      </c>
      <c r="I14" s="58" t="s">
        <v>550</v>
      </c>
      <c r="J14" s="58" t="s">
        <v>554</v>
      </c>
      <c r="K14" s="58" t="s">
        <v>562</v>
      </c>
      <c r="L14" s="58"/>
      <c r="M14" s="58" t="s">
        <v>452</v>
      </c>
      <c r="N14" s="58" t="s">
        <v>1330</v>
      </c>
      <c r="O14" s="58" t="s">
        <v>1119</v>
      </c>
      <c r="P14" s="58" t="s">
        <v>1119</v>
      </c>
    </row>
    <row r="15" spans="1:16" x14ac:dyDescent="0.2">
      <c r="A15" s="57" t="s">
        <v>449</v>
      </c>
      <c r="B15" s="57" t="s">
        <v>75</v>
      </c>
      <c r="C15" s="57" t="s">
        <v>76</v>
      </c>
      <c r="D15" s="57" t="s">
        <v>566</v>
      </c>
      <c r="E15" s="57" t="s">
        <v>450</v>
      </c>
      <c r="F15" s="57" t="s">
        <v>549</v>
      </c>
      <c r="G15" s="57" t="s">
        <v>31</v>
      </c>
      <c r="H15" s="57" t="s">
        <v>18</v>
      </c>
      <c r="I15" s="57">
        <v>96</v>
      </c>
      <c r="J15" s="57" t="s">
        <v>554</v>
      </c>
      <c r="K15" s="57" t="s">
        <v>562</v>
      </c>
      <c r="L15" s="57"/>
      <c r="M15" s="57" t="s">
        <v>450</v>
      </c>
      <c r="N15" s="57" t="s">
        <v>1494</v>
      </c>
      <c r="O15" s="57" t="s">
        <v>1495</v>
      </c>
      <c r="P15" s="57" t="s">
        <v>1496</v>
      </c>
    </row>
    <row r="16" spans="1:16" hidden="1" x14ac:dyDescent="0.2">
      <c r="A16" s="58" t="s">
        <v>447</v>
      </c>
      <c r="B16" s="58" t="s">
        <v>75</v>
      </c>
      <c r="C16" s="58" t="s">
        <v>76</v>
      </c>
      <c r="D16" s="58" t="s">
        <v>566</v>
      </c>
      <c r="E16" s="58" t="s">
        <v>448</v>
      </c>
      <c r="F16" s="58" t="s">
        <v>549</v>
      </c>
      <c r="G16" s="58" t="s">
        <v>31</v>
      </c>
      <c r="H16" s="58" t="s">
        <v>18</v>
      </c>
      <c r="I16" s="58" t="s">
        <v>550</v>
      </c>
      <c r="J16" s="58" t="s">
        <v>554</v>
      </c>
      <c r="K16" s="58" t="s">
        <v>562</v>
      </c>
      <c r="L16" s="58"/>
      <c r="M16" s="58" t="s">
        <v>448</v>
      </c>
      <c r="N16" s="58" t="s">
        <v>1494</v>
      </c>
      <c r="O16" s="58" t="s">
        <v>1495</v>
      </c>
      <c r="P16" s="58" t="s">
        <v>1496</v>
      </c>
    </row>
    <row r="17" spans="1:16" x14ac:dyDescent="0.2">
      <c r="A17" s="57" t="s">
        <v>445</v>
      </c>
      <c r="B17" s="57" t="s">
        <v>75</v>
      </c>
      <c r="C17" s="57" t="s">
        <v>76</v>
      </c>
      <c r="D17" s="57" t="s">
        <v>566</v>
      </c>
      <c r="E17" s="57" t="s">
        <v>446</v>
      </c>
      <c r="F17" s="57" t="s">
        <v>549</v>
      </c>
      <c r="G17" s="57" t="s">
        <v>31</v>
      </c>
      <c r="H17" s="57" t="s">
        <v>18</v>
      </c>
      <c r="I17" s="57">
        <v>96</v>
      </c>
      <c r="J17" s="57" t="s">
        <v>554</v>
      </c>
      <c r="K17" s="57" t="s">
        <v>562</v>
      </c>
      <c r="L17" s="57"/>
      <c r="M17" s="57" t="s">
        <v>446</v>
      </c>
      <c r="N17" s="57" t="s">
        <v>1494</v>
      </c>
      <c r="O17" s="57" t="s">
        <v>1495</v>
      </c>
      <c r="P17" s="57" t="s">
        <v>1496</v>
      </c>
    </row>
    <row r="18" spans="1:16" hidden="1" x14ac:dyDescent="0.2">
      <c r="A18" s="58" t="s">
        <v>443</v>
      </c>
      <c r="B18" s="58" t="s">
        <v>75</v>
      </c>
      <c r="C18" s="58" t="s">
        <v>76</v>
      </c>
      <c r="D18" s="58" t="s">
        <v>566</v>
      </c>
      <c r="E18" s="58" t="s">
        <v>444</v>
      </c>
      <c r="F18" s="58" t="s">
        <v>549</v>
      </c>
      <c r="G18" s="58" t="s">
        <v>31</v>
      </c>
      <c r="H18" s="58" t="s">
        <v>18</v>
      </c>
      <c r="I18" s="58" t="s">
        <v>550</v>
      </c>
      <c r="J18" s="58" t="s">
        <v>554</v>
      </c>
      <c r="K18" s="58" t="s">
        <v>562</v>
      </c>
      <c r="L18" s="58"/>
      <c r="M18" s="58" t="s">
        <v>444</v>
      </c>
      <c r="N18" s="58" t="s">
        <v>1494</v>
      </c>
      <c r="O18" s="58" t="s">
        <v>1495</v>
      </c>
      <c r="P18" s="58" t="s">
        <v>1496</v>
      </c>
    </row>
    <row r="19" spans="1:16" x14ac:dyDescent="0.2">
      <c r="A19" s="57" t="s">
        <v>441</v>
      </c>
      <c r="B19" s="57" t="s">
        <v>75</v>
      </c>
      <c r="C19" s="57" t="s">
        <v>76</v>
      </c>
      <c r="D19" s="57" t="s">
        <v>566</v>
      </c>
      <c r="E19" s="57" t="s">
        <v>442</v>
      </c>
      <c r="F19" s="57" t="s">
        <v>549</v>
      </c>
      <c r="G19" s="57" t="s">
        <v>31</v>
      </c>
      <c r="H19" s="57" t="s">
        <v>18</v>
      </c>
      <c r="I19" s="57">
        <v>96</v>
      </c>
      <c r="J19" s="57" t="s">
        <v>554</v>
      </c>
      <c r="K19" s="57" t="s">
        <v>562</v>
      </c>
      <c r="L19" s="57"/>
      <c r="M19" s="57" t="s">
        <v>442</v>
      </c>
      <c r="N19" s="57" t="s">
        <v>1494</v>
      </c>
      <c r="O19" s="57" t="s">
        <v>1495</v>
      </c>
      <c r="P19" s="57" t="s">
        <v>1496</v>
      </c>
    </row>
    <row r="20" spans="1:16" hidden="1" x14ac:dyDescent="0.2">
      <c r="A20" s="58" t="s">
        <v>440</v>
      </c>
      <c r="B20" s="58" t="s">
        <v>56</v>
      </c>
      <c r="C20" s="58" t="s">
        <v>62</v>
      </c>
      <c r="D20" s="58" t="s">
        <v>572</v>
      </c>
      <c r="E20" s="58" t="s">
        <v>1621</v>
      </c>
      <c r="F20" s="58" t="s">
        <v>573</v>
      </c>
      <c r="G20" s="58" t="s">
        <v>26</v>
      </c>
      <c r="H20" s="58" t="s">
        <v>18</v>
      </c>
      <c r="I20" s="58" t="s">
        <v>550</v>
      </c>
      <c r="J20" s="58" t="s">
        <v>554</v>
      </c>
      <c r="K20" s="58" t="s">
        <v>649</v>
      </c>
      <c r="L20" s="58"/>
      <c r="M20" s="58" t="s">
        <v>1621</v>
      </c>
      <c r="N20" s="58" t="s">
        <v>1622</v>
      </c>
      <c r="O20" s="58" t="s">
        <v>1118</v>
      </c>
      <c r="P20" s="58" t="s">
        <v>1623</v>
      </c>
    </row>
    <row r="21" spans="1:16" x14ac:dyDescent="0.2">
      <c r="A21" s="57" t="s">
        <v>438</v>
      </c>
      <c r="B21" s="57" t="s">
        <v>75</v>
      </c>
      <c r="C21" s="57" t="s">
        <v>85</v>
      </c>
      <c r="D21" s="57" t="s">
        <v>553</v>
      </c>
      <c r="E21" s="57" t="s">
        <v>439</v>
      </c>
      <c r="F21" s="57" t="s">
        <v>578</v>
      </c>
      <c r="G21" s="57" t="s">
        <v>26</v>
      </c>
      <c r="H21" s="57" t="s">
        <v>18</v>
      </c>
      <c r="I21" s="57">
        <v>400</v>
      </c>
      <c r="J21" s="57" t="s">
        <v>554</v>
      </c>
      <c r="K21" s="57" t="s">
        <v>576</v>
      </c>
      <c r="L21" s="57"/>
      <c r="M21" s="57" t="s">
        <v>439</v>
      </c>
      <c r="N21" s="57" t="s">
        <v>1237</v>
      </c>
      <c r="O21" s="57" t="s">
        <v>1237</v>
      </c>
      <c r="P21" s="57" t="s">
        <v>1237</v>
      </c>
    </row>
    <row r="22" spans="1:16" x14ac:dyDescent="0.2">
      <c r="A22" s="58" t="s">
        <v>436</v>
      </c>
      <c r="B22" s="58" t="s">
        <v>75</v>
      </c>
      <c r="C22" s="58" t="s">
        <v>85</v>
      </c>
      <c r="D22" s="58" t="s">
        <v>553</v>
      </c>
      <c r="E22" s="58" t="s">
        <v>437</v>
      </c>
      <c r="F22" s="58" t="s">
        <v>578</v>
      </c>
      <c r="G22" s="58" t="s">
        <v>26</v>
      </c>
      <c r="H22" s="58" t="s">
        <v>18</v>
      </c>
      <c r="I22" s="58">
        <v>400</v>
      </c>
      <c r="J22" s="58" t="s">
        <v>554</v>
      </c>
      <c r="K22" s="58" t="s">
        <v>576</v>
      </c>
      <c r="L22" s="58"/>
      <c r="M22" s="58" t="s">
        <v>437</v>
      </c>
      <c r="N22" s="58" t="s">
        <v>1238</v>
      </c>
      <c r="O22" s="58" t="s">
        <v>1239</v>
      </c>
      <c r="P22" s="58" t="s">
        <v>1238</v>
      </c>
    </row>
    <row r="23" spans="1:16" x14ac:dyDescent="0.2">
      <c r="A23" s="57" t="s">
        <v>434</v>
      </c>
      <c r="B23" s="57" t="s">
        <v>75</v>
      </c>
      <c r="C23" s="57" t="s">
        <v>85</v>
      </c>
      <c r="D23" s="57" t="s">
        <v>553</v>
      </c>
      <c r="E23" s="57" t="s">
        <v>435</v>
      </c>
      <c r="F23" s="57" t="s">
        <v>672</v>
      </c>
      <c r="G23" s="57" t="s">
        <v>26</v>
      </c>
      <c r="H23" s="57" t="s">
        <v>18</v>
      </c>
      <c r="I23" s="57">
        <v>168</v>
      </c>
      <c r="J23" s="57" t="s">
        <v>554</v>
      </c>
      <c r="K23" s="57" t="s">
        <v>613</v>
      </c>
      <c r="L23" s="57"/>
      <c r="M23" s="57" t="s">
        <v>435</v>
      </c>
      <c r="N23" s="57" t="s">
        <v>1240</v>
      </c>
      <c r="O23" s="57" t="s">
        <v>1241</v>
      </c>
      <c r="P23" s="57" t="s">
        <v>1242</v>
      </c>
    </row>
    <row r="24" spans="1:16" x14ac:dyDescent="0.2">
      <c r="A24" s="58" t="s">
        <v>432</v>
      </c>
      <c r="B24" s="58" t="s">
        <v>75</v>
      </c>
      <c r="C24" s="58" t="s">
        <v>85</v>
      </c>
      <c r="D24" s="58" t="s">
        <v>553</v>
      </c>
      <c r="E24" s="58" t="s">
        <v>433</v>
      </c>
      <c r="F24" s="58" t="s">
        <v>672</v>
      </c>
      <c r="G24" s="58" t="s">
        <v>26</v>
      </c>
      <c r="H24" s="58" t="s">
        <v>18</v>
      </c>
      <c r="I24" s="58">
        <v>224</v>
      </c>
      <c r="J24" s="58" t="s">
        <v>554</v>
      </c>
      <c r="K24" s="58" t="s">
        <v>613</v>
      </c>
      <c r="L24" s="58"/>
      <c r="M24" s="58" t="s">
        <v>433</v>
      </c>
      <c r="N24" s="58" t="s">
        <v>1243</v>
      </c>
      <c r="O24" s="58" t="s">
        <v>1244</v>
      </c>
      <c r="P24" s="58" t="s">
        <v>1245</v>
      </c>
    </row>
    <row r="25" spans="1:16" x14ac:dyDescent="0.2">
      <c r="A25" s="57" t="s">
        <v>430</v>
      </c>
      <c r="B25" s="57" t="s">
        <v>75</v>
      </c>
      <c r="C25" s="57" t="s">
        <v>85</v>
      </c>
      <c r="D25" s="57" t="s">
        <v>553</v>
      </c>
      <c r="E25" s="57" t="s">
        <v>431</v>
      </c>
      <c r="F25" s="57" t="s">
        <v>578</v>
      </c>
      <c r="G25" s="57" t="s">
        <v>26</v>
      </c>
      <c r="H25" s="57" t="s">
        <v>18</v>
      </c>
      <c r="I25" s="57">
        <v>400</v>
      </c>
      <c r="J25" s="57" t="s">
        <v>554</v>
      </c>
      <c r="K25" s="57" t="s">
        <v>576</v>
      </c>
      <c r="L25" s="57"/>
      <c r="M25" s="57" t="s">
        <v>431</v>
      </c>
      <c r="N25" s="57" t="s">
        <v>1119</v>
      </c>
      <c r="O25" s="57" t="s">
        <v>1118</v>
      </c>
      <c r="P25" s="57" t="s">
        <v>1119</v>
      </c>
    </row>
    <row r="26" spans="1:16" x14ac:dyDescent="0.2">
      <c r="A26" s="58" t="s">
        <v>428</v>
      </c>
      <c r="B26" s="58" t="s">
        <v>75</v>
      </c>
      <c r="C26" s="58" t="s">
        <v>80</v>
      </c>
      <c r="D26" s="58" t="s">
        <v>582</v>
      </c>
      <c r="E26" s="58" t="s">
        <v>429</v>
      </c>
      <c r="F26" s="58" t="s">
        <v>668</v>
      </c>
      <c r="G26" s="58" t="s">
        <v>26</v>
      </c>
      <c r="H26" s="58" t="s">
        <v>18</v>
      </c>
      <c r="I26" s="58">
        <v>240</v>
      </c>
      <c r="J26" s="58" t="s">
        <v>554</v>
      </c>
      <c r="K26" s="58" t="s">
        <v>584</v>
      </c>
      <c r="L26" s="58"/>
      <c r="M26" s="58" t="s">
        <v>429</v>
      </c>
      <c r="N26" s="58" t="s">
        <v>1206</v>
      </c>
      <c r="O26" s="58" t="s">
        <v>1207</v>
      </c>
      <c r="P26" s="58" t="s">
        <v>1208</v>
      </c>
    </row>
    <row r="27" spans="1:16" ht="21.75" customHeight="1" x14ac:dyDescent="0.2">
      <c r="A27" s="57" t="s">
        <v>426</v>
      </c>
      <c r="B27" s="57" t="s">
        <v>56</v>
      </c>
      <c r="C27" s="57" t="s">
        <v>62</v>
      </c>
      <c r="D27" s="57" t="s">
        <v>572</v>
      </c>
      <c r="E27" s="57" t="s">
        <v>427</v>
      </c>
      <c r="F27" s="57" t="s">
        <v>578</v>
      </c>
      <c r="G27" s="57" t="s">
        <v>26</v>
      </c>
      <c r="H27" s="57" t="s">
        <v>18</v>
      </c>
      <c r="I27" s="57">
        <v>1600</v>
      </c>
      <c r="J27" s="57" t="s">
        <v>554</v>
      </c>
      <c r="K27" s="57" t="s">
        <v>649</v>
      </c>
      <c r="L27" s="57"/>
      <c r="M27" s="57" t="s">
        <v>427</v>
      </c>
      <c r="N27" s="57" t="s">
        <v>1197</v>
      </c>
      <c r="O27" s="57" t="s">
        <v>1118</v>
      </c>
      <c r="P27" s="60" t="s">
        <v>1198</v>
      </c>
    </row>
    <row r="28" spans="1:16" hidden="1" x14ac:dyDescent="0.2">
      <c r="A28" s="58" t="s">
        <v>424</v>
      </c>
      <c r="B28" s="58" t="s">
        <v>75</v>
      </c>
      <c r="C28" s="58" t="s">
        <v>85</v>
      </c>
      <c r="D28" s="58" t="s">
        <v>553</v>
      </c>
      <c r="E28" s="58" t="s">
        <v>425</v>
      </c>
      <c r="F28" s="58" t="s">
        <v>549</v>
      </c>
      <c r="G28" s="58" t="s">
        <v>31</v>
      </c>
      <c r="H28" s="58" t="s">
        <v>18</v>
      </c>
      <c r="I28" s="58" t="s">
        <v>550</v>
      </c>
      <c r="J28" s="58" t="s">
        <v>554</v>
      </c>
      <c r="K28" s="58" t="s">
        <v>556</v>
      </c>
      <c r="L28" s="58"/>
      <c r="M28" s="58" t="s">
        <v>425</v>
      </c>
      <c r="N28" s="58" t="s">
        <v>1235</v>
      </c>
      <c r="O28" s="58" t="s">
        <v>1236</v>
      </c>
      <c r="P28" s="58" t="s">
        <v>1119</v>
      </c>
    </row>
    <row r="29" spans="1:16" hidden="1" x14ac:dyDescent="0.2">
      <c r="A29" s="57" t="s">
        <v>422</v>
      </c>
      <c r="B29" s="57" t="s">
        <v>75</v>
      </c>
      <c r="C29" s="57" t="s">
        <v>78</v>
      </c>
      <c r="D29" s="57" t="s">
        <v>560</v>
      </c>
      <c r="E29" s="57" t="s">
        <v>423</v>
      </c>
      <c r="F29" s="57" t="s">
        <v>549</v>
      </c>
      <c r="G29" s="57" t="s">
        <v>31</v>
      </c>
      <c r="H29" s="57" t="s">
        <v>18</v>
      </c>
      <c r="I29" s="57" t="s">
        <v>550</v>
      </c>
      <c r="J29" s="57" t="s">
        <v>554</v>
      </c>
      <c r="K29" s="57" t="s">
        <v>562</v>
      </c>
      <c r="L29" s="57"/>
      <c r="M29" s="57" t="s">
        <v>423</v>
      </c>
      <c r="N29" s="57" t="s">
        <v>1330</v>
      </c>
      <c r="O29" s="57" t="s">
        <v>1119</v>
      </c>
      <c r="P29" s="57" t="s">
        <v>1119</v>
      </c>
    </row>
    <row r="30" spans="1:16" x14ac:dyDescent="0.2">
      <c r="A30" s="58" t="s">
        <v>420</v>
      </c>
      <c r="B30" s="58" t="s">
        <v>75</v>
      </c>
      <c r="C30" s="58" t="s">
        <v>80</v>
      </c>
      <c r="D30" s="58" t="s">
        <v>582</v>
      </c>
      <c r="E30" s="58" t="s">
        <v>421</v>
      </c>
      <c r="F30" s="58" t="s">
        <v>549</v>
      </c>
      <c r="G30" s="58" t="s">
        <v>31</v>
      </c>
      <c r="H30" s="58" t="s">
        <v>18</v>
      </c>
      <c r="I30" s="58">
        <v>480</v>
      </c>
      <c r="J30" s="58" t="s">
        <v>554</v>
      </c>
      <c r="K30" s="58" t="s">
        <v>589</v>
      </c>
      <c r="L30" s="58"/>
      <c r="M30" s="58" t="s">
        <v>421</v>
      </c>
      <c r="N30" s="58" t="s">
        <v>1209</v>
      </c>
      <c r="O30" s="58" t="s">
        <v>1118</v>
      </c>
      <c r="P30" s="58" t="s">
        <v>1118</v>
      </c>
    </row>
    <row r="31" spans="1:16" hidden="1" x14ac:dyDescent="0.2">
      <c r="A31" s="57" t="s">
        <v>418</v>
      </c>
      <c r="B31" s="57" t="s">
        <v>75</v>
      </c>
      <c r="C31" s="57" t="s">
        <v>76</v>
      </c>
      <c r="D31" s="57" t="s">
        <v>566</v>
      </c>
      <c r="E31" s="57" t="s">
        <v>419</v>
      </c>
      <c r="F31" s="57" t="s">
        <v>549</v>
      </c>
      <c r="G31" s="57" t="s">
        <v>31</v>
      </c>
      <c r="H31" s="57" t="s">
        <v>18</v>
      </c>
      <c r="I31" s="57" t="s">
        <v>550</v>
      </c>
      <c r="J31" s="57" t="s">
        <v>554</v>
      </c>
      <c r="K31" s="57" t="s">
        <v>1620</v>
      </c>
      <c r="L31" s="57"/>
      <c r="M31" s="57" t="s">
        <v>419</v>
      </c>
      <c r="N31" s="57" t="s">
        <v>1494</v>
      </c>
      <c r="O31" s="57" t="s">
        <v>1495</v>
      </c>
      <c r="P31" s="57" t="s">
        <v>1496</v>
      </c>
    </row>
    <row r="32" spans="1:16" x14ac:dyDescent="0.2">
      <c r="A32" s="58" t="s">
        <v>416</v>
      </c>
      <c r="B32" s="58" t="s">
        <v>63</v>
      </c>
      <c r="C32" s="58" t="s">
        <v>65</v>
      </c>
      <c r="D32" s="58" t="s">
        <v>591</v>
      </c>
      <c r="E32" s="58" t="s">
        <v>417</v>
      </c>
      <c r="F32" s="58" t="s">
        <v>578</v>
      </c>
      <c r="G32" s="58" t="s">
        <v>26</v>
      </c>
      <c r="H32" s="58" t="s">
        <v>18</v>
      </c>
      <c r="I32" s="58">
        <v>560</v>
      </c>
      <c r="J32" s="58" t="s">
        <v>554</v>
      </c>
      <c r="K32" s="58" t="s">
        <v>627</v>
      </c>
      <c r="L32" s="58"/>
      <c r="M32" s="58" t="s">
        <v>417</v>
      </c>
      <c r="N32" s="58" t="s">
        <v>1454</v>
      </c>
      <c r="O32" s="58" t="s">
        <v>1455</v>
      </c>
      <c r="P32" s="58" t="s">
        <v>1456</v>
      </c>
    </row>
    <row r="33" spans="1:16" x14ac:dyDescent="0.2">
      <c r="A33" s="57" t="s">
        <v>414</v>
      </c>
      <c r="B33" s="57" t="s">
        <v>75</v>
      </c>
      <c r="C33" s="57" t="s">
        <v>82</v>
      </c>
      <c r="D33" s="57" t="s">
        <v>594</v>
      </c>
      <c r="E33" s="57" t="s">
        <v>415</v>
      </c>
      <c r="F33" s="57" t="s">
        <v>573</v>
      </c>
      <c r="G33" s="57" t="s">
        <v>31</v>
      </c>
      <c r="H33" s="57" t="s">
        <v>18</v>
      </c>
      <c r="I33" s="57">
        <v>424</v>
      </c>
      <c r="J33" s="57" t="s">
        <v>592</v>
      </c>
      <c r="K33" s="57" t="s">
        <v>596</v>
      </c>
      <c r="L33" s="57"/>
      <c r="M33" s="57" t="s">
        <v>415</v>
      </c>
      <c r="N33" s="57" t="s">
        <v>1387</v>
      </c>
      <c r="O33" s="57" t="s">
        <v>1118</v>
      </c>
      <c r="P33" s="57" t="s">
        <v>1388</v>
      </c>
    </row>
    <row r="34" spans="1:16" x14ac:dyDescent="0.2">
      <c r="A34" s="58" t="s">
        <v>412</v>
      </c>
      <c r="B34" s="58" t="s">
        <v>75</v>
      </c>
      <c r="C34" s="58" t="s">
        <v>82</v>
      </c>
      <c r="D34" s="58" t="s">
        <v>594</v>
      </c>
      <c r="E34" s="58" t="s">
        <v>413</v>
      </c>
      <c r="F34" s="58" t="s">
        <v>578</v>
      </c>
      <c r="G34" s="58" t="s">
        <v>31</v>
      </c>
      <c r="H34" s="58" t="s">
        <v>18</v>
      </c>
      <c r="I34" s="58">
        <v>424</v>
      </c>
      <c r="J34" s="58" t="s">
        <v>592</v>
      </c>
      <c r="K34" s="58" t="s">
        <v>596</v>
      </c>
      <c r="L34" s="58"/>
      <c r="M34" s="58" t="s">
        <v>413</v>
      </c>
      <c r="N34" s="58" t="s">
        <v>1389</v>
      </c>
      <c r="O34" s="58" t="s">
        <v>1118</v>
      </c>
      <c r="P34" s="58" t="s">
        <v>1390</v>
      </c>
    </row>
    <row r="35" spans="1:16" x14ac:dyDescent="0.2">
      <c r="A35" s="57" t="s">
        <v>408</v>
      </c>
      <c r="B35" s="57" t="s">
        <v>56</v>
      </c>
      <c r="C35" s="57" t="s">
        <v>61</v>
      </c>
      <c r="D35" s="57" t="s">
        <v>598</v>
      </c>
      <c r="E35" s="57" t="s">
        <v>409</v>
      </c>
      <c r="F35" s="57" t="s">
        <v>578</v>
      </c>
      <c r="G35" s="57" t="s">
        <v>13</v>
      </c>
      <c r="H35" s="57" t="s">
        <v>18</v>
      </c>
      <c r="I35" s="57">
        <v>350</v>
      </c>
      <c r="J35" s="57" t="s">
        <v>554</v>
      </c>
      <c r="K35" s="57" t="s">
        <v>602</v>
      </c>
      <c r="L35" s="57"/>
      <c r="M35" s="57" t="s">
        <v>409</v>
      </c>
      <c r="N35" s="57" t="s">
        <v>1587</v>
      </c>
      <c r="O35" s="57" t="s">
        <v>1489</v>
      </c>
      <c r="P35" s="57" t="s">
        <v>1588</v>
      </c>
    </row>
    <row r="36" spans="1:16" x14ac:dyDescent="0.2">
      <c r="A36" s="58" t="s">
        <v>8</v>
      </c>
      <c r="B36" s="58" t="s">
        <v>9</v>
      </c>
      <c r="C36" s="58" t="s">
        <v>10</v>
      </c>
      <c r="D36" s="58" t="s">
        <v>607</v>
      </c>
      <c r="E36" s="58" t="s">
        <v>11</v>
      </c>
      <c r="F36" s="58" t="s">
        <v>616</v>
      </c>
      <c r="G36" s="58" t="s">
        <v>13</v>
      </c>
      <c r="H36" s="58" t="s">
        <v>18</v>
      </c>
      <c r="I36" s="58">
        <v>159</v>
      </c>
      <c r="J36" s="58" t="s">
        <v>554</v>
      </c>
      <c r="K36" s="58" t="s">
        <v>602</v>
      </c>
      <c r="L36" s="58"/>
      <c r="M36" s="58" t="s">
        <v>11</v>
      </c>
      <c r="N36" s="58" t="s">
        <v>1504</v>
      </c>
      <c r="O36" s="58" t="s">
        <v>1505</v>
      </c>
      <c r="P36" s="58" t="s">
        <v>1506</v>
      </c>
    </row>
    <row r="37" spans="1:16" x14ac:dyDescent="0.2">
      <c r="A37" s="57" t="s">
        <v>15</v>
      </c>
      <c r="B37" s="57" t="s">
        <v>9</v>
      </c>
      <c r="C37" s="57" t="s">
        <v>10</v>
      </c>
      <c r="D37" s="57" t="s">
        <v>607</v>
      </c>
      <c r="E37" s="57" t="s">
        <v>16</v>
      </c>
      <c r="F37" s="57" t="s">
        <v>578</v>
      </c>
      <c r="G37" s="57" t="s">
        <v>13</v>
      </c>
      <c r="H37" s="57" t="s">
        <v>18</v>
      </c>
      <c r="I37" s="57">
        <v>80</v>
      </c>
      <c r="J37" s="57" t="s">
        <v>592</v>
      </c>
      <c r="K37" s="57" t="s">
        <v>610</v>
      </c>
      <c r="L37" s="57"/>
      <c r="M37" s="57" t="s">
        <v>16</v>
      </c>
      <c r="N37" s="57" t="s">
        <v>1507</v>
      </c>
      <c r="O37" s="57" t="s">
        <v>1508</v>
      </c>
      <c r="P37" s="57" t="s">
        <v>1509</v>
      </c>
    </row>
    <row r="38" spans="1:16" x14ac:dyDescent="0.2">
      <c r="A38" s="58" t="s">
        <v>402</v>
      </c>
      <c r="B38" s="58" t="s">
        <v>66</v>
      </c>
      <c r="C38" s="58" t="s">
        <v>74</v>
      </c>
      <c r="D38" s="58" t="s">
        <v>611</v>
      </c>
      <c r="E38" s="58" t="s">
        <v>403</v>
      </c>
      <c r="F38" s="58" t="s">
        <v>668</v>
      </c>
      <c r="G38" s="58" t="s">
        <v>26</v>
      </c>
      <c r="H38" s="58" t="s">
        <v>18</v>
      </c>
      <c r="I38" s="58">
        <v>160</v>
      </c>
      <c r="J38" s="58" t="s">
        <v>554</v>
      </c>
      <c r="K38" s="58" t="s">
        <v>613</v>
      </c>
      <c r="L38" s="58"/>
      <c r="M38" s="58" t="s">
        <v>403</v>
      </c>
      <c r="N38" s="58" t="s">
        <v>1135</v>
      </c>
      <c r="O38" s="58" t="s">
        <v>1118</v>
      </c>
      <c r="P38" s="58" t="s">
        <v>1611</v>
      </c>
    </row>
    <row r="39" spans="1:16" x14ac:dyDescent="0.2">
      <c r="A39" s="57" t="s">
        <v>398</v>
      </c>
      <c r="B39" s="57" t="s">
        <v>66</v>
      </c>
      <c r="C39" s="57" t="s">
        <v>74</v>
      </c>
      <c r="D39" s="57" t="s">
        <v>611</v>
      </c>
      <c r="E39" s="57" t="s">
        <v>399</v>
      </c>
      <c r="F39" s="57" t="s">
        <v>668</v>
      </c>
      <c r="G39" s="57" t="s">
        <v>26</v>
      </c>
      <c r="H39" s="57" t="s">
        <v>18</v>
      </c>
      <c r="I39" s="57">
        <v>80</v>
      </c>
      <c r="J39" s="57" t="s">
        <v>554</v>
      </c>
      <c r="K39" s="57" t="s">
        <v>584</v>
      </c>
      <c r="L39" s="57"/>
      <c r="M39" s="57" t="s">
        <v>399</v>
      </c>
      <c r="N39" s="57" t="s">
        <v>1136</v>
      </c>
      <c r="O39" s="57" t="s">
        <v>1118</v>
      </c>
      <c r="P39" s="57" t="s">
        <v>1137</v>
      </c>
    </row>
    <row r="40" spans="1:16" x14ac:dyDescent="0.2">
      <c r="A40" s="58" t="s">
        <v>392</v>
      </c>
      <c r="B40" s="58" t="s">
        <v>75</v>
      </c>
      <c r="C40" s="58" t="s">
        <v>85</v>
      </c>
      <c r="D40" s="58" t="s">
        <v>553</v>
      </c>
      <c r="E40" s="58" t="s">
        <v>393</v>
      </c>
      <c r="F40" s="58" t="s">
        <v>578</v>
      </c>
      <c r="G40" s="58" t="s">
        <v>31</v>
      </c>
      <c r="H40" s="58" t="s">
        <v>18</v>
      </c>
      <c r="I40" s="58">
        <v>136</v>
      </c>
      <c r="J40" s="58" t="s">
        <v>592</v>
      </c>
      <c r="K40" s="58" t="s">
        <v>622</v>
      </c>
      <c r="L40" s="58"/>
      <c r="M40" s="58" t="s">
        <v>393</v>
      </c>
      <c r="N40" s="58" t="s">
        <v>1255</v>
      </c>
      <c r="O40" s="58" t="s">
        <v>1118</v>
      </c>
      <c r="P40" s="58" t="s">
        <v>1256</v>
      </c>
    </row>
    <row r="41" spans="1:16" x14ac:dyDescent="0.2">
      <c r="A41" s="57" t="s">
        <v>390</v>
      </c>
      <c r="B41" s="57" t="s">
        <v>75</v>
      </c>
      <c r="C41" s="57" t="s">
        <v>85</v>
      </c>
      <c r="D41" s="57" t="s">
        <v>553</v>
      </c>
      <c r="E41" s="57" t="s">
        <v>391</v>
      </c>
      <c r="F41" s="57" t="s">
        <v>578</v>
      </c>
      <c r="G41" s="57" t="s">
        <v>31</v>
      </c>
      <c r="H41" s="57" t="s">
        <v>18</v>
      </c>
      <c r="I41" s="57">
        <v>416</v>
      </c>
      <c r="J41" s="57" t="s">
        <v>592</v>
      </c>
      <c r="K41" s="57" t="s">
        <v>624</v>
      </c>
      <c r="L41" s="57"/>
      <c r="M41" s="57" t="s">
        <v>391</v>
      </c>
      <c r="N41" s="57" t="s">
        <v>1257</v>
      </c>
      <c r="O41" s="57" t="s">
        <v>1118</v>
      </c>
      <c r="P41" s="57" t="s">
        <v>1258</v>
      </c>
    </row>
    <row r="42" spans="1:16" x14ac:dyDescent="0.2">
      <c r="A42" s="58" t="s">
        <v>387</v>
      </c>
      <c r="B42" s="58" t="s">
        <v>66</v>
      </c>
      <c r="C42" s="58" t="s">
        <v>71</v>
      </c>
      <c r="D42" s="58" t="s">
        <v>625</v>
      </c>
      <c r="E42" s="58" t="s">
        <v>388</v>
      </c>
      <c r="F42" s="58" t="s">
        <v>672</v>
      </c>
      <c r="G42" s="58" t="s">
        <v>26</v>
      </c>
      <c r="H42" s="58" t="s">
        <v>18</v>
      </c>
      <c r="I42" s="58">
        <v>400</v>
      </c>
      <c r="J42" s="58" t="s">
        <v>554</v>
      </c>
      <c r="K42" s="58" t="s">
        <v>627</v>
      </c>
      <c r="L42" s="58"/>
      <c r="M42" s="58" t="s">
        <v>388</v>
      </c>
      <c r="N42" s="58" t="s">
        <v>1429</v>
      </c>
      <c r="O42" s="58" t="s">
        <v>1430</v>
      </c>
      <c r="P42" s="58" t="s">
        <v>1431</v>
      </c>
    </row>
    <row r="43" spans="1:16" x14ac:dyDescent="0.2">
      <c r="A43" s="57" t="s">
        <v>385</v>
      </c>
      <c r="B43" s="57" t="s">
        <v>75</v>
      </c>
      <c r="C43" s="57" t="s">
        <v>84</v>
      </c>
      <c r="D43" s="57" t="s">
        <v>628</v>
      </c>
      <c r="E43" s="57" t="s">
        <v>386</v>
      </c>
      <c r="F43" s="57" t="s">
        <v>578</v>
      </c>
      <c r="G43" s="57" t="s">
        <v>26</v>
      </c>
      <c r="H43" s="57" t="s">
        <v>18</v>
      </c>
      <c r="I43" s="57">
        <v>384</v>
      </c>
      <c r="J43" s="57" t="s">
        <v>592</v>
      </c>
      <c r="K43" s="57" t="s">
        <v>630</v>
      </c>
      <c r="L43" s="57"/>
      <c r="M43" s="57" t="s">
        <v>386</v>
      </c>
      <c r="N43" s="57" t="s">
        <v>1147</v>
      </c>
      <c r="O43" s="57" t="s">
        <v>1118</v>
      </c>
      <c r="P43" s="57" t="s">
        <v>1148</v>
      </c>
    </row>
    <row r="44" spans="1:16" x14ac:dyDescent="0.2">
      <c r="A44" s="58" t="s">
        <v>383</v>
      </c>
      <c r="B44" s="58" t="s">
        <v>75</v>
      </c>
      <c r="C44" s="58" t="s">
        <v>84</v>
      </c>
      <c r="D44" s="58" t="s">
        <v>628</v>
      </c>
      <c r="E44" s="58" t="s">
        <v>384</v>
      </c>
      <c r="F44" s="58" t="s">
        <v>578</v>
      </c>
      <c r="G44" s="58" t="s">
        <v>26</v>
      </c>
      <c r="H44" s="58" t="s">
        <v>18</v>
      </c>
      <c r="I44" s="58">
        <v>384</v>
      </c>
      <c r="J44" s="58" t="s">
        <v>592</v>
      </c>
      <c r="K44" s="58" t="s">
        <v>630</v>
      </c>
      <c r="L44" s="58"/>
      <c r="M44" s="58" t="s">
        <v>384</v>
      </c>
      <c r="N44" s="58" t="s">
        <v>1149</v>
      </c>
      <c r="O44" s="58" t="s">
        <v>1118</v>
      </c>
      <c r="P44" s="58" t="s">
        <v>1150</v>
      </c>
    </row>
    <row r="45" spans="1:16" x14ac:dyDescent="0.2">
      <c r="A45" s="57" t="s">
        <v>379</v>
      </c>
      <c r="B45" s="57" t="s">
        <v>66</v>
      </c>
      <c r="C45" s="57" t="s">
        <v>73</v>
      </c>
      <c r="D45" s="57" t="s">
        <v>633</v>
      </c>
      <c r="E45" s="57" t="s">
        <v>380</v>
      </c>
      <c r="F45" s="57" t="s">
        <v>672</v>
      </c>
      <c r="G45" s="57" t="s">
        <v>26</v>
      </c>
      <c r="H45" s="57" t="s">
        <v>18</v>
      </c>
      <c r="I45" s="57">
        <v>560</v>
      </c>
      <c r="J45" s="57" t="s">
        <v>554</v>
      </c>
      <c r="K45" s="57" t="s">
        <v>1610</v>
      </c>
      <c r="L45" s="57"/>
      <c r="M45" s="57" t="s">
        <v>380</v>
      </c>
      <c r="N45" s="57" t="s">
        <v>1280</v>
      </c>
      <c r="O45" s="57" t="s">
        <v>1281</v>
      </c>
      <c r="P45" s="57" t="s">
        <v>1282</v>
      </c>
    </row>
    <row r="46" spans="1:16" x14ac:dyDescent="0.2">
      <c r="A46" s="58" t="s">
        <v>377</v>
      </c>
      <c r="B46" s="58" t="s">
        <v>75</v>
      </c>
      <c r="C46" s="58" t="s">
        <v>78</v>
      </c>
      <c r="D46" s="58" t="s">
        <v>560</v>
      </c>
      <c r="E46" s="58" t="s">
        <v>378</v>
      </c>
      <c r="F46" s="58" t="s">
        <v>549</v>
      </c>
      <c r="G46" s="58" t="s">
        <v>31</v>
      </c>
      <c r="H46" s="58" t="s">
        <v>18</v>
      </c>
      <c r="I46" s="58">
        <v>160</v>
      </c>
      <c r="J46" s="58" t="s">
        <v>592</v>
      </c>
      <c r="K46" s="58" t="s">
        <v>636</v>
      </c>
      <c r="L46" s="58"/>
      <c r="M46" s="58" t="s">
        <v>378</v>
      </c>
      <c r="N46" s="58" t="s">
        <v>1331</v>
      </c>
      <c r="O46" s="58" t="s">
        <v>1211</v>
      </c>
      <c r="P46" s="58" t="s">
        <v>1332</v>
      </c>
    </row>
    <row r="47" spans="1:16" x14ac:dyDescent="0.2">
      <c r="A47" s="57" t="s">
        <v>373</v>
      </c>
      <c r="B47" s="57" t="s">
        <v>75</v>
      </c>
      <c r="C47" s="57" t="s">
        <v>80</v>
      </c>
      <c r="D47" s="57" t="s">
        <v>582</v>
      </c>
      <c r="E47" s="57" t="s">
        <v>374</v>
      </c>
      <c r="F47" s="57" t="s">
        <v>549</v>
      </c>
      <c r="G47" s="57" t="s">
        <v>31</v>
      </c>
      <c r="H47" s="57" t="s">
        <v>18</v>
      </c>
      <c r="I47" s="57">
        <v>240</v>
      </c>
      <c r="J47" s="57" t="s">
        <v>592</v>
      </c>
      <c r="K47" s="57" t="s">
        <v>636</v>
      </c>
      <c r="L47" s="57"/>
      <c r="M47" s="57" t="s">
        <v>374</v>
      </c>
      <c r="N47" s="57" t="s">
        <v>1213</v>
      </c>
      <c r="O47" s="57" t="s">
        <v>1211</v>
      </c>
      <c r="P47" s="57" t="s">
        <v>1214</v>
      </c>
    </row>
    <row r="48" spans="1:16" x14ac:dyDescent="0.2">
      <c r="A48" s="58" t="s">
        <v>371</v>
      </c>
      <c r="B48" s="58" t="s">
        <v>63</v>
      </c>
      <c r="C48" s="58" t="s">
        <v>65</v>
      </c>
      <c r="D48" s="58" t="s">
        <v>591</v>
      </c>
      <c r="E48" s="58" t="s">
        <v>372</v>
      </c>
      <c r="F48" s="58" t="s">
        <v>578</v>
      </c>
      <c r="G48" s="58" t="s">
        <v>26</v>
      </c>
      <c r="H48" s="58" t="s">
        <v>18</v>
      </c>
      <c r="I48" s="58">
        <v>320</v>
      </c>
      <c r="J48" s="58" t="s">
        <v>554</v>
      </c>
      <c r="K48" s="58" t="s">
        <v>627</v>
      </c>
      <c r="L48" s="58"/>
      <c r="M48" s="58" t="s">
        <v>372</v>
      </c>
      <c r="N48" s="58" t="s">
        <v>1457</v>
      </c>
      <c r="O48" s="58" t="s">
        <v>1118</v>
      </c>
      <c r="P48" s="58" t="s">
        <v>1118</v>
      </c>
    </row>
    <row r="49" spans="1:16" x14ac:dyDescent="0.2">
      <c r="A49" s="57" t="s">
        <v>369</v>
      </c>
      <c r="B49" s="57" t="s">
        <v>75</v>
      </c>
      <c r="C49" s="57" t="s">
        <v>85</v>
      </c>
      <c r="D49" s="57" t="s">
        <v>553</v>
      </c>
      <c r="E49" s="57" t="s">
        <v>370</v>
      </c>
      <c r="F49" s="57" t="s">
        <v>578</v>
      </c>
      <c r="G49" s="57" t="s">
        <v>31</v>
      </c>
      <c r="H49" s="57" t="s">
        <v>18</v>
      </c>
      <c r="I49" s="57">
        <v>136</v>
      </c>
      <c r="J49" s="57" t="s">
        <v>592</v>
      </c>
      <c r="K49" s="57" t="s">
        <v>622</v>
      </c>
      <c r="L49" s="57"/>
      <c r="M49" s="57" t="s">
        <v>370</v>
      </c>
      <c r="N49" s="57" t="s">
        <v>1259</v>
      </c>
      <c r="O49" s="57" t="s">
        <v>1260</v>
      </c>
      <c r="P49" s="57" t="s">
        <v>1261</v>
      </c>
    </row>
    <row r="50" spans="1:16" x14ac:dyDescent="0.2">
      <c r="A50" s="58" t="s">
        <v>367</v>
      </c>
      <c r="B50" s="58" t="s">
        <v>75</v>
      </c>
      <c r="C50" s="58" t="s">
        <v>78</v>
      </c>
      <c r="D50" s="58" t="s">
        <v>560</v>
      </c>
      <c r="E50" s="58" t="s">
        <v>368</v>
      </c>
      <c r="F50" s="58" t="s">
        <v>642</v>
      </c>
      <c r="G50" s="58" t="s">
        <v>26</v>
      </c>
      <c r="H50" s="58" t="s">
        <v>18</v>
      </c>
      <c r="I50" s="58">
        <v>480</v>
      </c>
      <c r="J50" s="58" t="s">
        <v>554</v>
      </c>
      <c r="K50" s="58" t="s">
        <v>1534</v>
      </c>
      <c r="L50" s="58"/>
      <c r="M50" s="58" t="s">
        <v>368</v>
      </c>
      <c r="N50" s="58" t="s">
        <v>1333</v>
      </c>
      <c r="O50" s="58" t="s">
        <v>1334</v>
      </c>
      <c r="P50" s="58" t="s">
        <v>1335</v>
      </c>
    </row>
    <row r="51" spans="1:16" hidden="1" x14ac:dyDescent="0.2">
      <c r="A51" s="57" t="s">
        <v>365</v>
      </c>
      <c r="B51" s="57" t="s">
        <v>75</v>
      </c>
      <c r="C51" s="57" t="s">
        <v>82</v>
      </c>
      <c r="D51" s="57" t="s">
        <v>594</v>
      </c>
      <c r="E51" s="57" t="s">
        <v>366</v>
      </c>
      <c r="F51" s="57" t="s">
        <v>578</v>
      </c>
      <c r="G51" s="57" t="s">
        <v>26</v>
      </c>
      <c r="H51" s="57" t="s">
        <v>18</v>
      </c>
      <c r="I51" s="57" t="s">
        <v>550</v>
      </c>
      <c r="J51" s="57" t="s">
        <v>554</v>
      </c>
      <c r="K51" s="57" t="s">
        <v>1533</v>
      </c>
      <c r="L51" s="57"/>
      <c r="M51" s="57" t="s">
        <v>366</v>
      </c>
      <c r="N51" s="57" t="s">
        <v>1394</v>
      </c>
      <c r="O51" s="57" t="s">
        <v>1118</v>
      </c>
      <c r="P51" s="57" t="s">
        <v>1395</v>
      </c>
    </row>
    <row r="52" spans="1:16" x14ac:dyDescent="0.2">
      <c r="A52" s="58" t="s">
        <v>361</v>
      </c>
      <c r="B52" s="58" t="s">
        <v>56</v>
      </c>
      <c r="C52" s="58" t="s">
        <v>60</v>
      </c>
      <c r="D52" s="58" t="s">
        <v>647</v>
      </c>
      <c r="E52" s="58" t="s">
        <v>362</v>
      </c>
      <c r="F52" s="58" t="s">
        <v>578</v>
      </c>
      <c r="G52" s="58" t="s">
        <v>26</v>
      </c>
      <c r="H52" s="58" t="s">
        <v>18</v>
      </c>
      <c r="I52" s="58">
        <v>800</v>
      </c>
      <c r="J52" s="58" t="s">
        <v>554</v>
      </c>
      <c r="K52" s="58" t="s">
        <v>649</v>
      </c>
      <c r="L52" s="58"/>
      <c r="M52" s="58" t="s">
        <v>362</v>
      </c>
      <c r="N52" s="58" t="s">
        <v>1609</v>
      </c>
      <c r="O52" s="58" t="s">
        <v>1118</v>
      </c>
      <c r="P52" s="58" t="s">
        <v>1168</v>
      </c>
    </row>
    <row r="53" spans="1:16" x14ac:dyDescent="0.2">
      <c r="A53" s="57" t="s">
        <v>359</v>
      </c>
      <c r="B53" s="57" t="s">
        <v>56</v>
      </c>
      <c r="C53" s="57" t="s">
        <v>62</v>
      </c>
      <c r="D53" s="57" t="s">
        <v>572</v>
      </c>
      <c r="E53" s="57" t="s">
        <v>360</v>
      </c>
      <c r="F53" s="57" t="s">
        <v>578</v>
      </c>
      <c r="G53" s="57" t="s">
        <v>26</v>
      </c>
      <c r="H53" s="57" t="s">
        <v>18</v>
      </c>
      <c r="I53" s="57">
        <v>1600</v>
      </c>
      <c r="J53" s="57" t="s">
        <v>592</v>
      </c>
      <c r="K53" s="57" t="s">
        <v>651</v>
      </c>
      <c r="L53" s="57"/>
      <c r="M53" s="57" t="s">
        <v>360</v>
      </c>
      <c r="N53" s="57" t="s">
        <v>1199</v>
      </c>
      <c r="O53" s="57" t="s">
        <v>1200</v>
      </c>
      <c r="P53" s="57" t="s">
        <v>1201</v>
      </c>
    </row>
    <row r="54" spans="1:16" x14ac:dyDescent="0.2">
      <c r="A54" s="58" t="s">
        <v>357</v>
      </c>
      <c r="B54" s="58" t="s">
        <v>56</v>
      </c>
      <c r="C54" s="58" t="s">
        <v>57</v>
      </c>
      <c r="D54" s="58" t="s">
        <v>652</v>
      </c>
      <c r="E54" s="58" t="s">
        <v>358</v>
      </c>
      <c r="F54" s="58" t="s">
        <v>578</v>
      </c>
      <c r="G54" s="58" t="s">
        <v>26</v>
      </c>
      <c r="H54" s="58" t="s">
        <v>18</v>
      </c>
      <c r="I54" s="58">
        <v>320</v>
      </c>
      <c r="J54" s="58" t="s">
        <v>554</v>
      </c>
      <c r="K54" s="58" t="s">
        <v>649</v>
      </c>
      <c r="L54" s="58"/>
      <c r="M54" s="58" t="s">
        <v>358</v>
      </c>
      <c r="N54" s="58" t="s">
        <v>1480</v>
      </c>
      <c r="O54" s="58" t="s">
        <v>1481</v>
      </c>
      <c r="P54" s="58" t="s">
        <v>1482</v>
      </c>
    </row>
    <row r="55" spans="1:16" x14ac:dyDescent="0.2">
      <c r="A55" s="57" t="s">
        <v>355</v>
      </c>
      <c r="B55" s="57" t="s">
        <v>56</v>
      </c>
      <c r="C55" s="57" t="s">
        <v>60</v>
      </c>
      <c r="D55" s="57" t="s">
        <v>647</v>
      </c>
      <c r="E55" s="57" t="s">
        <v>356</v>
      </c>
      <c r="F55" s="57" t="s">
        <v>616</v>
      </c>
      <c r="G55" s="57" t="s">
        <v>26</v>
      </c>
      <c r="H55" s="57" t="s">
        <v>18</v>
      </c>
      <c r="I55" s="57">
        <v>960</v>
      </c>
      <c r="J55" s="57" t="s">
        <v>554</v>
      </c>
      <c r="K55" s="57" t="s">
        <v>655</v>
      </c>
      <c r="L55" s="57"/>
      <c r="M55" s="57" t="s">
        <v>356</v>
      </c>
      <c r="N55" s="57" t="s">
        <v>1169</v>
      </c>
      <c r="O55" s="57" t="s">
        <v>1170</v>
      </c>
      <c r="P55" s="57" t="s">
        <v>1171</v>
      </c>
    </row>
    <row r="56" spans="1:16" x14ac:dyDescent="0.2">
      <c r="A56" s="58" t="s">
        <v>349</v>
      </c>
      <c r="B56" s="58" t="s">
        <v>56</v>
      </c>
      <c r="C56" s="58" t="s">
        <v>60</v>
      </c>
      <c r="D56" s="58" t="s">
        <v>647</v>
      </c>
      <c r="E56" s="58" t="s">
        <v>350</v>
      </c>
      <c r="F56" s="58" t="s">
        <v>616</v>
      </c>
      <c r="G56" s="58" t="s">
        <v>26</v>
      </c>
      <c r="H56" s="58" t="s">
        <v>18</v>
      </c>
      <c r="I56" s="58">
        <v>960</v>
      </c>
      <c r="J56" s="58" t="s">
        <v>554</v>
      </c>
      <c r="K56" s="58" t="s">
        <v>662</v>
      </c>
      <c r="L56" s="58"/>
      <c r="M56" s="58" t="s">
        <v>350</v>
      </c>
      <c r="N56" s="58" t="s">
        <v>1618</v>
      </c>
      <c r="O56" s="58" t="s">
        <v>1172</v>
      </c>
      <c r="P56" s="58" t="s">
        <v>1619</v>
      </c>
    </row>
    <row r="57" spans="1:16" x14ac:dyDescent="0.2">
      <c r="A57" s="57" t="s">
        <v>345</v>
      </c>
      <c r="B57" s="57" t="s">
        <v>75</v>
      </c>
      <c r="C57" s="57" t="s">
        <v>81</v>
      </c>
      <c r="D57" s="57" t="s">
        <v>665</v>
      </c>
      <c r="E57" s="57" t="s">
        <v>346</v>
      </c>
      <c r="F57" s="57" t="s">
        <v>616</v>
      </c>
      <c r="G57" s="57" t="s">
        <v>26</v>
      </c>
      <c r="H57" s="57" t="s">
        <v>18</v>
      </c>
      <c r="I57" s="57">
        <v>1600</v>
      </c>
      <c r="J57" s="57" t="s">
        <v>554</v>
      </c>
      <c r="K57" s="57" t="s">
        <v>667</v>
      </c>
      <c r="L57" s="57"/>
      <c r="M57" s="57" t="s">
        <v>346</v>
      </c>
      <c r="N57" s="57" t="s">
        <v>1608</v>
      </c>
      <c r="O57" s="57" t="s">
        <v>1118</v>
      </c>
      <c r="P57" s="57" t="s">
        <v>1324</v>
      </c>
    </row>
    <row r="58" spans="1:16" x14ac:dyDescent="0.2">
      <c r="A58" s="58" t="s">
        <v>341</v>
      </c>
      <c r="B58" s="58" t="s">
        <v>66</v>
      </c>
      <c r="C58" s="58" t="s">
        <v>70</v>
      </c>
      <c r="D58" s="58" t="s">
        <v>671</v>
      </c>
      <c r="E58" s="58" t="s">
        <v>342</v>
      </c>
      <c r="F58" s="58" t="s">
        <v>672</v>
      </c>
      <c r="G58" s="58" t="s">
        <v>26</v>
      </c>
      <c r="H58" s="58" t="s">
        <v>18</v>
      </c>
      <c r="I58" s="58">
        <v>1440</v>
      </c>
      <c r="J58" s="58" t="s">
        <v>554</v>
      </c>
      <c r="K58" s="58" t="s">
        <v>667</v>
      </c>
      <c r="L58" s="58"/>
      <c r="M58" s="58" t="s">
        <v>342</v>
      </c>
      <c r="N58" s="58" t="s">
        <v>1111</v>
      </c>
      <c r="O58" s="58" t="s">
        <v>1112</v>
      </c>
      <c r="P58" s="58" t="s">
        <v>1113</v>
      </c>
    </row>
    <row r="59" spans="1:16" x14ac:dyDescent="0.2">
      <c r="A59" s="57" t="s">
        <v>337</v>
      </c>
      <c r="B59" s="57" t="s">
        <v>63</v>
      </c>
      <c r="C59" s="57" t="s">
        <v>65</v>
      </c>
      <c r="D59" s="57" t="s">
        <v>591</v>
      </c>
      <c r="E59" s="57" t="s">
        <v>338</v>
      </c>
      <c r="F59" s="57" t="s">
        <v>578</v>
      </c>
      <c r="G59" s="57" t="s">
        <v>26</v>
      </c>
      <c r="H59" s="57" t="s">
        <v>18</v>
      </c>
      <c r="I59" s="57">
        <v>1600</v>
      </c>
      <c r="J59" s="57" t="s">
        <v>554</v>
      </c>
      <c r="K59" s="57" t="s">
        <v>1532</v>
      </c>
      <c r="L59" s="57"/>
      <c r="M59" s="57" t="s">
        <v>338</v>
      </c>
      <c r="N59" s="57" t="s">
        <v>1459</v>
      </c>
      <c r="O59" s="57" t="s">
        <v>1460</v>
      </c>
      <c r="P59" s="57" t="s">
        <v>1461</v>
      </c>
    </row>
    <row r="60" spans="1:16" x14ac:dyDescent="0.2">
      <c r="A60" s="58" t="s">
        <v>335</v>
      </c>
      <c r="B60" s="58" t="s">
        <v>63</v>
      </c>
      <c r="C60" s="58" t="s">
        <v>65</v>
      </c>
      <c r="D60" s="58" t="s">
        <v>591</v>
      </c>
      <c r="E60" s="58" t="s">
        <v>336</v>
      </c>
      <c r="F60" s="58" t="s">
        <v>578</v>
      </c>
      <c r="G60" s="58" t="s">
        <v>26</v>
      </c>
      <c r="H60" s="58" t="s">
        <v>18</v>
      </c>
      <c r="I60" s="58">
        <v>480</v>
      </c>
      <c r="J60" s="58" t="s">
        <v>554</v>
      </c>
      <c r="K60" s="58" t="s">
        <v>627</v>
      </c>
      <c r="L60" s="58"/>
      <c r="M60" s="58" t="s">
        <v>336</v>
      </c>
      <c r="N60" s="58" t="s">
        <v>1462</v>
      </c>
      <c r="O60" s="58" t="s">
        <v>1455</v>
      </c>
      <c r="P60" s="58" t="s">
        <v>1463</v>
      </c>
    </row>
    <row r="61" spans="1:16" x14ac:dyDescent="0.2">
      <c r="A61" s="57" t="s">
        <v>333</v>
      </c>
      <c r="B61" s="57" t="s">
        <v>63</v>
      </c>
      <c r="C61" s="57" t="s">
        <v>65</v>
      </c>
      <c r="D61" s="57" t="s">
        <v>591</v>
      </c>
      <c r="E61" s="57" t="s">
        <v>334</v>
      </c>
      <c r="F61" s="57" t="s">
        <v>578</v>
      </c>
      <c r="G61" s="57" t="s">
        <v>26</v>
      </c>
      <c r="H61" s="57" t="s">
        <v>18</v>
      </c>
      <c r="I61" s="57">
        <v>480</v>
      </c>
      <c r="J61" s="57" t="s">
        <v>554</v>
      </c>
      <c r="K61" s="57" t="s">
        <v>627</v>
      </c>
      <c r="L61" s="57"/>
      <c r="M61" s="57" t="s">
        <v>334</v>
      </c>
      <c r="N61" s="57" t="s">
        <v>1464</v>
      </c>
      <c r="O61" s="57" t="s">
        <v>1465</v>
      </c>
      <c r="P61" s="57" t="s">
        <v>1466</v>
      </c>
    </row>
    <row r="62" spans="1:16" x14ac:dyDescent="0.2">
      <c r="A62" s="58" t="s">
        <v>331</v>
      </c>
      <c r="B62" s="58" t="s">
        <v>63</v>
      </c>
      <c r="C62" s="58" t="s">
        <v>64</v>
      </c>
      <c r="D62" s="58" t="s">
        <v>679</v>
      </c>
      <c r="E62" s="58" t="s">
        <v>332</v>
      </c>
      <c r="F62" s="58" t="s">
        <v>672</v>
      </c>
      <c r="G62" s="58" t="s">
        <v>26</v>
      </c>
      <c r="H62" s="58" t="s">
        <v>18</v>
      </c>
      <c r="I62" s="58">
        <v>792</v>
      </c>
      <c r="J62" s="58" t="s">
        <v>554</v>
      </c>
      <c r="K62" s="58" t="s">
        <v>681</v>
      </c>
      <c r="L62" s="58"/>
      <c r="M62" s="58" t="s">
        <v>332</v>
      </c>
      <c r="N62" s="58" t="s">
        <v>1223</v>
      </c>
      <c r="O62" s="58" t="s">
        <v>1224</v>
      </c>
      <c r="P62" s="58" t="s">
        <v>1225</v>
      </c>
    </row>
    <row r="63" spans="1:16" hidden="1" x14ac:dyDescent="0.2">
      <c r="A63" s="57" t="s">
        <v>329</v>
      </c>
      <c r="B63" s="57" t="s">
        <v>75</v>
      </c>
      <c r="C63" s="57" t="s">
        <v>85</v>
      </c>
      <c r="D63" s="57" t="s">
        <v>553</v>
      </c>
      <c r="E63" s="57" t="s">
        <v>330</v>
      </c>
      <c r="F63" s="57" t="s">
        <v>578</v>
      </c>
      <c r="G63" s="57" t="s">
        <v>26</v>
      </c>
      <c r="H63" s="57" t="s">
        <v>18</v>
      </c>
      <c r="I63" s="57" t="s">
        <v>550</v>
      </c>
      <c r="J63" s="57" t="s">
        <v>554</v>
      </c>
      <c r="K63" s="57" t="s">
        <v>683</v>
      </c>
      <c r="L63" s="57"/>
      <c r="M63" s="57" t="s">
        <v>330</v>
      </c>
      <c r="N63" s="57" t="s">
        <v>1262</v>
      </c>
      <c r="O63" s="57" t="s">
        <v>1263</v>
      </c>
      <c r="P63" s="57" t="s">
        <v>1264</v>
      </c>
    </row>
    <row r="64" spans="1:16" x14ac:dyDescent="0.2">
      <c r="A64" s="58" t="s">
        <v>317</v>
      </c>
      <c r="B64" s="58" t="s">
        <v>66</v>
      </c>
      <c r="C64" s="58" t="s">
        <v>70</v>
      </c>
      <c r="D64" s="58" t="s">
        <v>671</v>
      </c>
      <c r="E64" s="58" t="s">
        <v>318</v>
      </c>
      <c r="F64" s="58" t="s">
        <v>672</v>
      </c>
      <c r="G64" s="58" t="s">
        <v>26</v>
      </c>
      <c r="H64" s="58" t="s">
        <v>18</v>
      </c>
      <c r="I64" s="58">
        <v>800</v>
      </c>
      <c r="J64" s="58" t="s">
        <v>554</v>
      </c>
      <c r="K64" s="58" t="s">
        <v>655</v>
      </c>
      <c r="L64" s="58"/>
      <c r="M64" s="58" t="s">
        <v>318</v>
      </c>
      <c r="N64" s="58" t="s">
        <v>1114</v>
      </c>
      <c r="O64" s="58" t="s">
        <v>1115</v>
      </c>
      <c r="P64" s="58" t="s">
        <v>1116</v>
      </c>
    </row>
    <row r="65" spans="1:16" x14ac:dyDescent="0.2">
      <c r="A65" s="57" t="s">
        <v>275</v>
      </c>
      <c r="B65" s="57" t="s">
        <v>75</v>
      </c>
      <c r="C65" s="57" t="s">
        <v>81</v>
      </c>
      <c r="D65" s="57" t="s">
        <v>665</v>
      </c>
      <c r="E65" s="57" t="s">
        <v>276</v>
      </c>
      <c r="F65" s="57" t="s">
        <v>616</v>
      </c>
      <c r="G65" s="57" t="s">
        <v>31</v>
      </c>
      <c r="H65" s="57" t="s">
        <v>18</v>
      </c>
      <c r="I65" s="57">
        <v>1600</v>
      </c>
      <c r="J65" s="57" t="s">
        <v>554</v>
      </c>
      <c r="K65" s="57" t="s">
        <v>732</v>
      </c>
      <c r="L65" s="57"/>
      <c r="M65" s="57" t="s">
        <v>276</v>
      </c>
      <c r="N65" s="57" t="s">
        <v>1325</v>
      </c>
      <c r="O65" s="57" t="s">
        <v>1326</v>
      </c>
      <c r="P65" s="57" t="s">
        <v>1118</v>
      </c>
    </row>
    <row r="66" spans="1:16" x14ac:dyDescent="0.2">
      <c r="A66" s="58" t="s">
        <v>271</v>
      </c>
      <c r="B66" s="58" t="s">
        <v>75</v>
      </c>
      <c r="C66" s="58" t="s">
        <v>84</v>
      </c>
      <c r="D66" s="58" t="s">
        <v>628</v>
      </c>
      <c r="E66" s="58" t="s">
        <v>272</v>
      </c>
      <c r="F66" s="58" t="s">
        <v>578</v>
      </c>
      <c r="G66" s="58" t="s">
        <v>26</v>
      </c>
      <c r="H66" s="58" t="s">
        <v>18</v>
      </c>
      <c r="I66" s="58">
        <v>792</v>
      </c>
      <c r="J66" s="58" t="s">
        <v>592</v>
      </c>
      <c r="K66" s="58" t="s">
        <v>737</v>
      </c>
      <c r="L66" s="58"/>
      <c r="M66" s="58" t="s">
        <v>272</v>
      </c>
      <c r="N66" s="58" t="s">
        <v>1151</v>
      </c>
      <c r="O66" s="58" t="s">
        <v>1118</v>
      </c>
      <c r="P66" s="58" t="s">
        <v>1152</v>
      </c>
    </row>
    <row r="67" spans="1:16" x14ac:dyDescent="0.2">
      <c r="A67" s="57" t="s">
        <v>265</v>
      </c>
      <c r="B67" s="57" t="s">
        <v>75</v>
      </c>
      <c r="C67" s="57" t="s">
        <v>79</v>
      </c>
      <c r="D67" s="57" t="s">
        <v>742</v>
      </c>
      <c r="E67" s="57" t="s">
        <v>266</v>
      </c>
      <c r="F67" s="57" t="s">
        <v>642</v>
      </c>
      <c r="G67" s="57" t="s">
        <v>26</v>
      </c>
      <c r="H67" s="57" t="s">
        <v>18</v>
      </c>
      <c r="I67" s="57">
        <v>64</v>
      </c>
      <c r="J67" s="57" t="s">
        <v>554</v>
      </c>
      <c r="K67" s="57" t="s">
        <v>744</v>
      </c>
      <c r="L67" s="57"/>
      <c r="M67" s="57" t="s">
        <v>266</v>
      </c>
      <c r="N67" s="57" t="s">
        <v>1450</v>
      </c>
      <c r="O67" s="57" t="s">
        <v>1451</v>
      </c>
      <c r="P67" s="57" t="s">
        <v>1452</v>
      </c>
    </row>
    <row r="68" spans="1:16" x14ac:dyDescent="0.2">
      <c r="A68" s="58" t="s">
        <v>263</v>
      </c>
      <c r="B68" s="58" t="s">
        <v>66</v>
      </c>
      <c r="C68" s="58" t="s">
        <v>74</v>
      </c>
      <c r="D68" s="58" t="s">
        <v>611</v>
      </c>
      <c r="E68" s="58" t="s">
        <v>264</v>
      </c>
      <c r="F68" s="58" t="s">
        <v>616</v>
      </c>
      <c r="G68" s="58" t="s">
        <v>26</v>
      </c>
      <c r="H68" s="58" t="s">
        <v>18</v>
      </c>
      <c r="I68" s="58">
        <v>136</v>
      </c>
      <c r="J68" s="58" t="s">
        <v>554</v>
      </c>
      <c r="K68" s="58" t="s">
        <v>746</v>
      </c>
      <c r="L68" s="58"/>
      <c r="M68" s="58" t="s">
        <v>264</v>
      </c>
      <c r="N68" s="58" t="s">
        <v>1138</v>
      </c>
      <c r="O68" s="58" t="s">
        <v>1139</v>
      </c>
      <c r="P68" s="58" t="s">
        <v>1140</v>
      </c>
    </row>
    <row r="69" spans="1:16" x14ac:dyDescent="0.2">
      <c r="A69" s="57" t="s">
        <v>233</v>
      </c>
      <c r="B69" s="57"/>
      <c r="C69" s="57"/>
      <c r="D69" s="57" t="s">
        <v>692</v>
      </c>
      <c r="E69" s="57" t="s">
        <v>234</v>
      </c>
      <c r="F69" s="57" t="s">
        <v>578</v>
      </c>
      <c r="G69" s="57" t="s">
        <v>31</v>
      </c>
      <c r="H69" s="57" t="s">
        <v>18</v>
      </c>
      <c r="I69" s="57">
        <v>640</v>
      </c>
      <c r="J69" s="57" t="s">
        <v>554</v>
      </c>
      <c r="K69" s="57" t="s">
        <v>1606</v>
      </c>
      <c r="L69" s="57"/>
      <c r="M69" s="57" t="s">
        <v>234</v>
      </c>
      <c r="N69" s="57" t="s">
        <v>1607</v>
      </c>
      <c r="O69" s="57" t="s">
        <v>1119</v>
      </c>
      <c r="P69" s="57" t="s">
        <v>1119</v>
      </c>
    </row>
    <row r="70" spans="1:16" x14ac:dyDescent="0.2">
      <c r="A70" s="58" t="s">
        <v>223</v>
      </c>
      <c r="B70" s="58" t="s">
        <v>75</v>
      </c>
      <c r="C70" s="58" t="s">
        <v>78</v>
      </c>
      <c r="D70" s="58" t="s">
        <v>560</v>
      </c>
      <c r="E70" s="58" t="s">
        <v>224</v>
      </c>
      <c r="F70" s="58" t="s">
        <v>616</v>
      </c>
      <c r="G70" s="58" t="s">
        <v>31</v>
      </c>
      <c r="H70" s="58" t="s">
        <v>18</v>
      </c>
      <c r="I70" s="58">
        <v>400</v>
      </c>
      <c r="J70" s="58" t="s">
        <v>554</v>
      </c>
      <c r="K70" s="58" t="s">
        <v>784</v>
      </c>
      <c r="L70" s="58"/>
      <c r="M70" s="58" t="s">
        <v>224</v>
      </c>
      <c r="N70" s="58" t="s">
        <v>1358</v>
      </c>
      <c r="O70" s="58" t="s">
        <v>1118</v>
      </c>
      <c r="P70" s="58" t="s">
        <v>1328</v>
      </c>
    </row>
    <row r="71" spans="1:16" x14ac:dyDescent="0.2">
      <c r="A71" s="57" t="s">
        <v>205</v>
      </c>
      <c r="B71" s="57"/>
      <c r="C71" s="57"/>
      <c r="D71" s="57" t="s">
        <v>692</v>
      </c>
      <c r="E71" s="57" t="s">
        <v>206</v>
      </c>
      <c r="F71" s="57" t="s">
        <v>693</v>
      </c>
      <c r="G71" s="57" t="s">
        <v>31</v>
      </c>
      <c r="H71" s="57" t="s">
        <v>18</v>
      </c>
      <c r="I71" s="57">
        <v>1400</v>
      </c>
      <c r="J71" s="57" t="s">
        <v>554</v>
      </c>
      <c r="K71" s="57" t="s">
        <v>798</v>
      </c>
      <c r="L71" s="57"/>
      <c r="M71" s="57" t="s">
        <v>206</v>
      </c>
      <c r="N71" s="57" t="s">
        <v>1385</v>
      </c>
      <c r="O71" s="57" t="s">
        <v>1119</v>
      </c>
      <c r="P71" s="57" t="s">
        <v>1616</v>
      </c>
    </row>
    <row r="72" spans="1:16" x14ac:dyDescent="0.2">
      <c r="A72" s="58" t="s">
        <v>175</v>
      </c>
      <c r="B72" s="58" t="s">
        <v>56</v>
      </c>
      <c r="C72" s="58" t="s">
        <v>62</v>
      </c>
      <c r="D72" s="58" t="s">
        <v>572</v>
      </c>
      <c r="E72" s="58" t="s">
        <v>176</v>
      </c>
      <c r="F72" s="58" t="s">
        <v>578</v>
      </c>
      <c r="G72" s="58" t="s">
        <v>26</v>
      </c>
      <c r="H72" s="58" t="s">
        <v>18</v>
      </c>
      <c r="I72" s="58">
        <v>1600</v>
      </c>
      <c r="J72" s="58" t="s">
        <v>554</v>
      </c>
      <c r="K72" s="58" t="s">
        <v>824</v>
      </c>
      <c r="L72" s="58"/>
      <c r="M72" s="58" t="s">
        <v>176</v>
      </c>
      <c r="N72" s="58" t="s">
        <v>1604</v>
      </c>
      <c r="O72" s="58" t="s">
        <v>1204</v>
      </c>
      <c r="P72" s="58" t="s">
        <v>1547</v>
      </c>
    </row>
    <row r="73" spans="1:16" x14ac:dyDescent="0.2">
      <c r="A73" s="57" t="s">
        <v>157</v>
      </c>
      <c r="B73" s="57" t="s">
        <v>75</v>
      </c>
      <c r="C73" s="57" t="s">
        <v>84</v>
      </c>
      <c r="D73" s="57" t="s">
        <v>628</v>
      </c>
      <c r="E73" s="57" t="s">
        <v>158</v>
      </c>
      <c r="F73" s="57" t="s">
        <v>672</v>
      </c>
      <c r="G73" s="57" t="s">
        <v>26</v>
      </c>
      <c r="H73" s="57" t="s">
        <v>18</v>
      </c>
      <c r="I73" s="57">
        <v>792</v>
      </c>
      <c r="J73" s="57" t="s">
        <v>554</v>
      </c>
      <c r="K73" s="57" t="s">
        <v>844</v>
      </c>
      <c r="L73" s="57"/>
      <c r="M73" s="57" t="s">
        <v>158</v>
      </c>
      <c r="N73" s="57" t="s">
        <v>1157</v>
      </c>
      <c r="O73" s="57" t="s">
        <v>1158</v>
      </c>
      <c r="P73" s="57" t="s">
        <v>1159</v>
      </c>
    </row>
    <row r="74" spans="1:16" x14ac:dyDescent="0.2">
      <c r="A74" s="58" t="s">
        <v>153</v>
      </c>
      <c r="B74" s="58" t="s">
        <v>75</v>
      </c>
      <c r="C74" s="58" t="s">
        <v>85</v>
      </c>
      <c r="D74" s="58" t="s">
        <v>553</v>
      </c>
      <c r="E74" s="58" t="s">
        <v>154</v>
      </c>
      <c r="F74" s="58" t="s">
        <v>616</v>
      </c>
      <c r="G74" s="58" t="s">
        <v>26</v>
      </c>
      <c r="H74" s="58" t="s">
        <v>18</v>
      </c>
      <c r="I74" s="58">
        <v>3.2</v>
      </c>
      <c r="J74" s="58" t="s">
        <v>592</v>
      </c>
      <c r="K74" s="58" t="s">
        <v>850</v>
      </c>
      <c r="L74" s="58"/>
      <c r="M74" s="58" t="s">
        <v>154</v>
      </c>
      <c r="N74" s="58" t="s">
        <v>1272</v>
      </c>
      <c r="O74" s="58" t="s">
        <v>1118</v>
      </c>
      <c r="P74" s="58" t="s">
        <v>1273</v>
      </c>
    </row>
    <row r="75" spans="1:16" x14ac:dyDescent="0.2">
      <c r="A75" s="57" t="s">
        <v>151</v>
      </c>
      <c r="B75" s="57" t="s">
        <v>56</v>
      </c>
      <c r="C75" s="57" t="s">
        <v>59</v>
      </c>
      <c r="D75" s="57" t="s">
        <v>851</v>
      </c>
      <c r="E75" s="57" t="s">
        <v>152</v>
      </c>
      <c r="F75" s="57" t="s">
        <v>578</v>
      </c>
      <c r="G75" s="57" t="s">
        <v>13</v>
      </c>
      <c r="H75" s="57" t="s">
        <v>18</v>
      </c>
      <c r="I75" s="57">
        <v>3200</v>
      </c>
      <c r="J75" s="57" t="s">
        <v>554</v>
      </c>
      <c r="K75" s="57" t="s">
        <v>853</v>
      </c>
      <c r="L75" s="57"/>
      <c r="M75" s="57" t="s">
        <v>152</v>
      </c>
      <c r="N75" s="57" t="s">
        <v>1500</v>
      </c>
      <c r="O75" s="57" t="s">
        <v>1501</v>
      </c>
      <c r="P75" s="57" t="s">
        <v>1502</v>
      </c>
    </row>
    <row r="76" spans="1:16" x14ac:dyDescent="0.2">
      <c r="A76" s="58" t="s">
        <v>143</v>
      </c>
      <c r="B76" s="58" t="s">
        <v>75</v>
      </c>
      <c r="C76" s="58" t="s">
        <v>78</v>
      </c>
      <c r="D76" s="58" t="s">
        <v>560</v>
      </c>
      <c r="E76" s="58" t="s">
        <v>144</v>
      </c>
      <c r="F76" s="58" t="s">
        <v>578</v>
      </c>
      <c r="G76" s="58" t="s">
        <v>31</v>
      </c>
      <c r="H76" s="58" t="s">
        <v>18</v>
      </c>
      <c r="I76" s="58">
        <v>2400</v>
      </c>
      <c r="J76" s="58" t="s">
        <v>592</v>
      </c>
      <c r="K76" s="58" t="s">
        <v>861</v>
      </c>
      <c r="L76" s="58"/>
      <c r="M76" s="58" t="s">
        <v>144</v>
      </c>
      <c r="N76" s="58" t="s">
        <v>1378</v>
      </c>
      <c r="O76" s="58" t="s">
        <v>1369</v>
      </c>
      <c r="P76" s="58" t="s">
        <v>1370</v>
      </c>
    </row>
    <row r="77" spans="1:16" x14ac:dyDescent="0.2">
      <c r="A77" s="57" t="s">
        <v>129</v>
      </c>
      <c r="B77" s="57" t="s">
        <v>66</v>
      </c>
      <c r="C77" s="57" t="s">
        <v>68</v>
      </c>
      <c r="D77" s="57" t="s">
        <v>710</v>
      </c>
      <c r="E77" s="57" t="s">
        <v>130</v>
      </c>
      <c r="F77" s="57" t="s">
        <v>616</v>
      </c>
      <c r="G77" s="57" t="s">
        <v>26</v>
      </c>
      <c r="H77" s="57" t="s">
        <v>18</v>
      </c>
      <c r="I77" s="57">
        <v>760</v>
      </c>
      <c r="J77" s="57" t="s">
        <v>554</v>
      </c>
      <c r="K77" s="57" t="s">
        <v>874</v>
      </c>
      <c r="L77" s="57"/>
      <c r="M77" s="57" t="s">
        <v>130</v>
      </c>
      <c r="N77" s="57" t="s">
        <v>1313</v>
      </c>
      <c r="O77" s="57" t="s">
        <v>1314</v>
      </c>
      <c r="P77" s="57" t="s">
        <v>1315</v>
      </c>
    </row>
    <row r="78" spans="1:16" x14ac:dyDescent="0.2">
      <c r="A78" s="58" t="s">
        <v>125</v>
      </c>
      <c r="B78" s="58" t="s">
        <v>75</v>
      </c>
      <c r="C78" s="58" t="s">
        <v>82</v>
      </c>
      <c r="D78" s="58" t="s">
        <v>594</v>
      </c>
      <c r="E78" s="58" t="s">
        <v>126</v>
      </c>
      <c r="F78" s="58" t="s">
        <v>578</v>
      </c>
      <c r="G78" s="58" t="s">
        <v>31</v>
      </c>
      <c r="H78" s="58" t="s">
        <v>18</v>
      </c>
      <c r="I78" s="58">
        <v>1304</v>
      </c>
      <c r="J78" s="58" t="s">
        <v>592</v>
      </c>
      <c r="K78" s="58" t="s">
        <v>880</v>
      </c>
      <c r="L78" s="58"/>
      <c r="M78" s="58" t="s">
        <v>126</v>
      </c>
      <c r="N78" s="58" t="s">
        <v>1408</v>
      </c>
      <c r="O78" s="58" t="s">
        <v>1392</v>
      </c>
      <c r="P78" s="58" t="s">
        <v>1409</v>
      </c>
    </row>
    <row r="79" spans="1:16" x14ac:dyDescent="0.2">
      <c r="A79" s="63" t="s">
        <v>123</v>
      </c>
      <c r="B79" s="63" t="s">
        <v>56</v>
      </c>
      <c r="C79" s="63" t="s">
        <v>57</v>
      </c>
      <c r="D79" s="63" t="s">
        <v>652</v>
      </c>
      <c r="E79" s="63" t="s">
        <v>124</v>
      </c>
      <c r="F79" s="63" t="s">
        <v>616</v>
      </c>
      <c r="G79" s="63" t="s">
        <v>26</v>
      </c>
      <c r="H79" s="63" t="s">
        <v>18</v>
      </c>
      <c r="I79" s="63">
        <v>880</v>
      </c>
      <c r="J79" s="63" t="s">
        <v>554</v>
      </c>
      <c r="K79" s="63" t="s">
        <v>882</v>
      </c>
      <c r="L79" s="63"/>
      <c r="M79" s="63" t="s">
        <v>124</v>
      </c>
      <c r="N79" s="63" t="s">
        <v>1483</v>
      </c>
      <c r="O79" s="63" t="s">
        <v>1118</v>
      </c>
      <c r="P79" s="63" t="s">
        <v>1484</v>
      </c>
    </row>
    <row r="81" spans="1:1" ht="15" x14ac:dyDescent="0.25">
      <c r="A81" s="59"/>
    </row>
    <row r="83" spans="1:1" ht="15" x14ac:dyDescent="0.25">
      <c r="A83" s="59">
        <v>226486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EA0DF-F1C1-41A5-9A41-E333BC0DCED9}">
  <sheetPr codeName="Sheet4"/>
  <dimension ref="A3:R41"/>
  <sheetViews>
    <sheetView zoomScale="85" zoomScaleNormal="85" workbookViewId="0">
      <selection activeCell="I35" sqref="I35"/>
    </sheetView>
  </sheetViews>
  <sheetFormatPr defaultRowHeight="14.25" x14ac:dyDescent="0.2"/>
  <cols>
    <col min="1" max="1" width="13.125" bestFit="1" customWidth="1"/>
    <col min="2" max="2" width="15.25" bestFit="1" customWidth="1"/>
    <col min="3" max="3" width="3.125" customWidth="1"/>
    <col min="4" max="4" width="46.25" bestFit="1" customWidth="1"/>
    <col min="5" max="5" width="16.125" bestFit="1" customWidth="1"/>
    <col min="6" max="6" width="11.375" bestFit="1" customWidth="1"/>
    <col min="7" max="9" width="6.625" bestFit="1" customWidth="1"/>
    <col min="10" max="10" width="11.375" bestFit="1" customWidth="1"/>
    <col min="11" max="11" width="3.125" customWidth="1"/>
    <col min="12" max="12" width="41.875" bestFit="1" customWidth="1"/>
    <col min="13" max="13" width="16.125" bestFit="1" customWidth="1"/>
    <col min="14" max="17" width="8.25" bestFit="1" customWidth="1"/>
    <col min="18" max="19" width="11.375" bestFit="1" customWidth="1"/>
  </cols>
  <sheetData>
    <row r="3" spans="1:18" x14ac:dyDescent="0.2">
      <c r="A3" s="24" t="s">
        <v>47</v>
      </c>
      <c r="B3" t="s">
        <v>48</v>
      </c>
      <c r="D3" s="24" t="s">
        <v>48</v>
      </c>
      <c r="E3" s="24" t="s">
        <v>49</v>
      </c>
      <c r="L3" s="24" t="s">
        <v>48</v>
      </c>
      <c r="M3" s="24" t="s">
        <v>49</v>
      </c>
    </row>
    <row r="4" spans="1:18" x14ac:dyDescent="0.2">
      <c r="A4" s="2" t="s">
        <v>50</v>
      </c>
      <c r="B4" s="37">
        <v>1464.9999999999998</v>
      </c>
      <c r="D4" s="24" t="s">
        <v>47</v>
      </c>
      <c r="E4" t="s">
        <v>18</v>
      </c>
      <c r="F4" t="s">
        <v>52</v>
      </c>
      <c r="L4" s="24" t="s">
        <v>47</v>
      </c>
      <c r="M4" t="s">
        <v>50</v>
      </c>
      <c r="N4" t="s">
        <v>14</v>
      </c>
      <c r="O4" t="s">
        <v>18</v>
      </c>
      <c r="P4" t="s">
        <v>27</v>
      </c>
      <c r="Q4" t="s">
        <v>51</v>
      </c>
      <c r="R4" t="s">
        <v>52</v>
      </c>
    </row>
    <row r="5" spans="1:18" x14ac:dyDescent="0.2">
      <c r="A5" s="2" t="s">
        <v>14</v>
      </c>
      <c r="B5" s="37">
        <v>21444.800000000017</v>
      </c>
      <c r="D5" s="2" t="s">
        <v>56</v>
      </c>
      <c r="E5" s="37">
        <v>8837.4</v>
      </c>
      <c r="F5" s="37">
        <v>8837.4</v>
      </c>
      <c r="L5" s="2" t="s">
        <v>12</v>
      </c>
      <c r="M5">
        <v>1359.9999999999998</v>
      </c>
      <c r="N5">
        <v>2395.1999999999989</v>
      </c>
      <c r="O5">
        <v>2993.3000000000015</v>
      </c>
      <c r="P5">
        <v>1555.4999999999998</v>
      </c>
      <c r="R5">
        <v>8304</v>
      </c>
    </row>
    <row r="6" spans="1:18" x14ac:dyDescent="0.2">
      <c r="A6" s="2" t="s">
        <v>18</v>
      </c>
      <c r="B6" s="37">
        <v>36520.800000000039</v>
      </c>
      <c r="D6" s="25" t="s">
        <v>57</v>
      </c>
      <c r="E6" s="37">
        <v>1120</v>
      </c>
      <c r="F6" s="37">
        <v>1120</v>
      </c>
      <c r="L6" s="2" t="s">
        <v>22</v>
      </c>
      <c r="M6">
        <v>37.4</v>
      </c>
      <c r="N6">
        <v>6802.7999999999975</v>
      </c>
      <c r="O6">
        <v>11974.499999999996</v>
      </c>
      <c r="P6">
        <v>14966.699999999997</v>
      </c>
      <c r="Q6">
        <v>7777.7</v>
      </c>
      <c r="R6">
        <v>41559.099999999991</v>
      </c>
    </row>
    <row r="7" spans="1:18" x14ac:dyDescent="0.2">
      <c r="A7" s="2" t="s">
        <v>27</v>
      </c>
      <c r="B7" s="37">
        <v>43462.399999999951</v>
      </c>
      <c r="D7" s="25" t="s">
        <v>59</v>
      </c>
      <c r="E7" s="37">
        <v>2986.9</v>
      </c>
      <c r="F7" s="37">
        <v>2986.9</v>
      </c>
      <c r="L7" s="2" t="s">
        <v>20</v>
      </c>
      <c r="M7">
        <v>15</v>
      </c>
      <c r="N7">
        <v>2721.3999999999996</v>
      </c>
      <c r="O7">
        <v>4789.5999999999995</v>
      </c>
      <c r="P7">
        <v>5986.7</v>
      </c>
      <c r="Q7">
        <v>3111.0999999999995</v>
      </c>
      <c r="R7">
        <v>16623.8</v>
      </c>
    </row>
    <row r="8" spans="1:18" x14ac:dyDescent="0.2">
      <c r="A8" s="2" t="s">
        <v>51</v>
      </c>
      <c r="B8" s="37">
        <v>21777.900000000009</v>
      </c>
      <c r="D8" s="25" t="s">
        <v>60</v>
      </c>
      <c r="E8" s="37">
        <v>2538.9</v>
      </c>
      <c r="F8" s="37">
        <v>2538.9</v>
      </c>
      <c r="L8" s="2" t="s">
        <v>21</v>
      </c>
      <c r="M8">
        <v>18.8</v>
      </c>
      <c r="N8">
        <v>3402.0000000000014</v>
      </c>
      <c r="O8">
        <v>5986.9000000000015</v>
      </c>
      <c r="P8">
        <v>7483.4000000000015</v>
      </c>
      <c r="Q8">
        <v>3889.0000000000005</v>
      </c>
      <c r="R8">
        <v>20780.100000000006</v>
      </c>
    </row>
    <row r="9" spans="1:18" x14ac:dyDescent="0.2">
      <c r="A9" s="2" t="s">
        <v>52</v>
      </c>
      <c r="B9" s="37">
        <v>124670.90000000001</v>
      </c>
      <c r="D9" s="25" t="s">
        <v>61</v>
      </c>
      <c r="E9" s="37">
        <v>485.1</v>
      </c>
      <c r="F9" s="37">
        <v>485.1</v>
      </c>
      <c r="L9" s="2" t="s">
        <v>19</v>
      </c>
      <c r="M9">
        <v>15</v>
      </c>
      <c r="N9">
        <v>2721.3999999999996</v>
      </c>
      <c r="O9">
        <v>4789.5999999999995</v>
      </c>
      <c r="P9">
        <v>5986.7</v>
      </c>
      <c r="Q9">
        <v>3111.0999999999995</v>
      </c>
      <c r="R9">
        <v>16623.8</v>
      </c>
    </row>
    <row r="10" spans="1:18" x14ac:dyDescent="0.2">
      <c r="D10" s="25" t="s">
        <v>62</v>
      </c>
      <c r="E10" s="37">
        <v>1706.5</v>
      </c>
      <c r="F10" s="37">
        <v>1706.5</v>
      </c>
      <c r="L10" s="2" t="s">
        <v>17</v>
      </c>
      <c r="M10">
        <v>18.8</v>
      </c>
      <c r="N10">
        <v>3402.0000000000014</v>
      </c>
      <c r="O10">
        <v>5986.9000000000015</v>
      </c>
      <c r="P10">
        <v>7483.4000000000015</v>
      </c>
      <c r="Q10">
        <v>3889.0000000000005</v>
      </c>
      <c r="R10">
        <v>20780.100000000006</v>
      </c>
    </row>
    <row r="11" spans="1:18" x14ac:dyDescent="0.2">
      <c r="D11" s="2" t="s">
        <v>63</v>
      </c>
      <c r="E11" s="37">
        <v>4227.3999999999996</v>
      </c>
      <c r="F11" s="37">
        <v>4227.3999999999996</v>
      </c>
      <c r="L11" s="2" t="s">
        <v>1528</v>
      </c>
    </row>
    <row r="12" spans="1:18" x14ac:dyDescent="0.2">
      <c r="D12" s="25" t="s">
        <v>64</v>
      </c>
      <c r="E12" s="37">
        <v>803.2</v>
      </c>
      <c r="F12" s="37">
        <v>803.2</v>
      </c>
      <c r="L12" s="2" t="s">
        <v>1529</v>
      </c>
    </row>
    <row r="13" spans="1:18" x14ac:dyDescent="0.2">
      <c r="A13" s="24" t="s">
        <v>47</v>
      </c>
      <c r="B13" t="s">
        <v>48</v>
      </c>
      <c r="D13" s="25" t="s">
        <v>65</v>
      </c>
      <c r="E13" s="37">
        <v>3424.2</v>
      </c>
      <c r="F13" s="37">
        <v>3424.2</v>
      </c>
      <c r="L13" s="2" t="s">
        <v>1530</v>
      </c>
    </row>
    <row r="14" spans="1:18" x14ac:dyDescent="0.2">
      <c r="A14" s="2" t="s">
        <v>26</v>
      </c>
      <c r="B14" s="37">
        <v>72271.900000000038</v>
      </c>
      <c r="D14" s="2" t="s">
        <v>66</v>
      </c>
      <c r="E14" s="37">
        <v>4418.3999999999996</v>
      </c>
      <c r="F14" s="37">
        <v>4418.3999999999996</v>
      </c>
      <c r="L14" s="2" t="s">
        <v>1531</v>
      </c>
    </row>
    <row r="15" spans="1:18" x14ac:dyDescent="0.2">
      <c r="A15" s="2" t="s">
        <v>13</v>
      </c>
      <c r="B15" s="37">
        <v>4629.0000000000009</v>
      </c>
      <c r="D15" s="25" t="s">
        <v>67</v>
      </c>
      <c r="E15" s="37">
        <v>56</v>
      </c>
      <c r="F15" s="37">
        <v>56</v>
      </c>
      <c r="L15" s="2" t="s">
        <v>52</v>
      </c>
      <c r="M15">
        <v>1464.9999999999998</v>
      </c>
      <c r="N15">
        <v>21444.799999999996</v>
      </c>
      <c r="O15">
        <v>36520.800000000003</v>
      </c>
      <c r="P15">
        <v>43462.400000000001</v>
      </c>
      <c r="Q15">
        <v>21777.899999999998</v>
      </c>
      <c r="R15">
        <v>124670.90000000001</v>
      </c>
    </row>
    <row r="16" spans="1:18" x14ac:dyDescent="0.2">
      <c r="A16" s="2" t="s">
        <v>31</v>
      </c>
      <c r="B16" s="37">
        <v>47770.000000000022</v>
      </c>
      <c r="D16" s="25" t="s">
        <v>68</v>
      </c>
      <c r="E16" s="37">
        <v>824.8</v>
      </c>
      <c r="F16" s="37">
        <v>824.8</v>
      </c>
    </row>
    <row r="17" spans="1:6" x14ac:dyDescent="0.2">
      <c r="A17" s="2" t="s">
        <v>52</v>
      </c>
      <c r="B17" s="37">
        <v>124670.90000000005</v>
      </c>
      <c r="D17" s="25" t="s">
        <v>69</v>
      </c>
      <c r="E17" s="37">
        <v>53.3</v>
      </c>
      <c r="F17" s="37">
        <v>53.3</v>
      </c>
    </row>
    <row r="18" spans="1:6" x14ac:dyDescent="0.2">
      <c r="D18" s="25" t="s">
        <v>70</v>
      </c>
      <c r="E18" s="37">
        <v>2090.9</v>
      </c>
      <c r="F18" s="37">
        <v>2090.9</v>
      </c>
    </row>
    <row r="19" spans="1:6" x14ac:dyDescent="0.2">
      <c r="D19" s="25" t="s">
        <v>71</v>
      </c>
      <c r="E19" s="37">
        <v>373.1</v>
      </c>
      <c r="F19" s="37">
        <v>373.1</v>
      </c>
    </row>
    <row r="20" spans="1:6" x14ac:dyDescent="0.2">
      <c r="D20" s="25" t="s">
        <v>72</v>
      </c>
      <c r="E20" s="37">
        <v>48</v>
      </c>
      <c r="F20" s="37">
        <v>48</v>
      </c>
    </row>
    <row r="21" spans="1:6" x14ac:dyDescent="0.2">
      <c r="D21" s="25" t="s">
        <v>73</v>
      </c>
      <c r="E21" s="37">
        <v>578.90000000000009</v>
      </c>
      <c r="F21" s="37">
        <v>578.90000000000009</v>
      </c>
    </row>
    <row r="22" spans="1:6" x14ac:dyDescent="0.2">
      <c r="D22" s="25" t="s">
        <v>74</v>
      </c>
      <c r="E22" s="37">
        <v>393.40000000000009</v>
      </c>
      <c r="F22" s="37">
        <v>393.40000000000009</v>
      </c>
    </row>
    <row r="23" spans="1:6" x14ac:dyDescent="0.2">
      <c r="D23" s="2" t="s">
        <v>75</v>
      </c>
      <c r="E23" s="37">
        <v>15767.900000000001</v>
      </c>
      <c r="F23" s="37">
        <v>15767.900000000001</v>
      </c>
    </row>
    <row r="24" spans="1:6" x14ac:dyDescent="0.2">
      <c r="D24" s="25" t="s">
        <v>76</v>
      </c>
      <c r="E24" s="37">
        <v>268.8</v>
      </c>
      <c r="F24" s="37">
        <v>268.8</v>
      </c>
    </row>
    <row r="25" spans="1:6" x14ac:dyDescent="0.2">
      <c r="D25" s="25" t="s">
        <v>77</v>
      </c>
      <c r="E25" s="37"/>
      <c r="F25" s="37"/>
    </row>
    <row r="26" spans="1:6" x14ac:dyDescent="0.2">
      <c r="D26" s="25" t="s">
        <v>78</v>
      </c>
      <c r="E26" s="37">
        <v>4272.4000000000005</v>
      </c>
      <c r="F26" s="37">
        <v>4272.4000000000005</v>
      </c>
    </row>
    <row r="27" spans="1:6" x14ac:dyDescent="0.2">
      <c r="D27" s="25" t="s">
        <v>79</v>
      </c>
      <c r="E27" s="37">
        <v>59.5</v>
      </c>
      <c r="F27" s="37">
        <v>59.5</v>
      </c>
    </row>
    <row r="28" spans="1:6" x14ac:dyDescent="0.2">
      <c r="D28" s="25" t="s">
        <v>80</v>
      </c>
      <c r="E28" s="37">
        <v>935.5</v>
      </c>
      <c r="F28" s="37">
        <v>935.5</v>
      </c>
    </row>
    <row r="29" spans="1:6" x14ac:dyDescent="0.2">
      <c r="D29" s="25" t="s">
        <v>81</v>
      </c>
      <c r="E29" s="37">
        <v>2986.2</v>
      </c>
      <c r="F29" s="37">
        <v>2986.2</v>
      </c>
    </row>
    <row r="30" spans="1:6" x14ac:dyDescent="0.2">
      <c r="D30" s="25" t="s">
        <v>82</v>
      </c>
      <c r="E30" s="37">
        <v>2686.7000000000003</v>
      </c>
      <c r="F30" s="37">
        <v>2686.7000000000003</v>
      </c>
    </row>
    <row r="31" spans="1:6" x14ac:dyDescent="0.2">
      <c r="D31" s="25" t="s">
        <v>83</v>
      </c>
      <c r="E31" s="37"/>
      <c r="F31" s="37"/>
    </row>
    <row r="32" spans="1:6" x14ac:dyDescent="0.2">
      <c r="D32" s="25" t="s">
        <v>84</v>
      </c>
      <c r="E32" s="37">
        <v>2237.9</v>
      </c>
      <c r="F32" s="37">
        <v>2237.9</v>
      </c>
    </row>
    <row r="33" spans="4:6" x14ac:dyDescent="0.2">
      <c r="D33" s="25" t="s">
        <v>85</v>
      </c>
      <c r="E33" s="37">
        <v>2320.8999999999996</v>
      </c>
      <c r="F33" s="37">
        <v>2320.8999999999996</v>
      </c>
    </row>
    <row r="34" spans="4:6" x14ac:dyDescent="0.2">
      <c r="D34" s="2" t="s">
        <v>9</v>
      </c>
      <c r="E34" s="37">
        <v>714.8</v>
      </c>
      <c r="F34" s="37">
        <v>714.8</v>
      </c>
    </row>
    <row r="35" spans="4:6" x14ac:dyDescent="0.2">
      <c r="D35" s="25" t="s">
        <v>24</v>
      </c>
      <c r="E35" s="37">
        <v>28</v>
      </c>
      <c r="F35" s="37">
        <v>28</v>
      </c>
    </row>
    <row r="36" spans="4:6" x14ac:dyDescent="0.2">
      <c r="D36" s="25" t="s">
        <v>29</v>
      </c>
      <c r="E36" s="37">
        <v>5.3</v>
      </c>
      <c r="F36" s="37">
        <v>5.3</v>
      </c>
    </row>
    <row r="37" spans="4:6" x14ac:dyDescent="0.2">
      <c r="D37" s="25" t="s">
        <v>33</v>
      </c>
      <c r="E37" s="37">
        <v>251</v>
      </c>
      <c r="F37" s="37">
        <v>251</v>
      </c>
    </row>
    <row r="38" spans="4:6" x14ac:dyDescent="0.2">
      <c r="D38" s="25" t="s">
        <v>10</v>
      </c>
      <c r="E38" s="37">
        <v>430.49999999999994</v>
      </c>
      <c r="F38" s="37">
        <v>430.49999999999994</v>
      </c>
    </row>
    <row r="39" spans="4:6" x14ac:dyDescent="0.2">
      <c r="D39" s="2" t="s">
        <v>86</v>
      </c>
      <c r="E39" s="37">
        <v>2554.9000000000005</v>
      </c>
      <c r="F39" s="37">
        <v>2554.9000000000005</v>
      </c>
    </row>
    <row r="40" spans="4:6" x14ac:dyDescent="0.2">
      <c r="D40" s="25" t="s">
        <v>86</v>
      </c>
      <c r="E40" s="37">
        <v>2554.9000000000005</v>
      </c>
      <c r="F40" s="37">
        <v>2554.9000000000005</v>
      </c>
    </row>
    <row r="41" spans="4:6" x14ac:dyDescent="0.2">
      <c r="D41" s="2" t="s">
        <v>52</v>
      </c>
      <c r="E41" s="37">
        <v>36520.80000000001</v>
      </c>
      <c r="F41" s="37">
        <v>36520.80000000001</v>
      </c>
    </row>
  </sheetData>
  <pageMargins left="0.7" right="0.7" top="0.75" bottom="0.75" header="0.3" footer="0.3"/>
  <pageSetup paperSize="9" orientation="portrait" r:id="rId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3F322-95BD-4ECF-9800-1A9E3A4FC8FC}">
  <sheetPr codeName="Sheet3">
    <tabColor theme="4"/>
  </sheetPr>
  <dimension ref="A2:S59"/>
  <sheetViews>
    <sheetView zoomScaleNormal="100" workbookViewId="0">
      <selection activeCell="D21" sqref="D21"/>
    </sheetView>
  </sheetViews>
  <sheetFormatPr defaultColWidth="9" defaultRowHeight="15" x14ac:dyDescent="0.25"/>
  <cols>
    <col min="1" max="1" width="36.125" style="9" bestFit="1" customWidth="1"/>
    <col min="2" max="2" width="15.25" style="9" bestFit="1" customWidth="1"/>
    <col min="3" max="3" width="21.75" style="9" bestFit="1" customWidth="1"/>
    <col min="4" max="4" width="11.5" style="9" customWidth="1"/>
    <col min="5" max="5" width="16.625" style="9" bestFit="1" customWidth="1"/>
    <col min="6" max="6" width="10.25" style="9" customWidth="1"/>
    <col min="7" max="7" width="9.125" style="9" customWidth="1"/>
    <col min="8" max="8" width="19.375" style="9" bestFit="1" customWidth="1"/>
    <col min="9" max="9" width="7.75" style="9" bestFit="1" customWidth="1"/>
    <col min="10" max="10" width="17.5" style="9" bestFit="1" customWidth="1"/>
    <col min="11" max="11" width="19.375" style="9" bestFit="1" customWidth="1"/>
    <col min="12" max="16" width="10.5" style="9" customWidth="1"/>
    <col min="17" max="17" width="10.75" style="9" customWidth="1"/>
    <col min="18" max="18" width="25.25" style="9" customWidth="1"/>
    <col min="19" max="19" width="39.25" style="9" bestFit="1" customWidth="1"/>
    <col min="20" max="16384" width="9" style="9"/>
  </cols>
  <sheetData>
    <row r="2" spans="1:10" ht="20.25" thickBot="1" x14ac:dyDescent="0.35">
      <c r="A2" s="46" t="s">
        <v>87</v>
      </c>
    </row>
    <row r="3" spans="1:10" ht="15.75" thickTop="1" x14ac:dyDescent="0.25">
      <c r="A3" s="47" t="s">
        <v>7</v>
      </c>
      <c r="B3" s="47" t="s">
        <v>88</v>
      </c>
      <c r="C3" s="47" t="s">
        <v>5</v>
      </c>
    </row>
    <row r="4" spans="1:10" x14ac:dyDescent="0.25">
      <c r="A4" s="9" t="str" cm="1">
        <f t="array" ref="A4:A8">_xlfn._xlws.SORT(_xlfn.UNIQUE(Extended_Product_backlog[PI]))</f>
        <v>PI26</v>
      </c>
      <c r="C4" s="49">
        <f>SUMIF(Extended_Product_backlog[PI],A4,Extended_Product_backlog[Estimate])</f>
        <v>1464.9999999999998</v>
      </c>
    </row>
    <row r="5" spans="1:10" x14ac:dyDescent="0.25">
      <c r="A5" s="9" t="str">
        <v>PI27</v>
      </c>
      <c r="C5" s="49">
        <f>SUMIF(Extended_Product_backlog[PI],A5,Extended_Product_backlog[Estimate])</f>
        <v>21444.800000000017</v>
      </c>
    </row>
    <row r="6" spans="1:10" x14ac:dyDescent="0.25">
      <c r="A6" s="9" t="str">
        <v>PI28</v>
      </c>
      <c r="C6" s="49">
        <f>SUMIF(Extended_Product_backlog[PI],A6,Extended_Product_backlog[Estimate])</f>
        <v>36520.800000000039</v>
      </c>
    </row>
    <row r="7" spans="1:10" x14ac:dyDescent="0.25">
      <c r="A7" s="9" t="str">
        <v>PI29</v>
      </c>
      <c r="C7" s="49">
        <f>SUMIF(Extended_Product_backlog[PI],A7,Extended_Product_backlog[Estimate])</f>
        <v>43462.399999999951</v>
      </c>
    </row>
    <row r="8" spans="1:10" x14ac:dyDescent="0.25">
      <c r="A8" s="9" t="str">
        <v>PI30</v>
      </c>
      <c r="C8" s="49">
        <f>SUMIF(Extended_Product_backlog[PI],A8,Extended_Product_backlog[Estimate])</f>
        <v>21777.900000000009</v>
      </c>
    </row>
    <row r="9" spans="1:10" ht="15.75" thickBot="1" x14ac:dyDescent="0.3">
      <c r="A9" s="48"/>
      <c r="B9" s="48">
        <f>SUMPRODUCT(B4:B8)</f>
        <v>0</v>
      </c>
      <c r="C9" s="48">
        <f>SUMPRODUCT(C4:C8)</f>
        <v>124670.90000000001</v>
      </c>
    </row>
    <row r="11" spans="1:10" ht="19.5" x14ac:dyDescent="0.3">
      <c r="A11" s="46" t="s">
        <v>89</v>
      </c>
      <c r="B11" s="46"/>
      <c r="C11" s="46"/>
      <c r="D11" s="46"/>
      <c r="E11" s="46"/>
    </row>
    <row r="12" spans="1:10" x14ac:dyDescent="0.25">
      <c r="A12" s="14" t="s">
        <v>90</v>
      </c>
      <c r="B12" s="14" t="s">
        <v>91</v>
      </c>
      <c r="C12" s="14" t="s">
        <v>92</v>
      </c>
      <c r="D12" s="14" t="s">
        <v>93</v>
      </c>
      <c r="E12" s="14" t="s">
        <v>94</v>
      </c>
      <c r="F12" s="66" t="s">
        <v>95</v>
      </c>
      <c r="G12" s="66"/>
      <c r="H12" s="66"/>
      <c r="I12" s="66"/>
      <c r="J12" s="66"/>
    </row>
    <row r="13" spans="1:10" x14ac:dyDescent="0.25">
      <c r="A13" s="10" t="s">
        <v>22</v>
      </c>
      <c r="B13" s="10">
        <v>1</v>
      </c>
      <c r="C13" s="30">
        <f>TotalBuildEstimateJira</f>
        <v>41692.400000000001</v>
      </c>
      <c r="D13" s="29">
        <v>1</v>
      </c>
      <c r="E13" s="30">
        <f t="shared" ref="E13:E18" si="0">D13*$C$13</f>
        <v>41692.400000000001</v>
      </c>
      <c r="F13" s="65"/>
      <c r="G13" s="65"/>
      <c r="H13" s="65"/>
      <c r="I13" s="65"/>
      <c r="J13" s="65"/>
    </row>
    <row r="14" spans="1:10" x14ac:dyDescent="0.25">
      <c r="A14" s="10" t="s">
        <v>12</v>
      </c>
      <c r="B14" s="10">
        <v>0.8</v>
      </c>
      <c r="C14" s="30">
        <f>$C$13*Estimate_Factors[[#This Row],[NC Baseline]]</f>
        <v>33353.920000000006</v>
      </c>
      <c r="D14" s="29">
        <v>0.2</v>
      </c>
      <c r="E14" s="30">
        <f t="shared" si="0"/>
        <v>8338.4800000000014</v>
      </c>
      <c r="F14" s="65"/>
      <c r="G14" s="65"/>
      <c r="H14" s="65"/>
      <c r="I14" s="65"/>
      <c r="J14" s="65"/>
    </row>
    <row r="15" spans="1:10" x14ac:dyDescent="0.25">
      <c r="A15" s="10" t="s">
        <v>21</v>
      </c>
      <c r="B15" s="10">
        <v>0.4</v>
      </c>
      <c r="C15" s="30">
        <f>$C$13*Estimate_Factors[[#This Row],[NC Baseline]]</f>
        <v>16676.960000000003</v>
      </c>
      <c r="D15" s="29">
        <v>0.5</v>
      </c>
      <c r="E15" s="30">
        <f t="shared" si="0"/>
        <v>20846.2</v>
      </c>
      <c r="F15" s="65"/>
      <c r="G15" s="65"/>
      <c r="H15" s="65"/>
      <c r="I15" s="65"/>
      <c r="J15" s="65"/>
    </row>
    <row r="16" spans="1:10" x14ac:dyDescent="0.25">
      <c r="A16" s="10" t="s">
        <v>20</v>
      </c>
      <c r="B16" s="10">
        <v>0.3</v>
      </c>
      <c r="C16" s="30">
        <f>$C$13*Estimate_Factors[[#This Row],[NC Baseline]]</f>
        <v>12507.72</v>
      </c>
      <c r="D16" s="29">
        <v>0.4</v>
      </c>
      <c r="E16" s="30">
        <f t="shared" si="0"/>
        <v>16676.960000000003</v>
      </c>
      <c r="F16" s="65"/>
      <c r="G16" s="65"/>
      <c r="H16" s="65"/>
      <c r="I16" s="65"/>
      <c r="J16" s="65"/>
    </row>
    <row r="17" spans="1:19" x14ac:dyDescent="0.25">
      <c r="A17" s="10" t="s">
        <v>19</v>
      </c>
      <c r="B17" s="10">
        <v>0.3</v>
      </c>
      <c r="C17" s="30">
        <f>$C$13*Estimate_Factors[[#This Row],[NC Baseline]]</f>
        <v>12507.72</v>
      </c>
      <c r="D17" s="29">
        <v>0.4</v>
      </c>
      <c r="E17" s="30">
        <f t="shared" si="0"/>
        <v>16676.960000000003</v>
      </c>
      <c r="F17" s="65"/>
      <c r="G17" s="65"/>
      <c r="H17" s="65"/>
      <c r="I17" s="65"/>
      <c r="J17" s="65"/>
    </row>
    <row r="18" spans="1:19" x14ac:dyDescent="0.25">
      <c r="A18" s="10" t="s">
        <v>17</v>
      </c>
      <c r="B18" s="10">
        <v>0.5</v>
      </c>
      <c r="C18" s="30">
        <f>$C$13*Estimate_Factors[[#This Row],[NC Baseline]]</f>
        <v>20846.2</v>
      </c>
      <c r="D18" s="29">
        <v>0.5</v>
      </c>
      <c r="E18" s="30">
        <f t="shared" si="0"/>
        <v>20846.2</v>
      </c>
      <c r="F18" s="65"/>
      <c r="G18" s="65"/>
      <c r="H18" s="65"/>
      <c r="I18" s="65"/>
      <c r="J18" s="65"/>
    </row>
    <row r="19" spans="1:19" x14ac:dyDescent="0.25">
      <c r="A19" s="15" t="s">
        <v>96</v>
      </c>
      <c r="B19" s="15">
        <f>SUBTOTAL(109,Estimate_Factors[NC Baseline])</f>
        <v>3.3</v>
      </c>
      <c r="C19" s="50">
        <f>SUBTOTAL(109,Estimate_Factors[Hours])</f>
        <v>137584.92000000001</v>
      </c>
      <c r="D19" s="51">
        <f>SUBTOTAL(109,Estimate_Factors[Actual factor])</f>
        <v>3</v>
      </c>
      <c r="E19" s="50">
        <f>SUBTOTAL(109,Estimate_Factors[Actual hours])</f>
        <v>125077.20000000001</v>
      </c>
      <c r="F19" s="31"/>
      <c r="G19" s="31"/>
      <c r="H19" s="31"/>
      <c r="I19" s="31"/>
      <c r="J19" s="31"/>
    </row>
    <row r="20" spans="1:19" x14ac:dyDescent="0.25">
      <c r="A20" s="10"/>
      <c r="B20" s="14"/>
      <c r="C20" s="23"/>
      <c r="D20" s="14"/>
      <c r="E20" s="23"/>
    </row>
    <row r="21" spans="1:19" x14ac:dyDescent="0.25">
      <c r="A21" s="10" t="s">
        <v>97</v>
      </c>
      <c r="B21" s="19">
        <v>0.08</v>
      </c>
      <c r="C21" s="10"/>
      <c r="D21" s="10"/>
      <c r="E21" s="13">
        <f>Estimate_Factors[[#Totals],[Actual hours]]*Contingency_Factor</f>
        <v>10006.176000000001</v>
      </c>
      <c r="F21" s="17"/>
    </row>
    <row r="22" spans="1:19" x14ac:dyDescent="0.25">
      <c r="A22" s="10"/>
      <c r="B22" s="19"/>
      <c r="C22" s="10"/>
      <c r="D22" s="10"/>
      <c r="E22" s="13"/>
      <c r="F22" s="17"/>
    </row>
    <row r="23" spans="1:19" x14ac:dyDescent="0.25">
      <c r="A23" s="15" t="s">
        <v>98</v>
      </c>
      <c r="B23" s="26"/>
      <c r="C23" s="27"/>
      <c r="D23" s="10"/>
      <c r="E23" s="13">
        <f>Management[[#Totals],[Total Hours]]</f>
        <v>47800</v>
      </c>
      <c r="F23" s="17"/>
    </row>
    <row r="24" spans="1:19" x14ac:dyDescent="0.25">
      <c r="A24" s="10" t="s">
        <v>99</v>
      </c>
      <c r="B24" s="11"/>
      <c r="C24" s="10"/>
      <c r="D24" s="10"/>
      <c r="E24" s="13">
        <f>Other_Activities[[#Totals],[Hours]]</f>
        <v>22238.711111111115</v>
      </c>
      <c r="I24"/>
      <c r="J24" s="52"/>
    </row>
    <row r="25" spans="1:19" x14ac:dyDescent="0.25">
      <c r="A25" s="10" t="s">
        <v>100</v>
      </c>
      <c r="B25" s="11"/>
      <c r="C25" s="10"/>
      <c r="D25" s="10"/>
      <c r="E25" s="13">
        <f>43318+20607</f>
        <v>63925</v>
      </c>
      <c r="I25"/>
      <c r="J25" s="52"/>
    </row>
    <row r="26" spans="1:19" x14ac:dyDescent="0.25">
      <c r="A26" s="10"/>
      <c r="B26" s="11"/>
      <c r="C26" s="10"/>
      <c r="D26" s="10"/>
      <c r="E26" s="13"/>
      <c r="I26"/>
      <c r="J26" s="52"/>
    </row>
    <row r="27" spans="1:19" ht="15.75" thickBot="1" x14ac:dyDescent="0.3">
      <c r="A27" s="10" t="s">
        <v>101</v>
      </c>
      <c r="B27" s="11"/>
      <c r="C27" s="10"/>
      <c r="D27" s="10"/>
      <c r="E27" s="12">
        <f>Estimate_Factors[[#Totals],[Actual hours]]+Contingency+CalculatedManagement+CalculatedOther+E25</f>
        <v>269047.08711111115</v>
      </c>
    </row>
    <row r="28" spans="1:19" ht="15.75" thickTop="1" x14ac:dyDescent="0.25">
      <c r="A28" s="10" t="s">
        <v>102</v>
      </c>
      <c r="E28" s="18">
        <f>E27-CalculatedContingency</f>
        <v>259040.91111111114</v>
      </c>
      <c r="F28" s="53"/>
    </row>
    <row r="30" spans="1:19" x14ac:dyDescent="0.25">
      <c r="A30"/>
      <c r="B30"/>
      <c r="C30"/>
      <c r="D30"/>
      <c r="E30"/>
      <c r="F30"/>
      <c r="G30"/>
      <c r="H30"/>
      <c r="I30"/>
      <c r="J30"/>
      <c r="K30"/>
      <c r="L30"/>
      <c r="M30"/>
      <c r="N30"/>
      <c r="O30"/>
      <c r="P30"/>
      <c r="Q30"/>
      <c r="R30"/>
      <c r="S30"/>
    </row>
    <row r="31" spans="1:19" x14ac:dyDescent="0.25">
      <c r="A31"/>
      <c r="B31"/>
      <c r="C31"/>
      <c r="D31"/>
      <c r="E31"/>
      <c r="F31"/>
      <c r="G31"/>
      <c r="H31"/>
      <c r="I31"/>
      <c r="J31"/>
      <c r="K31"/>
      <c r="L31"/>
      <c r="M31"/>
      <c r="N31"/>
      <c r="O31"/>
      <c r="P31"/>
      <c r="Q31"/>
      <c r="R31"/>
      <c r="S31"/>
    </row>
    <row r="32" spans="1:19" x14ac:dyDescent="0.25">
      <c r="A32"/>
      <c r="B32"/>
      <c r="C32"/>
      <c r="D32"/>
      <c r="E32"/>
      <c r="F32"/>
      <c r="G32"/>
      <c r="H32"/>
      <c r="I32"/>
      <c r="J32"/>
      <c r="K32"/>
      <c r="L32"/>
      <c r="M32"/>
      <c r="N32"/>
      <c r="O32"/>
      <c r="P32"/>
      <c r="Q32"/>
      <c r="R32"/>
      <c r="S32"/>
    </row>
    <row r="33" spans="1:19" x14ac:dyDescent="0.25">
      <c r="A33"/>
      <c r="B33"/>
      <c r="C33"/>
      <c r="D33"/>
      <c r="E33"/>
      <c r="F33"/>
      <c r="G33"/>
      <c r="H33"/>
      <c r="I33"/>
      <c r="J33"/>
      <c r="K33"/>
      <c r="L33"/>
      <c r="M33"/>
      <c r="N33"/>
      <c r="O33"/>
      <c r="P33"/>
      <c r="Q33"/>
      <c r="R33"/>
      <c r="S33"/>
    </row>
    <row r="34" spans="1:19" customFormat="1" ht="14.25" x14ac:dyDescent="0.2"/>
    <row r="35" spans="1:19" customFormat="1" ht="14.25" x14ac:dyDescent="0.2"/>
    <row r="36" spans="1:19" x14ac:dyDescent="0.25">
      <c r="A36"/>
      <c r="B36"/>
      <c r="C36"/>
      <c r="D36"/>
      <c r="E36"/>
      <c r="F36"/>
      <c r="G36"/>
      <c r="H36"/>
      <c r="I36"/>
      <c r="J36"/>
      <c r="K36"/>
      <c r="L36"/>
      <c r="M36"/>
      <c r="N36"/>
      <c r="O36"/>
      <c r="P36"/>
      <c r="Q36"/>
      <c r="R36"/>
      <c r="S36"/>
    </row>
    <row r="37" spans="1:19" x14ac:dyDescent="0.25">
      <c r="A37"/>
      <c r="B37"/>
      <c r="C37"/>
      <c r="D37"/>
      <c r="E37"/>
      <c r="F37"/>
      <c r="G37"/>
      <c r="H37"/>
      <c r="I37"/>
      <c r="J37"/>
      <c r="K37"/>
      <c r="L37"/>
      <c r="M37"/>
      <c r="N37"/>
      <c r="O37"/>
      <c r="P37"/>
      <c r="Q37"/>
      <c r="R37"/>
      <c r="S37"/>
    </row>
    <row r="38" spans="1:19" x14ac:dyDescent="0.25">
      <c r="A38"/>
      <c r="B38"/>
      <c r="C38"/>
      <c r="D38"/>
      <c r="F38"/>
      <c r="G38"/>
      <c r="H38" s="28"/>
      <c r="I38"/>
      <c r="J38"/>
      <c r="K38"/>
      <c r="L38"/>
      <c r="M38"/>
      <c r="N38"/>
      <c r="O38"/>
      <c r="P38"/>
      <c r="Q38"/>
      <c r="R38"/>
      <c r="S38"/>
    </row>
    <row r="39" spans="1:19" x14ac:dyDescent="0.25">
      <c r="A39"/>
      <c r="B39"/>
      <c r="C39"/>
      <c r="D39"/>
      <c r="E39"/>
      <c r="F39"/>
      <c r="G39"/>
      <c r="H39"/>
      <c r="I39"/>
      <c r="J39"/>
      <c r="K39"/>
      <c r="L39"/>
      <c r="M39"/>
      <c r="N39"/>
      <c r="O39"/>
      <c r="P39"/>
      <c r="Q39"/>
      <c r="R39"/>
      <c r="S39"/>
    </row>
    <row r="40" spans="1:19" x14ac:dyDescent="0.25">
      <c r="A40"/>
      <c r="B40"/>
      <c r="C40"/>
      <c r="D40"/>
      <c r="E40"/>
      <c r="F40"/>
      <c r="G40"/>
      <c r="H40"/>
      <c r="I40"/>
      <c r="J40"/>
      <c r="K40"/>
      <c r="L40"/>
      <c r="M40"/>
      <c r="N40"/>
      <c r="O40"/>
      <c r="P40"/>
      <c r="Q40"/>
      <c r="R40"/>
      <c r="S40"/>
    </row>
    <row r="41" spans="1:19" x14ac:dyDescent="0.25">
      <c r="A41"/>
      <c r="B41"/>
      <c r="C41"/>
      <c r="D41"/>
      <c r="E41"/>
      <c r="F41"/>
      <c r="G41"/>
      <c r="H41"/>
      <c r="I41"/>
      <c r="J41"/>
      <c r="K41"/>
      <c r="L41"/>
      <c r="M41"/>
      <c r="N41"/>
      <c r="O41"/>
      <c r="P41"/>
      <c r="Q41"/>
      <c r="R41"/>
      <c r="S41"/>
    </row>
    <row r="42" spans="1:19" x14ac:dyDescent="0.25">
      <c r="A42"/>
      <c r="B42"/>
      <c r="C42"/>
      <c r="D42"/>
      <c r="E42"/>
      <c r="F42"/>
      <c r="G42"/>
      <c r="H42"/>
      <c r="I42"/>
      <c r="J42"/>
      <c r="K42"/>
      <c r="L42"/>
      <c r="M42"/>
      <c r="N42"/>
      <c r="O42"/>
      <c r="P42"/>
      <c r="Q42"/>
      <c r="R42"/>
      <c r="S42"/>
    </row>
    <row r="43" spans="1:19" x14ac:dyDescent="0.25">
      <c r="A43"/>
      <c r="B43"/>
      <c r="C43"/>
      <c r="D43"/>
      <c r="E43"/>
      <c r="F43"/>
      <c r="G43"/>
      <c r="H43"/>
      <c r="I43"/>
      <c r="J43"/>
      <c r="K43"/>
      <c r="L43"/>
      <c r="M43"/>
      <c r="N43"/>
      <c r="O43"/>
      <c r="P43"/>
      <c r="Q43"/>
      <c r="R43"/>
      <c r="S43"/>
    </row>
    <row r="44" spans="1:19" x14ac:dyDescent="0.25">
      <c r="A44"/>
      <c r="B44"/>
      <c r="C44"/>
      <c r="D44"/>
      <c r="E44"/>
      <c r="F44"/>
      <c r="G44"/>
      <c r="H44"/>
      <c r="I44"/>
      <c r="J44"/>
      <c r="K44"/>
      <c r="L44"/>
      <c r="M44"/>
      <c r="N44"/>
      <c r="O44"/>
      <c r="P44"/>
      <c r="Q44"/>
      <c r="R44"/>
      <c r="S44"/>
    </row>
    <row r="45" spans="1:19" x14ac:dyDescent="0.25">
      <c r="A45"/>
      <c r="B45"/>
      <c r="C45"/>
      <c r="D45"/>
      <c r="E45"/>
      <c r="F45"/>
      <c r="G45"/>
      <c r="H45"/>
      <c r="I45"/>
      <c r="J45"/>
      <c r="K45"/>
      <c r="L45"/>
      <c r="M45"/>
      <c r="N45"/>
      <c r="O45"/>
      <c r="P45"/>
      <c r="Q45"/>
      <c r="R45"/>
      <c r="S45"/>
    </row>
    <row r="46" spans="1:19" x14ac:dyDescent="0.25">
      <c r="A46"/>
      <c r="B46"/>
      <c r="C46"/>
      <c r="D46"/>
      <c r="E46"/>
      <c r="F46"/>
      <c r="G46"/>
      <c r="H46"/>
      <c r="I46"/>
      <c r="J46"/>
      <c r="K46"/>
      <c r="L46"/>
      <c r="M46"/>
      <c r="N46"/>
      <c r="O46"/>
      <c r="P46"/>
      <c r="Q46"/>
      <c r="R46"/>
      <c r="S46"/>
    </row>
    <row r="47" spans="1:19" x14ac:dyDescent="0.25">
      <c r="A47"/>
      <c r="B47"/>
      <c r="C47"/>
      <c r="D47"/>
      <c r="E47"/>
      <c r="F47"/>
      <c r="G47"/>
      <c r="H47"/>
      <c r="I47"/>
      <c r="J47"/>
      <c r="K47"/>
      <c r="L47"/>
      <c r="M47"/>
      <c r="N47"/>
      <c r="O47"/>
      <c r="P47"/>
      <c r="Q47"/>
      <c r="R47"/>
      <c r="S47"/>
    </row>
    <row r="48" spans="1:19" x14ac:dyDescent="0.25">
      <c r="A48"/>
      <c r="B48"/>
      <c r="C48"/>
      <c r="D48"/>
      <c r="E48"/>
      <c r="F48"/>
      <c r="G48"/>
      <c r="H48"/>
      <c r="I48"/>
      <c r="J48"/>
      <c r="K48"/>
      <c r="L48"/>
      <c r="M48"/>
      <c r="N48"/>
      <c r="O48"/>
      <c r="P48"/>
      <c r="Q48"/>
      <c r="R48"/>
      <c r="S48"/>
    </row>
    <row r="49" spans="1:19" x14ac:dyDescent="0.25">
      <c r="A49"/>
      <c r="B49"/>
      <c r="C49"/>
      <c r="D49"/>
      <c r="E49"/>
      <c r="F49"/>
      <c r="G49"/>
      <c r="H49"/>
      <c r="I49"/>
      <c r="J49"/>
      <c r="K49"/>
      <c r="L49"/>
      <c r="M49"/>
      <c r="N49"/>
      <c r="O49"/>
      <c r="P49"/>
      <c r="Q49"/>
      <c r="R49"/>
      <c r="S49"/>
    </row>
    <row r="50" spans="1:19" x14ac:dyDescent="0.25">
      <c r="A50" s="16"/>
    </row>
    <row r="52" spans="1:19" x14ac:dyDescent="0.25">
      <c r="C52" s="64"/>
      <c r="D52" s="64"/>
      <c r="E52" s="64"/>
      <c r="F52" s="64"/>
      <c r="G52"/>
      <c r="H52"/>
      <c r="I52"/>
      <c r="J52"/>
      <c r="K52"/>
      <c r="L52"/>
    </row>
    <row r="53" spans="1:19" x14ac:dyDescent="0.25">
      <c r="C53"/>
      <c r="D53"/>
      <c r="E53"/>
      <c r="F53"/>
      <c r="G53"/>
      <c r="H53"/>
      <c r="I53"/>
      <c r="J53"/>
      <c r="K53"/>
      <c r="L53"/>
    </row>
    <row r="54" spans="1:19" x14ac:dyDescent="0.25">
      <c r="C54"/>
      <c r="D54"/>
      <c r="E54" s="64"/>
      <c r="F54" s="64"/>
      <c r="G54" s="64"/>
      <c r="H54" s="64"/>
      <c r="I54"/>
      <c r="J54"/>
      <c r="K54"/>
      <c r="L54"/>
    </row>
    <row r="55" spans="1:19" x14ac:dyDescent="0.25">
      <c r="C55"/>
      <c r="D55"/>
      <c r="E55"/>
      <c r="F55"/>
      <c r="G55"/>
      <c r="H55"/>
      <c r="I55"/>
      <c r="J55"/>
      <c r="K55"/>
      <c r="L55"/>
    </row>
    <row r="56" spans="1:19" x14ac:dyDescent="0.25">
      <c r="C56"/>
      <c r="D56"/>
      <c r="E56"/>
      <c r="F56"/>
      <c r="G56" s="64"/>
      <c r="H56" s="64"/>
      <c r="I56" s="64"/>
      <c r="J56" s="64"/>
      <c r="K56"/>
      <c r="L56"/>
    </row>
    <row r="57" spans="1:19" x14ac:dyDescent="0.25">
      <c r="C57"/>
      <c r="D57"/>
      <c r="E57"/>
      <c r="F57"/>
      <c r="G57"/>
      <c r="H57"/>
      <c r="I57"/>
      <c r="J57"/>
      <c r="K57"/>
      <c r="L57"/>
    </row>
    <row r="58" spans="1:19" x14ac:dyDescent="0.25">
      <c r="C58"/>
      <c r="D58"/>
      <c r="E58"/>
      <c r="F58"/>
      <c r="G58"/>
      <c r="H58"/>
      <c r="I58" s="64"/>
      <c r="J58" s="64"/>
      <c r="K58" s="64"/>
      <c r="L58" s="64"/>
    </row>
    <row r="59" spans="1:19" x14ac:dyDescent="0.25">
      <c r="C59"/>
      <c r="D59"/>
      <c r="E59"/>
      <c r="F59"/>
      <c r="G59"/>
      <c r="H59"/>
      <c r="I59"/>
      <c r="J59"/>
      <c r="K59"/>
      <c r="L59"/>
    </row>
  </sheetData>
  <mergeCells count="11">
    <mergeCell ref="F12:J12"/>
    <mergeCell ref="F13:J13"/>
    <mergeCell ref="F15:J15"/>
    <mergeCell ref="F16:J16"/>
    <mergeCell ref="F18:J18"/>
    <mergeCell ref="F17:J17"/>
    <mergeCell ref="C52:F52"/>
    <mergeCell ref="E54:H54"/>
    <mergeCell ref="G56:J56"/>
    <mergeCell ref="I58:L58"/>
    <mergeCell ref="F14:J14"/>
  </mergeCells>
  <phoneticPr fontId="17" type="noConversion"/>
  <conditionalFormatting sqref="F13:F19">
    <cfRule type="expression" dxfId="0" priority="1">
      <formula>$B13&lt;&gt;$D13</formula>
    </cfRule>
  </conditionalFormatting>
  <pageMargins left="0.7" right="0.7" top="0.75" bottom="0.75" header="0.3" footer="0.3"/>
  <pageSetup paperSize="9" orientation="portrait" r:id="rId1"/>
  <ignoredErrors>
    <ignoredError sqref="C13:C18" calculatedColumn="1"/>
  </ignoredErrors>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16496-419D-408E-8867-6880F9F00D3E}">
  <sheetPr codeName="Sheet5">
    <tabColor rgb="FFFF0000"/>
  </sheetPr>
  <dimension ref="A1:H2159"/>
  <sheetViews>
    <sheetView topLeftCell="A17" zoomScale="85" zoomScaleNormal="85" workbookViewId="0">
      <selection activeCell="A17" sqref="A17"/>
    </sheetView>
  </sheetViews>
  <sheetFormatPr defaultRowHeight="14.25" x14ac:dyDescent="0.2"/>
  <cols>
    <col min="1" max="1" width="9.875" bestFit="1" customWidth="1"/>
    <col min="2" max="2" width="42.625" bestFit="1" customWidth="1"/>
    <col min="3" max="3" width="41.125" bestFit="1" customWidth="1"/>
    <col min="4" max="4" width="81" bestFit="1" customWidth="1"/>
    <col min="5" max="5" width="41.875" bestFit="1" customWidth="1"/>
    <col min="6" max="6" width="10.75" bestFit="1" customWidth="1"/>
    <col min="7" max="7" width="12.25" bestFit="1" customWidth="1"/>
    <col min="8" max="8" width="5" bestFit="1" customWidth="1"/>
    <col min="9" max="9" width="24.375" customWidth="1"/>
    <col min="10" max="11" width="24.375" bestFit="1" customWidth="1"/>
    <col min="12" max="12" width="10.125" bestFit="1" customWidth="1"/>
    <col min="13" max="13" width="24.375" bestFit="1" customWidth="1"/>
  </cols>
  <sheetData>
    <row r="1" spans="1:8" x14ac:dyDescent="0.2">
      <c r="A1" t="s">
        <v>0</v>
      </c>
      <c r="B1" t="s">
        <v>1</v>
      </c>
      <c r="C1" t="s">
        <v>2</v>
      </c>
      <c r="D1" t="s">
        <v>3</v>
      </c>
      <c r="E1" t="s">
        <v>4</v>
      </c>
      <c r="F1" t="s">
        <v>5</v>
      </c>
      <c r="G1" t="s">
        <v>6</v>
      </c>
      <c r="H1" t="s">
        <v>7</v>
      </c>
    </row>
    <row r="2" spans="1:8" hidden="1" x14ac:dyDescent="0.2">
      <c r="A2" t="s">
        <v>103</v>
      </c>
      <c r="B2" t="s">
        <v>56</v>
      </c>
      <c r="C2" t="s">
        <v>60</v>
      </c>
      <c r="D2" t="s">
        <v>104</v>
      </c>
      <c r="E2" t="s">
        <v>22</v>
      </c>
      <c r="F2">
        <v>42.7</v>
      </c>
      <c r="G2" t="s">
        <v>26</v>
      </c>
      <c r="H2" t="s">
        <v>14</v>
      </c>
    </row>
    <row r="3" spans="1:8" hidden="1" x14ac:dyDescent="0.2">
      <c r="A3" t="s">
        <v>103</v>
      </c>
      <c r="B3" t="s">
        <v>56</v>
      </c>
      <c r="C3" t="s">
        <v>60</v>
      </c>
      <c r="D3" t="s">
        <v>104</v>
      </c>
      <c r="E3" t="s">
        <v>1528</v>
      </c>
      <c r="G3" t="s">
        <v>26</v>
      </c>
      <c r="H3" t="s">
        <v>14</v>
      </c>
    </row>
    <row r="4" spans="1:8" hidden="1" x14ac:dyDescent="0.2">
      <c r="A4" t="s">
        <v>103</v>
      </c>
      <c r="B4" t="s">
        <v>56</v>
      </c>
      <c r="C4" t="s">
        <v>60</v>
      </c>
      <c r="D4" t="s">
        <v>104</v>
      </c>
      <c r="E4" t="s">
        <v>1529</v>
      </c>
      <c r="G4" t="s">
        <v>26</v>
      </c>
      <c r="H4" t="s">
        <v>14</v>
      </c>
    </row>
    <row r="5" spans="1:8" hidden="1" x14ac:dyDescent="0.2">
      <c r="A5" t="s">
        <v>103</v>
      </c>
      <c r="B5" t="s">
        <v>56</v>
      </c>
      <c r="C5" t="s">
        <v>60</v>
      </c>
      <c r="D5" t="s">
        <v>104</v>
      </c>
      <c r="E5" t="s">
        <v>1530</v>
      </c>
      <c r="G5" t="s">
        <v>26</v>
      </c>
      <c r="H5" t="s">
        <v>14</v>
      </c>
    </row>
    <row r="6" spans="1:8" hidden="1" x14ac:dyDescent="0.2">
      <c r="A6" t="s">
        <v>103</v>
      </c>
      <c r="B6" t="s">
        <v>56</v>
      </c>
      <c r="C6" t="s">
        <v>60</v>
      </c>
      <c r="D6" t="s">
        <v>104</v>
      </c>
      <c r="E6" t="s">
        <v>1531</v>
      </c>
      <c r="G6" t="s">
        <v>26</v>
      </c>
      <c r="H6" t="s">
        <v>14</v>
      </c>
    </row>
    <row r="7" spans="1:8" hidden="1" x14ac:dyDescent="0.2">
      <c r="A7" t="s">
        <v>103</v>
      </c>
      <c r="B7" t="s">
        <v>56</v>
      </c>
      <c r="C7" t="s">
        <v>60</v>
      </c>
      <c r="D7" t="s">
        <v>104</v>
      </c>
      <c r="E7" t="s">
        <v>12</v>
      </c>
      <c r="F7">
        <v>8.5</v>
      </c>
      <c r="G7" t="s">
        <v>26</v>
      </c>
      <c r="H7" t="s">
        <v>50</v>
      </c>
    </row>
    <row r="8" spans="1:8" hidden="1" x14ac:dyDescent="0.2">
      <c r="A8" t="s">
        <v>103</v>
      </c>
      <c r="B8" t="s">
        <v>56</v>
      </c>
      <c r="C8" t="s">
        <v>60</v>
      </c>
      <c r="D8" t="s">
        <v>104</v>
      </c>
      <c r="E8" t="s">
        <v>21</v>
      </c>
      <c r="F8">
        <v>21.4</v>
      </c>
      <c r="G8" t="s">
        <v>26</v>
      </c>
      <c r="H8" t="s">
        <v>14</v>
      </c>
    </row>
    <row r="9" spans="1:8" hidden="1" x14ac:dyDescent="0.2">
      <c r="A9" t="s">
        <v>103</v>
      </c>
      <c r="B9" t="s">
        <v>56</v>
      </c>
      <c r="C9" t="s">
        <v>60</v>
      </c>
      <c r="D9" t="s">
        <v>104</v>
      </c>
      <c r="E9" t="s">
        <v>20</v>
      </c>
      <c r="F9">
        <v>17.100000000000001</v>
      </c>
      <c r="G9" t="s">
        <v>26</v>
      </c>
      <c r="H9" t="s">
        <v>14</v>
      </c>
    </row>
    <row r="10" spans="1:8" hidden="1" x14ac:dyDescent="0.2">
      <c r="A10" t="s">
        <v>103</v>
      </c>
      <c r="B10" t="s">
        <v>56</v>
      </c>
      <c r="C10" t="s">
        <v>60</v>
      </c>
      <c r="D10" t="s">
        <v>104</v>
      </c>
      <c r="E10" t="s">
        <v>19</v>
      </c>
      <c r="F10">
        <v>17.100000000000001</v>
      </c>
      <c r="G10" t="s">
        <v>26</v>
      </c>
      <c r="H10" t="s">
        <v>14</v>
      </c>
    </row>
    <row r="11" spans="1:8" hidden="1" x14ac:dyDescent="0.2">
      <c r="A11" t="s">
        <v>103</v>
      </c>
      <c r="B11" t="s">
        <v>56</v>
      </c>
      <c r="C11" t="s">
        <v>60</v>
      </c>
      <c r="D11" t="s">
        <v>104</v>
      </c>
      <c r="E11" t="s">
        <v>17</v>
      </c>
      <c r="F11">
        <v>21.4</v>
      </c>
      <c r="G11" t="s">
        <v>26</v>
      </c>
      <c r="H11" t="s">
        <v>14</v>
      </c>
    </row>
    <row r="12" spans="1:8" hidden="1" x14ac:dyDescent="0.2">
      <c r="A12" t="s">
        <v>105</v>
      </c>
      <c r="B12" t="s">
        <v>66</v>
      </c>
      <c r="C12" t="s">
        <v>67</v>
      </c>
      <c r="D12" t="s">
        <v>106</v>
      </c>
      <c r="E12" t="s">
        <v>22</v>
      </c>
      <c r="F12">
        <v>140</v>
      </c>
      <c r="G12" t="s">
        <v>26</v>
      </c>
      <c r="H12" t="s">
        <v>27</v>
      </c>
    </row>
    <row r="13" spans="1:8" hidden="1" x14ac:dyDescent="0.2">
      <c r="A13" t="s">
        <v>105</v>
      </c>
      <c r="B13" t="s">
        <v>66</v>
      </c>
      <c r="C13" t="s">
        <v>67</v>
      </c>
      <c r="D13" t="s">
        <v>106</v>
      </c>
      <c r="E13" t="s">
        <v>1528</v>
      </c>
      <c r="G13" t="s">
        <v>26</v>
      </c>
      <c r="H13" t="s">
        <v>27</v>
      </c>
    </row>
    <row r="14" spans="1:8" hidden="1" x14ac:dyDescent="0.2">
      <c r="A14" t="s">
        <v>105</v>
      </c>
      <c r="B14" t="s">
        <v>66</v>
      </c>
      <c r="C14" t="s">
        <v>67</v>
      </c>
      <c r="D14" t="s">
        <v>106</v>
      </c>
      <c r="E14" t="s">
        <v>1529</v>
      </c>
      <c r="G14" t="s">
        <v>26</v>
      </c>
      <c r="H14" t="s">
        <v>27</v>
      </c>
    </row>
    <row r="15" spans="1:8" hidden="1" x14ac:dyDescent="0.2">
      <c r="A15" t="s">
        <v>105</v>
      </c>
      <c r="B15" t="s">
        <v>66</v>
      </c>
      <c r="C15" t="s">
        <v>67</v>
      </c>
      <c r="D15" t="s">
        <v>106</v>
      </c>
      <c r="E15" t="s">
        <v>1530</v>
      </c>
      <c r="G15" t="s">
        <v>26</v>
      </c>
      <c r="H15" t="s">
        <v>27</v>
      </c>
    </row>
    <row r="16" spans="1:8" hidden="1" x14ac:dyDescent="0.2">
      <c r="A16" t="s">
        <v>105</v>
      </c>
      <c r="B16" t="s">
        <v>66</v>
      </c>
      <c r="C16" t="s">
        <v>67</v>
      </c>
      <c r="D16" t="s">
        <v>106</v>
      </c>
      <c r="E16" t="s">
        <v>1531</v>
      </c>
      <c r="G16" t="s">
        <v>26</v>
      </c>
      <c r="H16" t="s">
        <v>27</v>
      </c>
    </row>
    <row r="17" spans="1:8" x14ac:dyDescent="0.2">
      <c r="A17" t="s">
        <v>105</v>
      </c>
      <c r="B17" t="s">
        <v>66</v>
      </c>
      <c r="C17" t="s">
        <v>67</v>
      </c>
      <c r="D17" t="s">
        <v>106</v>
      </c>
      <c r="E17" t="s">
        <v>12</v>
      </c>
      <c r="F17">
        <v>28</v>
      </c>
      <c r="G17" t="s">
        <v>26</v>
      </c>
      <c r="H17" t="s">
        <v>18</v>
      </c>
    </row>
    <row r="18" spans="1:8" hidden="1" x14ac:dyDescent="0.2">
      <c r="A18" t="s">
        <v>105</v>
      </c>
      <c r="B18" t="s">
        <v>66</v>
      </c>
      <c r="C18" t="s">
        <v>67</v>
      </c>
      <c r="D18" t="s">
        <v>106</v>
      </c>
      <c r="E18" t="s">
        <v>21</v>
      </c>
      <c r="F18">
        <v>70</v>
      </c>
      <c r="G18" t="s">
        <v>26</v>
      </c>
      <c r="H18" t="s">
        <v>27</v>
      </c>
    </row>
    <row r="19" spans="1:8" hidden="1" x14ac:dyDescent="0.2">
      <c r="A19" t="s">
        <v>105</v>
      </c>
      <c r="B19" t="s">
        <v>66</v>
      </c>
      <c r="C19" t="s">
        <v>67</v>
      </c>
      <c r="D19" t="s">
        <v>106</v>
      </c>
      <c r="E19" t="s">
        <v>20</v>
      </c>
      <c r="F19">
        <v>56</v>
      </c>
      <c r="G19" t="s">
        <v>26</v>
      </c>
      <c r="H19" t="s">
        <v>27</v>
      </c>
    </row>
    <row r="20" spans="1:8" hidden="1" x14ac:dyDescent="0.2">
      <c r="A20" t="s">
        <v>105</v>
      </c>
      <c r="B20" t="s">
        <v>66</v>
      </c>
      <c r="C20" t="s">
        <v>67</v>
      </c>
      <c r="D20" t="s">
        <v>106</v>
      </c>
      <c r="E20" t="s">
        <v>19</v>
      </c>
      <c r="F20">
        <v>56</v>
      </c>
      <c r="G20" t="s">
        <v>26</v>
      </c>
      <c r="H20" t="s">
        <v>27</v>
      </c>
    </row>
    <row r="21" spans="1:8" hidden="1" x14ac:dyDescent="0.2">
      <c r="A21" t="s">
        <v>105</v>
      </c>
      <c r="B21" t="s">
        <v>66</v>
      </c>
      <c r="C21" t="s">
        <v>67</v>
      </c>
      <c r="D21" t="s">
        <v>106</v>
      </c>
      <c r="E21" t="s">
        <v>17</v>
      </c>
      <c r="F21">
        <v>70</v>
      </c>
      <c r="G21" t="s">
        <v>26</v>
      </c>
      <c r="H21" t="s">
        <v>27</v>
      </c>
    </row>
    <row r="22" spans="1:8" hidden="1" x14ac:dyDescent="0.2">
      <c r="A22" t="s">
        <v>107</v>
      </c>
      <c r="B22" t="s">
        <v>66</v>
      </c>
      <c r="C22" t="s">
        <v>67</v>
      </c>
      <c r="D22" t="s">
        <v>108</v>
      </c>
      <c r="E22" t="s">
        <v>22</v>
      </c>
      <c r="F22">
        <v>140</v>
      </c>
      <c r="G22" t="s">
        <v>26</v>
      </c>
      <c r="H22" t="s">
        <v>27</v>
      </c>
    </row>
    <row r="23" spans="1:8" hidden="1" x14ac:dyDescent="0.2">
      <c r="A23" t="s">
        <v>107</v>
      </c>
      <c r="B23" t="s">
        <v>66</v>
      </c>
      <c r="C23" t="s">
        <v>67</v>
      </c>
      <c r="D23" t="s">
        <v>108</v>
      </c>
      <c r="E23" t="s">
        <v>1528</v>
      </c>
      <c r="G23" t="s">
        <v>26</v>
      </c>
      <c r="H23" t="s">
        <v>27</v>
      </c>
    </row>
    <row r="24" spans="1:8" hidden="1" x14ac:dyDescent="0.2">
      <c r="A24" t="s">
        <v>107</v>
      </c>
      <c r="B24" t="s">
        <v>66</v>
      </c>
      <c r="C24" t="s">
        <v>67</v>
      </c>
      <c r="D24" t="s">
        <v>108</v>
      </c>
      <c r="E24" t="s">
        <v>1529</v>
      </c>
      <c r="G24" t="s">
        <v>26</v>
      </c>
      <c r="H24" t="s">
        <v>27</v>
      </c>
    </row>
    <row r="25" spans="1:8" hidden="1" x14ac:dyDescent="0.2">
      <c r="A25" t="s">
        <v>107</v>
      </c>
      <c r="B25" t="s">
        <v>66</v>
      </c>
      <c r="C25" t="s">
        <v>67</v>
      </c>
      <c r="D25" t="s">
        <v>108</v>
      </c>
      <c r="E25" t="s">
        <v>1530</v>
      </c>
      <c r="G25" t="s">
        <v>26</v>
      </c>
      <c r="H25" t="s">
        <v>27</v>
      </c>
    </row>
    <row r="26" spans="1:8" hidden="1" x14ac:dyDescent="0.2">
      <c r="A26" t="s">
        <v>107</v>
      </c>
      <c r="B26" t="s">
        <v>66</v>
      </c>
      <c r="C26" t="s">
        <v>67</v>
      </c>
      <c r="D26" t="s">
        <v>108</v>
      </c>
      <c r="E26" t="s">
        <v>1531</v>
      </c>
      <c r="G26" t="s">
        <v>26</v>
      </c>
      <c r="H26" t="s">
        <v>27</v>
      </c>
    </row>
    <row r="27" spans="1:8" x14ac:dyDescent="0.2">
      <c r="A27" t="s">
        <v>107</v>
      </c>
      <c r="B27" t="s">
        <v>66</v>
      </c>
      <c r="C27" t="s">
        <v>67</v>
      </c>
      <c r="D27" t="s">
        <v>108</v>
      </c>
      <c r="E27" t="s">
        <v>12</v>
      </c>
      <c r="F27">
        <v>28</v>
      </c>
      <c r="G27" t="s">
        <v>26</v>
      </c>
      <c r="H27" t="s">
        <v>18</v>
      </c>
    </row>
    <row r="28" spans="1:8" hidden="1" x14ac:dyDescent="0.2">
      <c r="A28" t="s">
        <v>107</v>
      </c>
      <c r="B28" t="s">
        <v>66</v>
      </c>
      <c r="C28" t="s">
        <v>67</v>
      </c>
      <c r="D28" t="s">
        <v>108</v>
      </c>
      <c r="E28" t="s">
        <v>21</v>
      </c>
      <c r="F28">
        <v>70</v>
      </c>
      <c r="G28" t="s">
        <v>26</v>
      </c>
      <c r="H28" t="s">
        <v>27</v>
      </c>
    </row>
    <row r="29" spans="1:8" hidden="1" x14ac:dyDescent="0.2">
      <c r="A29" t="s">
        <v>107</v>
      </c>
      <c r="B29" t="s">
        <v>66</v>
      </c>
      <c r="C29" t="s">
        <v>67</v>
      </c>
      <c r="D29" t="s">
        <v>108</v>
      </c>
      <c r="E29" t="s">
        <v>20</v>
      </c>
      <c r="F29">
        <v>56</v>
      </c>
      <c r="G29" t="s">
        <v>26</v>
      </c>
      <c r="H29" t="s">
        <v>27</v>
      </c>
    </row>
    <row r="30" spans="1:8" hidden="1" x14ac:dyDescent="0.2">
      <c r="A30" t="s">
        <v>107</v>
      </c>
      <c r="B30" t="s">
        <v>66</v>
      </c>
      <c r="C30" t="s">
        <v>67</v>
      </c>
      <c r="D30" t="s">
        <v>108</v>
      </c>
      <c r="E30" t="s">
        <v>19</v>
      </c>
      <c r="F30">
        <v>56</v>
      </c>
      <c r="G30" t="s">
        <v>26</v>
      </c>
      <c r="H30" t="s">
        <v>27</v>
      </c>
    </row>
    <row r="31" spans="1:8" hidden="1" x14ac:dyDescent="0.2">
      <c r="A31" t="s">
        <v>107</v>
      </c>
      <c r="B31" t="s">
        <v>66</v>
      </c>
      <c r="C31" t="s">
        <v>67</v>
      </c>
      <c r="D31" t="s">
        <v>108</v>
      </c>
      <c r="E31" t="s">
        <v>17</v>
      </c>
      <c r="F31">
        <v>70</v>
      </c>
      <c r="G31" t="s">
        <v>26</v>
      </c>
      <c r="H31" t="s">
        <v>27</v>
      </c>
    </row>
    <row r="32" spans="1:8" hidden="1" x14ac:dyDescent="0.2">
      <c r="A32" t="s">
        <v>109</v>
      </c>
      <c r="D32" t="s">
        <v>110</v>
      </c>
      <c r="E32" t="s">
        <v>22</v>
      </c>
      <c r="F32">
        <v>46.7</v>
      </c>
      <c r="G32" t="s">
        <v>31</v>
      </c>
      <c r="H32" t="s">
        <v>51</v>
      </c>
    </row>
    <row r="33" spans="1:8" hidden="1" x14ac:dyDescent="0.2">
      <c r="A33" t="s">
        <v>109</v>
      </c>
      <c r="D33" t="s">
        <v>110</v>
      </c>
      <c r="E33" t="s">
        <v>1528</v>
      </c>
      <c r="G33" t="s">
        <v>31</v>
      </c>
      <c r="H33" t="s">
        <v>51</v>
      </c>
    </row>
    <row r="34" spans="1:8" hidden="1" x14ac:dyDescent="0.2">
      <c r="A34" t="s">
        <v>109</v>
      </c>
      <c r="D34" t="s">
        <v>110</v>
      </c>
      <c r="E34" t="s">
        <v>1529</v>
      </c>
      <c r="G34" t="s">
        <v>31</v>
      </c>
      <c r="H34" t="s">
        <v>51</v>
      </c>
    </row>
    <row r="35" spans="1:8" hidden="1" x14ac:dyDescent="0.2">
      <c r="A35" t="s">
        <v>109</v>
      </c>
      <c r="D35" t="s">
        <v>110</v>
      </c>
      <c r="E35" t="s">
        <v>1530</v>
      </c>
      <c r="G35" t="s">
        <v>31</v>
      </c>
      <c r="H35" t="s">
        <v>51</v>
      </c>
    </row>
    <row r="36" spans="1:8" hidden="1" x14ac:dyDescent="0.2">
      <c r="A36" t="s">
        <v>109</v>
      </c>
      <c r="D36" t="s">
        <v>110</v>
      </c>
      <c r="E36" t="s">
        <v>1531</v>
      </c>
      <c r="G36" t="s">
        <v>31</v>
      </c>
      <c r="H36" t="s">
        <v>51</v>
      </c>
    </row>
    <row r="37" spans="1:8" hidden="1" x14ac:dyDescent="0.2">
      <c r="A37" t="s">
        <v>109</v>
      </c>
      <c r="D37" t="s">
        <v>110</v>
      </c>
      <c r="E37" t="s">
        <v>12</v>
      </c>
      <c r="F37">
        <v>9.3000000000000007</v>
      </c>
      <c r="G37" t="s">
        <v>31</v>
      </c>
      <c r="H37" t="s">
        <v>27</v>
      </c>
    </row>
    <row r="38" spans="1:8" hidden="1" x14ac:dyDescent="0.2">
      <c r="A38" t="s">
        <v>109</v>
      </c>
      <c r="D38" t="s">
        <v>110</v>
      </c>
      <c r="E38" t="s">
        <v>21</v>
      </c>
      <c r="F38">
        <v>23.4</v>
      </c>
      <c r="G38" t="s">
        <v>31</v>
      </c>
      <c r="H38" t="s">
        <v>51</v>
      </c>
    </row>
    <row r="39" spans="1:8" hidden="1" x14ac:dyDescent="0.2">
      <c r="A39" t="s">
        <v>109</v>
      </c>
      <c r="D39" t="s">
        <v>110</v>
      </c>
      <c r="E39" t="s">
        <v>20</v>
      </c>
      <c r="F39">
        <v>18.7</v>
      </c>
      <c r="G39" t="s">
        <v>31</v>
      </c>
      <c r="H39" t="s">
        <v>51</v>
      </c>
    </row>
    <row r="40" spans="1:8" hidden="1" x14ac:dyDescent="0.2">
      <c r="A40" t="s">
        <v>109</v>
      </c>
      <c r="D40" t="s">
        <v>110</v>
      </c>
      <c r="E40" t="s">
        <v>19</v>
      </c>
      <c r="F40">
        <v>18.7</v>
      </c>
      <c r="G40" t="s">
        <v>31</v>
      </c>
      <c r="H40" t="s">
        <v>51</v>
      </c>
    </row>
    <row r="41" spans="1:8" hidden="1" x14ac:dyDescent="0.2">
      <c r="A41" t="s">
        <v>109</v>
      </c>
      <c r="D41" t="s">
        <v>110</v>
      </c>
      <c r="E41" t="s">
        <v>17</v>
      </c>
      <c r="F41">
        <v>23.4</v>
      </c>
      <c r="G41" t="s">
        <v>31</v>
      </c>
      <c r="H41" t="s">
        <v>51</v>
      </c>
    </row>
    <row r="42" spans="1:8" hidden="1" x14ac:dyDescent="0.2">
      <c r="A42" t="s">
        <v>111</v>
      </c>
      <c r="D42" t="s">
        <v>112</v>
      </c>
      <c r="E42" t="s">
        <v>22</v>
      </c>
      <c r="F42">
        <v>46.7</v>
      </c>
      <c r="G42" t="s">
        <v>31</v>
      </c>
      <c r="H42" t="s">
        <v>51</v>
      </c>
    </row>
    <row r="43" spans="1:8" hidden="1" x14ac:dyDescent="0.2">
      <c r="A43" t="s">
        <v>111</v>
      </c>
      <c r="D43" t="s">
        <v>112</v>
      </c>
      <c r="E43" t="s">
        <v>1528</v>
      </c>
      <c r="G43" t="s">
        <v>31</v>
      </c>
      <c r="H43" t="s">
        <v>51</v>
      </c>
    </row>
    <row r="44" spans="1:8" hidden="1" x14ac:dyDescent="0.2">
      <c r="A44" t="s">
        <v>111</v>
      </c>
      <c r="D44" t="s">
        <v>112</v>
      </c>
      <c r="E44" t="s">
        <v>1529</v>
      </c>
      <c r="G44" t="s">
        <v>31</v>
      </c>
      <c r="H44" t="s">
        <v>51</v>
      </c>
    </row>
    <row r="45" spans="1:8" hidden="1" x14ac:dyDescent="0.2">
      <c r="A45" t="s">
        <v>111</v>
      </c>
      <c r="D45" t="s">
        <v>112</v>
      </c>
      <c r="E45" t="s">
        <v>1530</v>
      </c>
      <c r="G45" t="s">
        <v>31</v>
      </c>
      <c r="H45" t="s">
        <v>51</v>
      </c>
    </row>
    <row r="46" spans="1:8" hidden="1" x14ac:dyDescent="0.2">
      <c r="A46" t="s">
        <v>111</v>
      </c>
      <c r="D46" t="s">
        <v>112</v>
      </c>
      <c r="E46" t="s">
        <v>1531</v>
      </c>
      <c r="G46" t="s">
        <v>31</v>
      </c>
      <c r="H46" t="s">
        <v>51</v>
      </c>
    </row>
    <row r="47" spans="1:8" hidden="1" x14ac:dyDescent="0.2">
      <c r="A47" t="s">
        <v>111</v>
      </c>
      <c r="D47" t="s">
        <v>112</v>
      </c>
      <c r="E47" t="s">
        <v>12</v>
      </c>
      <c r="F47">
        <v>9.3000000000000007</v>
      </c>
      <c r="G47" t="s">
        <v>31</v>
      </c>
      <c r="H47" t="s">
        <v>27</v>
      </c>
    </row>
    <row r="48" spans="1:8" hidden="1" x14ac:dyDescent="0.2">
      <c r="A48" t="s">
        <v>111</v>
      </c>
      <c r="D48" t="s">
        <v>112</v>
      </c>
      <c r="E48" t="s">
        <v>21</v>
      </c>
      <c r="F48">
        <v>23.4</v>
      </c>
      <c r="G48" t="s">
        <v>31</v>
      </c>
      <c r="H48" t="s">
        <v>51</v>
      </c>
    </row>
    <row r="49" spans="1:8" hidden="1" x14ac:dyDescent="0.2">
      <c r="A49" t="s">
        <v>111</v>
      </c>
      <c r="D49" t="s">
        <v>112</v>
      </c>
      <c r="E49" t="s">
        <v>20</v>
      </c>
      <c r="F49">
        <v>18.7</v>
      </c>
      <c r="G49" t="s">
        <v>31</v>
      </c>
      <c r="H49" t="s">
        <v>51</v>
      </c>
    </row>
    <row r="50" spans="1:8" hidden="1" x14ac:dyDescent="0.2">
      <c r="A50" t="s">
        <v>111</v>
      </c>
      <c r="D50" t="s">
        <v>112</v>
      </c>
      <c r="E50" t="s">
        <v>19</v>
      </c>
      <c r="F50">
        <v>18.7</v>
      </c>
      <c r="G50" t="s">
        <v>31</v>
      </c>
      <c r="H50" t="s">
        <v>51</v>
      </c>
    </row>
    <row r="51" spans="1:8" hidden="1" x14ac:dyDescent="0.2">
      <c r="A51" t="s">
        <v>111</v>
      </c>
      <c r="D51" t="s">
        <v>112</v>
      </c>
      <c r="E51" t="s">
        <v>17</v>
      </c>
      <c r="F51">
        <v>23.4</v>
      </c>
      <c r="G51" t="s">
        <v>31</v>
      </c>
      <c r="H51" t="s">
        <v>51</v>
      </c>
    </row>
    <row r="52" spans="1:8" hidden="1" x14ac:dyDescent="0.2">
      <c r="A52" t="s">
        <v>28</v>
      </c>
      <c r="B52" t="s">
        <v>9</v>
      </c>
      <c r="C52" t="s">
        <v>29</v>
      </c>
      <c r="D52" t="s">
        <v>30</v>
      </c>
      <c r="E52" t="s">
        <v>22</v>
      </c>
      <c r="F52">
        <v>26.7</v>
      </c>
      <c r="G52" t="s">
        <v>31</v>
      </c>
      <c r="H52" t="s">
        <v>27</v>
      </c>
    </row>
    <row r="53" spans="1:8" hidden="1" x14ac:dyDescent="0.2">
      <c r="A53" t="s">
        <v>28</v>
      </c>
      <c r="B53" t="s">
        <v>9</v>
      </c>
      <c r="C53" t="s">
        <v>29</v>
      </c>
      <c r="D53" t="s">
        <v>30</v>
      </c>
      <c r="E53" t="s">
        <v>1528</v>
      </c>
      <c r="G53" t="s">
        <v>31</v>
      </c>
      <c r="H53" t="s">
        <v>27</v>
      </c>
    </row>
    <row r="54" spans="1:8" hidden="1" x14ac:dyDescent="0.2">
      <c r="A54" t="s">
        <v>28</v>
      </c>
      <c r="B54" t="s">
        <v>9</v>
      </c>
      <c r="C54" t="s">
        <v>29</v>
      </c>
      <c r="D54" t="s">
        <v>30</v>
      </c>
      <c r="E54" t="s">
        <v>1529</v>
      </c>
      <c r="G54" t="s">
        <v>31</v>
      </c>
      <c r="H54" t="s">
        <v>27</v>
      </c>
    </row>
    <row r="55" spans="1:8" hidden="1" x14ac:dyDescent="0.2">
      <c r="A55" t="s">
        <v>28</v>
      </c>
      <c r="B55" t="s">
        <v>9</v>
      </c>
      <c r="C55" t="s">
        <v>29</v>
      </c>
      <c r="D55" t="s">
        <v>30</v>
      </c>
      <c r="E55" t="s">
        <v>1530</v>
      </c>
      <c r="G55" t="s">
        <v>31</v>
      </c>
      <c r="H55" t="s">
        <v>27</v>
      </c>
    </row>
    <row r="56" spans="1:8" hidden="1" x14ac:dyDescent="0.2">
      <c r="A56" t="s">
        <v>28</v>
      </c>
      <c r="B56" t="s">
        <v>9</v>
      </c>
      <c r="C56" t="s">
        <v>29</v>
      </c>
      <c r="D56" t="s">
        <v>30</v>
      </c>
      <c r="E56" t="s">
        <v>1531</v>
      </c>
      <c r="G56" t="s">
        <v>31</v>
      </c>
      <c r="H56" t="s">
        <v>27</v>
      </c>
    </row>
    <row r="57" spans="1:8" hidden="1" x14ac:dyDescent="0.2">
      <c r="A57" t="s">
        <v>28</v>
      </c>
      <c r="B57" t="s">
        <v>9</v>
      </c>
      <c r="C57" t="s">
        <v>29</v>
      </c>
      <c r="D57" t="s">
        <v>30</v>
      </c>
      <c r="E57" t="s">
        <v>12</v>
      </c>
      <c r="F57">
        <v>5.3</v>
      </c>
      <c r="G57" t="s">
        <v>31</v>
      </c>
      <c r="H57" t="s">
        <v>18</v>
      </c>
    </row>
    <row r="58" spans="1:8" hidden="1" x14ac:dyDescent="0.2">
      <c r="A58" t="s">
        <v>28</v>
      </c>
      <c r="B58" t="s">
        <v>9</v>
      </c>
      <c r="C58" t="s">
        <v>29</v>
      </c>
      <c r="D58" t="s">
        <v>30</v>
      </c>
      <c r="E58" t="s">
        <v>21</v>
      </c>
      <c r="F58">
        <v>13.4</v>
      </c>
      <c r="G58" t="s">
        <v>31</v>
      </c>
      <c r="H58" t="s">
        <v>27</v>
      </c>
    </row>
    <row r="59" spans="1:8" hidden="1" x14ac:dyDescent="0.2">
      <c r="A59" t="s">
        <v>28</v>
      </c>
      <c r="B59" t="s">
        <v>9</v>
      </c>
      <c r="C59" t="s">
        <v>29</v>
      </c>
      <c r="D59" t="s">
        <v>30</v>
      </c>
      <c r="E59" t="s">
        <v>20</v>
      </c>
      <c r="F59">
        <v>10.7</v>
      </c>
      <c r="G59" t="s">
        <v>31</v>
      </c>
      <c r="H59" t="s">
        <v>27</v>
      </c>
    </row>
    <row r="60" spans="1:8" hidden="1" x14ac:dyDescent="0.2">
      <c r="A60" t="s">
        <v>28</v>
      </c>
      <c r="B60" t="s">
        <v>9</v>
      </c>
      <c r="C60" t="s">
        <v>29</v>
      </c>
      <c r="D60" t="s">
        <v>30</v>
      </c>
      <c r="E60" t="s">
        <v>19</v>
      </c>
      <c r="F60">
        <v>10.7</v>
      </c>
      <c r="G60" t="s">
        <v>31</v>
      </c>
      <c r="H60" t="s">
        <v>27</v>
      </c>
    </row>
    <row r="61" spans="1:8" hidden="1" x14ac:dyDescent="0.2">
      <c r="A61" t="s">
        <v>28</v>
      </c>
      <c r="B61" t="s">
        <v>9</v>
      </c>
      <c r="C61" t="s">
        <v>29</v>
      </c>
      <c r="D61" t="s">
        <v>30</v>
      </c>
      <c r="E61" t="s">
        <v>17</v>
      </c>
      <c r="F61">
        <v>13.4</v>
      </c>
      <c r="G61" t="s">
        <v>31</v>
      </c>
      <c r="H61" t="s">
        <v>27</v>
      </c>
    </row>
    <row r="62" spans="1:8" hidden="1" x14ac:dyDescent="0.2">
      <c r="A62" t="s">
        <v>113</v>
      </c>
      <c r="B62" t="s">
        <v>75</v>
      </c>
      <c r="C62" t="s">
        <v>84</v>
      </c>
      <c r="D62" t="s">
        <v>114</v>
      </c>
      <c r="E62" t="s">
        <v>22</v>
      </c>
      <c r="F62">
        <v>213.3</v>
      </c>
      <c r="G62" t="s">
        <v>31</v>
      </c>
      <c r="H62" t="s">
        <v>27</v>
      </c>
    </row>
    <row r="63" spans="1:8" hidden="1" x14ac:dyDescent="0.2">
      <c r="A63" t="s">
        <v>113</v>
      </c>
      <c r="B63" t="s">
        <v>75</v>
      </c>
      <c r="C63" t="s">
        <v>84</v>
      </c>
      <c r="D63" t="s">
        <v>114</v>
      </c>
      <c r="E63" t="s">
        <v>1528</v>
      </c>
      <c r="G63" t="s">
        <v>31</v>
      </c>
      <c r="H63" t="s">
        <v>27</v>
      </c>
    </row>
    <row r="64" spans="1:8" hidden="1" x14ac:dyDescent="0.2">
      <c r="A64" t="s">
        <v>113</v>
      </c>
      <c r="B64" t="s">
        <v>75</v>
      </c>
      <c r="C64" t="s">
        <v>84</v>
      </c>
      <c r="D64" t="s">
        <v>114</v>
      </c>
      <c r="E64" t="s">
        <v>1529</v>
      </c>
      <c r="G64" t="s">
        <v>31</v>
      </c>
      <c r="H64" t="s">
        <v>27</v>
      </c>
    </row>
    <row r="65" spans="1:8" hidden="1" x14ac:dyDescent="0.2">
      <c r="A65" t="s">
        <v>113</v>
      </c>
      <c r="B65" t="s">
        <v>75</v>
      </c>
      <c r="C65" t="s">
        <v>84</v>
      </c>
      <c r="D65" t="s">
        <v>114</v>
      </c>
      <c r="E65" t="s">
        <v>1530</v>
      </c>
      <c r="G65" t="s">
        <v>31</v>
      </c>
      <c r="H65" t="s">
        <v>27</v>
      </c>
    </row>
    <row r="66" spans="1:8" hidden="1" x14ac:dyDescent="0.2">
      <c r="A66" t="s">
        <v>113</v>
      </c>
      <c r="B66" t="s">
        <v>75</v>
      </c>
      <c r="C66" t="s">
        <v>84</v>
      </c>
      <c r="D66" t="s">
        <v>114</v>
      </c>
      <c r="E66" t="s">
        <v>1531</v>
      </c>
      <c r="G66" t="s">
        <v>31</v>
      </c>
      <c r="H66" t="s">
        <v>27</v>
      </c>
    </row>
    <row r="67" spans="1:8" hidden="1" x14ac:dyDescent="0.2">
      <c r="A67" t="s">
        <v>113</v>
      </c>
      <c r="B67" t="s">
        <v>75</v>
      </c>
      <c r="C67" t="s">
        <v>84</v>
      </c>
      <c r="D67" t="s">
        <v>114</v>
      </c>
      <c r="E67" t="s">
        <v>12</v>
      </c>
      <c r="F67">
        <v>42.7</v>
      </c>
      <c r="G67" t="s">
        <v>31</v>
      </c>
      <c r="H67" t="s">
        <v>18</v>
      </c>
    </row>
    <row r="68" spans="1:8" hidden="1" x14ac:dyDescent="0.2">
      <c r="A68" t="s">
        <v>113</v>
      </c>
      <c r="B68" t="s">
        <v>75</v>
      </c>
      <c r="C68" t="s">
        <v>84</v>
      </c>
      <c r="D68" t="s">
        <v>114</v>
      </c>
      <c r="E68" t="s">
        <v>21</v>
      </c>
      <c r="F68">
        <v>106.6</v>
      </c>
      <c r="G68" t="s">
        <v>31</v>
      </c>
      <c r="H68" t="s">
        <v>27</v>
      </c>
    </row>
    <row r="69" spans="1:8" hidden="1" x14ac:dyDescent="0.2">
      <c r="A69" t="s">
        <v>113</v>
      </c>
      <c r="B69" t="s">
        <v>75</v>
      </c>
      <c r="C69" t="s">
        <v>84</v>
      </c>
      <c r="D69" t="s">
        <v>114</v>
      </c>
      <c r="E69" t="s">
        <v>20</v>
      </c>
      <c r="F69">
        <v>85.3</v>
      </c>
      <c r="G69" t="s">
        <v>31</v>
      </c>
      <c r="H69" t="s">
        <v>27</v>
      </c>
    </row>
    <row r="70" spans="1:8" hidden="1" x14ac:dyDescent="0.2">
      <c r="A70" t="s">
        <v>113</v>
      </c>
      <c r="B70" t="s">
        <v>75</v>
      </c>
      <c r="C70" t="s">
        <v>84</v>
      </c>
      <c r="D70" t="s">
        <v>114</v>
      </c>
      <c r="E70" t="s">
        <v>19</v>
      </c>
      <c r="F70">
        <v>85.3</v>
      </c>
      <c r="G70" t="s">
        <v>31</v>
      </c>
      <c r="H70" t="s">
        <v>27</v>
      </c>
    </row>
    <row r="71" spans="1:8" hidden="1" x14ac:dyDescent="0.2">
      <c r="A71" t="s">
        <v>113</v>
      </c>
      <c r="B71" t="s">
        <v>75</v>
      </c>
      <c r="C71" t="s">
        <v>84</v>
      </c>
      <c r="D71" t="s">
        <v>114</v>
      </c>
      <c r="E71" t="s">
        <v>17</v>
      </c>
      <c r="F71">
        <v>106.6</v>
      </c>
      <c r="G71" t="s">
        <v>31</v>
      </c>
      <c r="H71" t="s">
        <v>27</v>
      </c>
    </row>
    <row r="72" spans="1:8" hidden="1" x14ac:dyDescent="0.2">
      <c r="A72" t="s">
        <v>115</v>
      </c>
      <c r="B72" t="s">
        <v>75</v>
      </c>
      <c r="C72" t="s">
        <v>81</v>
      </c>
      <c r="D72" t="s">
        <v>116</v>
      </c>
      <c r="E72" t="s">
        <v>22</v>
      </c>
      <c r="F72">
        <v>46.7</v>
      </c>
      <c r="G72" t="s">
        <v>26</v>
      </c>
      <c r="H72" t="s">
        <v>51</v>
      </c>
    </row>
    <row r="73" spans="1:8" hidden="1" x14ac:dyDescent="0.2">
      <c r="A73" t="s">
        <v>115</v>
      </c>
      <c r="B73" t="s">
        <v>75</v>
      </c>
      <c r="C73" t="s">
        <v>81</v>
      </c>
      <c r="D73" t="s">
        <v>116</v>
      </c>
      <c r="E73" t="s">
        <v>1528</v>
      </c>
      <c r="G73" t="s">
        <v>26</v>
      </c>
      <c r="H73" t="s">
        <v>51</v>
      </c>
    </row>
    <row r="74" spans="1:8" hidden="1" x14ac:dyDescent="0.2">
      <c r="A74" t="s">
        <v>115</v>
      </c>
      <c r="B74" t="s">
        <v>75</v>
      </c>
      <c r="C74" t="s">
        <v>81</v>
      </c>
      <c r="D74" t="s">
        <v>116</v>
      </c>
      <c r="E74" t="s">
        <v>1529</v>
      </c>
      <c r="G74" t="s">
        <v>26</v>
      </c>
      <c r="H74" t="s">
        <v>51</v>
      </c>
    </row>
    <row r="75" spans="1:8" hidden="1" x14ac:dyDescent="0.2">
      <c r="A75" t="s">
        <v>115</v>
      </c>
      <c r="B75" t="s">
        <v>75</v>
      </c>
      <c r="C75" t="s">
        <v>81</v>
      </c>
      <c r="D75" t="s">
        <v>116</v>
      </c>
      <c r="E75" t="s">
        <v>1530</v>
      </c>
      <c r="G75" t="s">
        <v>26</v>
      </c>
      <c r="H75" t="s">
        <v>51</v>
      </c>
    </row>
    <row r="76" spans="1:8" hidden="1" x14ac:dyDescent="0.2">
      <c r="A76" t="s">
        <v>115</v>
      </c>
      <c r="B76" t="s">
        <v>75</v>
      </c>
      <c r="C76" t="s">
        <v>81</v>
      </c>
      <c r="D76" t="s">
        <v>116</v>
      </c>
      <c r="E76" t="s">
        <v>1531</v>
      </c>
      <c r="G76" t="s">
        <v>26</v>
      </c>
      <c r="H76" t="s">
        <v>51</v>
      </c>
    </row>
    <row r="77" spans="1:8" hidden="1" x14ac:dyDescent="0.2">
      <c r="A77" t="s">
        <v>115</v>
      </c>
      <c r="B77" t="s">
        <v>75</v>
      </c>
      <c r="C77" t="s">
        <v>81</v>
      </c>
      <c r="D77" t="s">
        <v>116</v>
      </c>
      <c r="E77" t="s">
        <v>12</v>
      </c>
      <c r="F77">
        <v>9.3000000000000007</v>
      </c>
      <c r="G77" t="s">
        <v>26</v>
      </c>
      <c r="H77" t="s">
        <v>27</v>
      </c>
    </row>
    <row r="78" spans="1:8" hidden="1" x14ac:dyDescent="0.2">
      <c r="A78" t="s">
        <v>115</v>
      </c>
      <c r="B78" t="s">
        <v>75</v>
      </c>
      <c r="C78" t="s">
        <v>81</v>
      </c>
      <c r="D78" t="s">
        <v>116</v>
      </c>
      <c r="E78" t="s">
        <v>21</v>
      </c>
      <c r="F78">
        <v>23.4</v>
      </c>
      <c r="G78" t="s">
        <v>26</v>
      </c>
      <c r="H78" t="s">
        <v>51</v>
      </c>
    </row>
    <row r="79" spans="1:8" hidden="1" x14ac:dyDescent="0.2">
      <c r="A79" t="s">
        <v>115</v>
      </c>
      <c r="B79" t="s">
        <v>75</v>
      </c>
      <c r="C79" t="s">
        <v>81</v>
      </c>
      <c r="D79" t="s">
        <v>116</v>
      </c>
      <c r="E79" t="s">
        <v>20</v>
      </c>
      <c r="F79">
        <v>18.7</v>
      </c>
      <c r="G79" t="s">
        <v>26</v>
      </c>
      <c r="H79" t="s">
        <v>51</v>
      </c>
    </row>
    <row r="80" spans="1:8" hidden="1" x14ac:dyDescent="0.2">
      <c r="A80" t="s">
        <v>115</v>
      </c>
      <c r="B80" t="s">
        <v>75</v>
      </c>
      <c r="C80" t="s">
        <v>81</v>
      </c>
      <c r="D80" t="s">
        <v>116</v>
      </c>
      <c r="E80" t="s">
        <v>19</v>
      </c>
      <c r="F80">
        <v>18.7</v>
      </c>
      <c r="G80" t="s">
        <v>26</v>
      </c>
      <c r="H80" t="s">
        <v>51</v>
      </c>
    </row>
    <row r="81" spans="1:8" hidden="1" x14ac:dyDescent="0.2">
      <c r="A81" t="s">
        <v>115</v>
      </c>
      <c r="B81" t="s">
        <v>75</v>
      </c>
      <c r="C81" t="s">
        <v>81</v>
      </c>
      <c r="D81" t="s">
        <v>116</v>
      </c>
      <c r="E81" t="s">
        <v>17</v>
      </c>
      <c r="F81">
        <v>23.4</v>
      </c>
      <c r="G81" t="s">
        <v>26</v>
      </c>
      <c r="H81" t="s">
        <v>51</v>
      </c>
    </row>
    <row r="82" spans="1:8" hidden="1" x14ac:dyDescent="0.2">
      <c r="A82" t="s">
        <v>117</v>
      </c>
      <c r="B82" t="s">
        <v>66</v>
      </c>
      <c r="C82" t="s">
        <v>73</v>
      </c>
      <c r="D82" t="s">
        <v>118</v>
      </c>
      <c r="E82" t="s">
        <v>22</v>
      </c>
      <c r="F82">
        <v>140</v>
      </c>
      <c r="G82" t="s">
        <v>26</v>
      </c>
      <c r="H82" t="s">
        <v>27</v>
      </c>
    </row>
    <row r="83" spans="1:8" hidden="1" x14ac:dyDescent="0.2">
      <c r="A83" t="s">
        <v>117</v>
      </c>
      <c r="B83" t="s">
        <v>66</v>
      </c>
      <c r="C83" t="s">
        <v>73</v>
      </c>
      <c r="D83" t="s">
        <v>118</v>
      </c>
      <c r="E83" t="s">
        <v>1528</v>
      </c>
      <c r="G83" t="s">
        <v>26</v>
      </c>
      <c r="H83" t="s">
        <v>27</v>
      </c>
    </row>
    <row r="84" spans="1:8" hidden="1" x14ac:dyDescent="0.2">
      <c r="A84" t="s">
        <v>117</v>
      </c>
      <c r="B84" t="s">
        <v>66</v>
      </c>
      <c r="C84" t="s">
        <v>73</v>
      </c>
      <c r="D84" t="s">
        <v>118</v>
      </c>
      <c r="E84" t="s">
        <v>1529</v>
      </c>
      <c r="G84" t="s">
        <v>26</v>
      </c>
      <c r="H84" t="s">
        <v>27</v>
      </c>
    </row>
    <row r="85" spans="1:8" hidden="1" x14ac:dyDescent="0.2">
      <c r="A85" t="s">
        <v>117</v>
      </c>
      <c r="B85" t="s">
        <v>66</v>
      </c>
      <c r="C85" t="s">
        <v>73</v>
      </c>
      <c r="D85" t="s">
        <v>118</v>
      </c>
      <c r="E85" t="s">
        <v>1530</v>
      </c>
      <c r="G85" t="s">
        <v>26</v>
      </c>
      <c r="H85" t="s">
        <v>27</v>
      </c>
    </row>
    <row r="86" spans="1:8" hidden="1" x14ac:dyDescent="0.2">
      <c r="A86" t="s">
        <v>117</v>
      </c>
      <c r="B86" t="s">
        <v>66</v>
      </c>
      <c r="C86" t="s">
        <v>73</v>
      </c>
      <c r="D86" t="s">
        <v>118</v>
      </c>
      <c r="E86" t="s">
        <v>1531</v>
      </c>
      <c r="G86" t="s">
        <v>26</v>
      </c>
      <c r="H86" t="s">
        <v>27</v>
      </c>
    </row>
    <row r="87" spans="1:8" x14ac:dyDescent="0.2">
      <c r="A87" t="s">
        <v>117</v>
      </c>
      <c r="B87" t="s">
        <v>66</v>
      </c>
      <c r="C87" t="s">
        <v>73</v>
      </c>
      <c r="D87" t="s">
        <v>118</v>
      </c>
      <c r="E87" t="s">
        <v>12</v>
      </c>
      <c r="F87">
        <v>28</v>
      </c>
      <c r="G87" t="s">
        <v>26</v>
      </c>
      <c r="H87" t="s">
        <v>18</v>
      </c>
    </row>
    <row r="88" spans="1:8" hidden="1" x14ac:dyDescent="0.2">
      <c r="A88" t="s">
        <v>117</v>
      </c>
      <c r="B88" t="s">
        <v>66</v>
      </c>
      <c r="C88" t="s">
        <v>73</v>
      </c>
      <c r="D88" t="s">
        <v>118</v>
      </c>
      <c r="E88" t="s">
        <v>21</v>
      </c>
      <c r="F88">
        <v>70</v>
      </c>
      <c r="G88" t="s">
        <v>26</v>
      </c>
      <c r="H88" t="s">
        <v>27</v>
      </c>
    </row>
    <row r="89" spans="1:8" hidden="1" x14ac:dyDescent="0.2">
      <c r="A89" t="s">
        <v>117</v>
      </c>
      <c r="B89" t="s">
        <v>66</v>
      </c>
      <c r="C89" t="s">
        <v>73</v>
      </c>
      <c r="D89" t="s">
        <v>118</v>
      </c>
      <c r="E89" t="s">
        <v>20</v>
      </c>
      <c r="F89">
        <v>56</v>
      </c>
      <c r="G89" t="s">
        <v>26</v>
      </c>
      <c r="H89" t="s">
        <v>27</v>
      </c>
    </row>
    <row r="90" spans="1:8" hidden="1" x14ac:dyDescent="0.2">
      <c r="A90" t="s">
        <v>117</v>
      </c>
      <c r="B90" t="s">
        <v>66</v>
      </c>
      <c r="C90" t="s">
        <v>73</v>
      </c>
      <c r="D90" t="s">
        <v>118</v>
      </c>
      <c r="E90" t="s">
        <v>19</v>
      </c>
      <c r="F90">
        <v>56</v>
      </c>
      <c r="G90" t="s">
        <v>26</v>
      </c>
      <c r="H90" t="s">
        <v>27</v>
      </c>
    </row>
    <row r="91" spans="1:8" hidden="1" x14ac:dyDescent="0.2">
      <c r="A91" t="s">
        <v>117</v>
      </c>
      <c r="B91" t="s">
        <v>66</v>
      </c>
      <c r="C91" t="s">
        <v>73</v>
      </c>
      <c r="D91" t="s">
        <v>118</v>
      </c>
      <c r="E91" t="s">
        <v>17</v>
      </c>
      <c r="F91">
        <v>70</v>
      </c>
      <c r="G91" t="s">
        <v>26</v>
      </c>
      <c r="H91" t="s">
        <v>27</v>
      </c>
    </row>
    <row r="92" spans="1:8" hidden="1" x14ac:dyDescent="0.2">
      <c r="A92" t="s">
        <v>119</v>
      </c>
      <c r="B92" t="s">
        <v>66</v>
      </c>
      <c r="C92" t="s">
        <v>73</v>
      </c>
      <c r="D92" t="s">
        <v>1593</v>
      </c>
      <c r="E92" t="s">
        <v>22</v>
      </c>
      <c r="F92">
        <v>140</v>
      </c>
      <c r="G92" t="s">
        <v>26</v>
      </c>
      <c r="H92" t="s">
        <v>27</v>
      </c>
    </row>
    <row r="93" spans="1:8" hidden="1" x14ac:dyDescent="0.2">
      <c r="A93" t="s">
        <v>119</v>
      </c>
      <c r="B93" t="s">
        <v>66</v>
      </c>
      <c r="C93" t="s">
        <v>73</v>
      </c>
      <c r="D93" t="s">
        <v>1593</v>
      </c>
      <c r="E93" t="s">
        <v>1528</v>
      </c>
      <c r="G93" t="s">
        <v>26</v>
      </c>
      <c r="H93" t="s">
        <v>27</v>
      </c>
    </row>
    <row r="94" spans="1:8" hidden="1" x14ac:dyDescent="0.2">
      <c r="A94" t="s">
        <v>119</v>
      </c>
      <c r="B94" t="s">
        <v>66</v>
      </c>
      <c r="C94" t="s">
        <v>73</v>
      </c>
      <c r="D94" t="s">
        <v>1593</v>
      </c>
      <c r="E94" t="s">
        <v>1529</v>
      </c>
      <c r="G94" t="s">
        <v>26</v>
      </c>
      <c r="H94" t="s">
        <v>27</v>
      </c>
    </row>
    <row r="95" spans="1:8" hidden="1" x14ac:dyDescent="0.2">
      <c r="A95" t="s">
        <v>119</v>
      </c>
      <c r="B95" t="s">
        <v>66</v>
      </c>
      <c r="C95" t="s">
        <v>73</v>
      </c>
      <c r="D95" t="s">
        <v>1593</v>
      </c>
      <c r="E95" t="s">
        <v>1530</v>
      </c>
      <c r="G95" t="s">
        <v>26</v>
      </c>
      <c r="H95" t="s">
        <v>27</v>
      </c>
    </row>
    <row r="96" spans="1:8" hidden="1" x14ac:dyDescent="0.2">
      <c r="A96" t="s">
        <v>119</v>
      </c>
      <c r="B96" t="s">
        <v>66</v>
      </c>
      <c r="C96" t="s">
        <v>73</v>
      </c>
      <c r="D96" t="s">
        <v>1593</v>
      </c>
      <c r="E96" t="s">
        <v>1531</v>
      </c>
      <c r="G96" t="s">
        <v>26</v>
      </c>
      <c r="H96" t="s">
        <v>27</v>
      </c>
    </row>
    <row r="97" spans="1:8" x14ac:dyDescent="0.2">
      <c r="A97" t="s">
        <v>119</v>
      </c>
      <c r="B97" t="s">
        <v>66</v>
      </c>
      <c r="C97" t="s">
        <v>73</v>
      </c>
      <c r="D97" t="s">
        <v>1593</v>
      </c>
      <c r="E97" t="s">
        <v>12</v>
      </c>
      <c r="F97">
        <v>28</v>
      </c>
      <c r="G97" t="s">
        <v>26</v>
      </c>
      <c r="H97" t="s">
        <v>18</v>
      </c>
    </row>
    <row r="98" spans="1:8" hidden="1" x14ac:dyDescent="0.2">
      <c r="A98" t="s">
        <v>119</v>
      </c>
      <c r="B98" t="s">
        <v>66</v>
      </c>
      <c r="C98" t="s">
        <v>73</v>
      </c>
      <c r="D98" t="s">
        <v>1593</v>
      </c>
      <c r="E98" t="s">
        <v>21</v>
      </c>
      <c r="F98">
        <v>70</v>
      </c>
      <c r="G98" t="s">
        <v>26</v>
      </c>
      <c r="H98" t="s">
        <v>27</v>
      </c>
    </row>
    <row r="99" spans="1:8" hidden="1" x14ac:dyDescent="0.2">
      <c r="A99" t="s">
        <v>119</v>
      </c>
      <c r="B99" t="s">
        <v>66</v>
      </c>
      <c r="C99" t="s">
        <v>73</v>
      </c>
      <c r="D99" t="s">
        <v>1593</v>
      </c>
      <c r="E99" t="s">
        <v>20</v>
      </c>
      <c r="F99">
        <v>56</v>
      </c>
      <c r="G99" t="s">
        <v>26</v>
      </c>
      <c r="H99" t="s">
        <v>27</v>
      </c>
    </row>
    <row r="100" spans="1:8" hidden="1" x14ac:dyDescent="0.2">
      <c r="A100" t="s">
        <v>119</v>
      </c>
      <c r="B100" t="s">
        <v>66</v>
      </c>
      <c r="C100" t="s">
        <v>73</v>
      </c>
      <c r="D100" t="s">
        <v>1593</v>
      </c>
      <c r="E100" t="s">
        <v>19</v>
      </c>
      <c r="F100">
        <v>56</v>
      </c>
      <c r="G100" t="s">
        <v>26</v>
      </c>
      <c r="H100" t="s">
        <v>27</v>
      </c>
    </row>
    <row r="101" spans="1:8" hidden="1" x14ac:dyDescent="0.2">
      <c r="A101" t="s">
        <v>119</v>
      </c>
      <c r="B101" t="s">
        <v>66</v>
      </c>
      <c r="C101" t="s">
        <v>73</v>
      </c>
      <c r="D101" t="s">
        <v>1593</v>
      </c>
      <c r="E101" t="s">
        <v>17</v>
      </c>
      <c r="F101">
        <v>70</v>
      </c>
      <c r="G101" t="s">
        <v>26</v>
      </c>
      <c r="H101" t="s">
        <v>27</v>
      </c>
    </row>
    <row r="102" spans="1:8" hidden="1" x14ac:dyDescent="0.2">
      <c r="A102" t="s">
        <v>121</v>
      </c>
      <c r="D102" t="s">
        <v>122</v>
      </c>
      <c r="E102" t="s">
        <v>22</v>
      </c>
      <c r="F102">
        <v>2.7</v>
      </c>
      <c r="G102" t="s">
        <v>26</v>
      </c>
      <c r="H102" t="s">
        <v>27</v>
      </c>
    </row>
    <row r="103" spans="1:8" hidden="1" x14ac:dyDescent="0.2">
      <c r="A103" t="s">
        <v>121</v>
      </c>
      <c r="D103" t="s">
        <v>122</v>
      </c>
      <c r="E103" t="s">
        <v>1528</v>
      </c>
      <c r="G103" t="s">
        <v>26</v>
      </c>
      <c r="H103" t="s">
        <v>27</v>
      </c>
    </row>
    <row r="104" spans="1:8" hidden="1" x14ac:dyDescent="0.2">
      <c r="A104" t="s">
        <v>121</v>
      </c>
      <c r="D104" t="s">
        <v>122</v>
      </c>
      <c r="E104" t="s">
        <v>1529</v>
      </c>
      <c r="G104" t="s">
        <v>26</v>
      </c>
      <c r="H104" t="s">
        <v>27</v>
      </c>
    </row>
    <row r="105" spans="1:8" hidden="1" x14ac:dyDescent="0.2">
      <c r="A105" t="s">
        <v>121</v>
      </c>
      <c r="D105" t="s">
        <v>122</v>
      </c>
      <c r="E105" t="s">
        <v>1530</v>
      </c>
      <c r="G105" t="s">
        <v>26</v>
      </c>
      <c r="H105" t="s">
        <v>27</v>
      </c>
    </row>
    <row r="106" spans="1:8" hidden="1" x14ac:dyDescent="0.2">
      <c r="A106" t="s">
        <v>121</v>
      </c>
      <c r="D106" t="s">
        <v>122</v>
      </c>
      <c r="E106" t="s">
        <v>1531</v>
      </c>
      <c r="G106" t="s">
        <v>26</v>
      </c>
      <c r="H106" t="s">
        <v>27</v>
      </c>
    </row>
    <row r="107" spans="1:8" hidden="1" x14ac:dyDescent="0.2">
      <c r="A107" t="s">
        <v>121</v>
      </c>
      <c r="D107" t="s">
        <v>122</v>
      </c>
      <c r="E107" t="s">
        <v>12</v>
      </c>
      <c r="F107">
        <v>0.5</v>
      </c>
      <c r="G107" t="s">
        <v>26</v>
      </c>
      <c r="H107" t="s">
        <v>18</v>
      </c>
    </row>
    <row r="108" spans="1:8" hidden="1" x14ac:dyDescent="0.2">
      <c r="A108" t="s">
        <v>121</v>
      </c>
      <c r="D108" t="s">
        <v>122</v>
      </c>
      <c r="E108" t="s">
        <v>21</v>
      </c>
      <c r="F108">
        <v>1.4</v>
      </c>
      <c r="G108" t="s">
        <v>26</v>
      </c>
      <c r="H108" t="s">
        <v>27</v>
      </c>
    </row>
    <row r="109" spans="1:8" hidden="1" x14ac:dyDescent="0.2">
      <c r="A109" t="s">
        <v>121</v>
      </c>
      <c r="D109" t="s">
        <v>122</v>
      </c>
      <c r="E109" t="s">
        <v>20</v>
      </c>
      <c r="F109">
        <v>1.1000000000000001</v>
      </c>
      <c r="G109" t="s">
        <v>26</v>
      </c>
      <c r="H109" t="s">
        <v>27</v>
      </c>
    </row>
    <row r="110" spans="1:8" hidden="1" x14ac:dyDescent="0.2">
      <c r="A110" t="s">
        <v>121</v>
      </c>
      <c r="D110" t="s">
        <v>122</v>
      </c>
      <c r="E110" t="s">
        <v>19</v>
      </c>
      <c r="F110">
        <v>1.1000000000000001</v>
      </c>
      <c r="G110" t="s">
        <v>26</v>
      </c>
      <c r="H110" t="s">
        <v>27</v>
      </c>
    </row>
    <row r="111" spans="1:8" hidden="1" x14ac:dyDescent="0.2">
      <c r="A111" t="s">
        <v>121</v>
      </c>
      <c r="D111" t="s">
        <v>122</v>
      </c>
      <c r="E111" t="s">
        <v>17</v>
      </c>
      <c r="F111">
        <v>1.4</v>
      </c>
      <c r="G111" t="s">
        <v>26</v>
      </c>
      <c r="H111" t="s">
        <v>27</v>
      </c>
    </row>
    <row r="112" spans="1:8" hidden="1" x14ac:dyDescent="0.2">
      <c r="A112" t="s">
        <v>123</v>
      </c>
      <c r="B112" t="s">
        <v>56</v>
      </c>
      <c r="C112" t="s">
        <v>57</v>
      </c>
      <c r="D112" t="s">
        <v>124</v>
      </c>
      <c r="E112" t="s">
        <v>22</v>
      </c>
      <c r="F112">
        <v>293.3</v>
      </c>
      <c r="G112" t="s">
        <v>26</v>
      </c>
      <c r="H112" t="s">
        <v>18</v>
      </c>
    </row>
    <row r="113" spans="1:8" hidden="1" x14ac:dyDescent="0.2">
      <c r="A113" t="s">
        <v>123</v>
      </c>
      <c r="B113" t="s">
        <v>56</v>
      </c>
      <c r="C113" t="s">
        <v>57</v>
      </c>
      <c r="D113" t="s">
        <v>124</v>
      </c>
      <c r="E113" t="s">
        <v>1528</v>
      </c>
      <c r="G113" t="s">
        <v>26</v>
      </c>
      <c r="H113" t="s">
        <v>18</v>
      </c>
    </row>
    <row r="114" spans="1:8" hidden="1" x14ac:dyDescent="0.2">
      <c r="A114" t="s">
        <v>123</v>
      </c>
      <c r="B114" t="s">
        <v>56</v>
      </c>
      <c r="C114" t="s">
        <v>57</v>
      </c>
      <c r="D114" t="s">
        <v>124</v>
      </c>
      <c r="E114" t="s">
        <v>1529</v>
      </c>
      <c r="G114" t="s">
        <v>26</v>
      </c>
      <c r="H114" t="s">
        <v>18</v>
      </c>
    </row>
    <row r="115" spans="1:8" hidden="1" x14ac:dyDescent="0.2">
      <c r="A115" t="s">
        <v>123</v>
      </c>
      <c r="B115" t="s">
        <v>56</v>
      </c>
      <c r="C115" t="s">
        <v>57</v>
      </c>
      <c r="D115" t="s">
        <v>124</v>
      </c>
      <c r="E115" t="s">
        <v>1530</v>
      </c>
      <c r="G115" t="s">
        <v>26</v>
      </c>
      <c r="H115" t="s">
        <v>18</v>
      </c>
    </row>
    <row r="116" spans="1:8" hidden="1" x14ac:dyDescent="0.2">
      <c r="A116" t="s">
        <v>123</v>
      </c>
      <c r="B116" t="s">
        <v>56</v>
      </c>
      <c r="C116" t="s">
        <v>57</v>
      </c>
      <c r="D116" t="s">
        <v>124</v>
      </c>
      <c r="E116" t="s">
        <v>1531</v>
      </c>
      <c r="G116" t="s">
        <v>26</v>
      </c>
      <c r="H116" t="s">
        <v>18</v>
      </c>
    </row>
    <row r="117" spans="1:8" hidden="1" x14ac:dyDescent="0.2">
      <c r="A117" t="s">
        <v>123</v>
      </c>
      <c r="B117" t="s">
        <v>56</v>
      </c>
      <c r="C117" t="s">
        <v>57</v>
      </c>
      <c r="D117" t="s">
        <v>124</v>
      </c>
      <c r="E117" t="s">
        <v>12</v>
      </c>
      <c r="F117">
        <v>58.7</v>
      </c>
      <c r="G117" t="s">
        <v>26</v>
      </c>
      <c r="H117" t="s">
        <v>14</v>
      </c>
    </row>
    <row r="118" spans="1:8" hidden="1" x14ac:dyDescent="0.2">
      <c r="A118" t="s">
        <v>123</v>
      </c>
      <c r="B118" t="s">
        <v>56</v>
      </c>
      <c r="C118" t="s">
        <v>57</v>
      </c>
      <c r="D118" t="s">
        <v>124</v>
      </c>
      <c r="E118" t="s">
        <v>21</v>
      </c>
      <c r="F118">
        <v>146.6</v>
      </c>
      <c r="G118" t="s">
        <v>26</v>
      </c>
      <c r="H118" t="s">
        <v>18</v>
      </c>
    </row>
    <row r="119" spans="1:8" hidden="1" x14ac:dyDescent="0.2">
      <c r="A119" t="s">
        <v>123</v>
      </c>
      <c r="B119" t="s">
        <v>56</v>
      </c>
      <c r="C119" t="s">
        <v>57</v>
      </c>
      <c r="D119" t="s">
        <v>124</v>
      </c>
      <c r="E119" t="s">
        <v>20</v>
      </c>
      <c r="F119">
        <v>117.3</v>
      </c>
      <c r="G119" t="s">
        <v>26</v>
      </c>
      <c r="H119" t="s">
        <v>18</v>
      </c>
    </row>
    <row r="120" spans="1:8" hidden="1" x14ac:dyDescent="0.2">
      <c r="A120" t="s">
        <v>123</v>
      </c>
      <c r="B120" t="s">
        <v>56</v>
      </c>
      <c r="C120" t="s">
        <v>57</v>
      </c>
      <c r="D120" t="s">
        <v>124</v>
      </c>
      <c r="E120" t="s">
        <v>19</v>
      </c>
      <c r="F120">
        <v>117.3</v>
      </c>
      <c r="G120" t="s">
        <v>26</v>
      </c>
      <c r="H120" t="s">
        <v>18</v>
      </c>
    </row>
    <row r="121" spans="1:8" hidden="1" x14ac:dyDescent="0.2">
      <c r="A121" t="s">
        <v>123</v>
      </c>
      <c r="B121" t="s">
        <v>56</v>
      </c>
      <c r="C121" t="s">
        <v>57</v>
      </c>
      <c r="D121" t="s">
        <v>124</v>
      </c>
      <c r="E121" t="s">
        <v>17</v>
      </c>
      <c r="F121">
        <v>146.6</v>
      </c>
      <c r="G121" t="s">
        <v>26</v>
      </c>
      <c r="H121" t="s">
        <v>18</v>
      </c>
    </row>
    <row r="122" spans="1:8" hidden="1" x14ac:dyDescent="0.2">
      <c r="A122" t="s">
        <v>125</v>
      </c>
      <c r="B122" t="s">
        <v>75</v>
      </c>
      <c r="C122" t="s">
        <v>82</v>
      </c>
      <c r="D122" t="s">
        <v>126</v>
      </c>
      <c r="E122" t="s">
        <v>22</v>
      </c>
      <c r="F122">
        <v>434.7</v>
      </c>
      <c r="G122" t="s">
        <v>31</v>
      </c>
      <c r="H122" t="s">
        <v>18</v>
      </c>
    </row>
    <row r="123" spans="1:8" hidden="1" x14ac:dyDescent="0.2">
      <c r="A123" t="s">
        <v>125</v>
      </c>
      <c r="B123" t="s">
        <v>75</v>
      </c>
      <c r="C123" t="s">
        <v>82</v>
      </c>
      <c r="D123" t="s">
        <v>126</v>
      </c>
      <c r="E123" t="s">
        <v>1528</v>
      </c>
      <c r="G123" t="s">
        <v>31</v>
      </c>
      <c r="H123" t="s">
        <v>18</v>
      </c>
    </row>
    <row r="124" spans="1:8" hidden="1" x14ac:dyDescent="0.2">
      <c r="A124" t="s">
        <v>125</v>
      </c>
      <c r="B124" t="s">
        <v>75</v>
      </c>
      <c r="C124" t="s">
        <v>82</v>
      </c>
      <c r="D124" t="s">
        <v>126</v>
      </c>
      <c r="E124" t="s">
        <v>1529</v>
      </c>
      <c r="G124" t="s">
        <v>31</v>
      </c>
      <c r="H124" t="s">
        <v>18</v>
      </c>
    </row>
    <row r="125" spans="1:8" hidden="1" x14ac:dyDescent="0.2">
      <c r="A125" t="s">
        <v>125</v>
      </c>
      <c r="B125" t="s">
        <v>75</v>
      </c>
      <c r="C125" t="s">
        <v>82</v>
      </c>
      <c r="D125" t="s">
        <v>126</v>
      </c>
      <c r="E125" t="s">
        <v>1530</v>
      </c>
      <c r="G125" t="s">
        <v>31</v>
      </c>
      <c r="H125" t="s">
        <v>18</v>
      </c>
    </row>
    <row r="126" spans="1:8" hidden="1" x14ac:dyDescent="0.2">
      <c r="A126" t="s">
        <v>125</v>
      </c>
      <c r="B126" t="s">
        <v>75</v>
      </c>
      <c r="C126" t="s">
        <v>82</v>
      </c>
      <c r="D126" t="s">
        <v>126</v>
      </c>
      <c r="E126" t="s">
        <v>1531</v>
      </c>
      <c r="G126" t="s">
        <v>31</v>
      </c>
      <c r="H126" t="s">
        <v>18</v>
      </c>
    </row>
    <row r="127" spans="1:8" hidden="1" x14ac:dyDescent="0.2">
      <c r="A127" t="s">
        <v>125</v>
      </c>
      <c r="B127" t="s">
        <v>75</v>
      </c>
      <c r="C127" t="s">
        <v>82</v>
      </c>
      <c r="D127" t="s">
        <v>126</v>
      </c>
      <c r="E127" t="s">
        <v>12</v>
      </c>
      <c r="F127">
        <v>86.9</v>
      </c>
      <c r="G127" t="s">
        <v>31</v>
      </c>
      <c r="H127" t="s">
        <v>14</v>
      </c>
    </row>
    <row r="128" spans="1:8" hidden="1" x14ac:dyDescent="0.2">
      <c r="A128" t="s">
        <v>125</v>
      </c>
      <c r="B128" t="s">
        <v>75</v>
      </c>
      <c r="C128" t="s">
        <v>82</v>
      </c>
      <c r="D128" t="s">
        <v>126</v>
      </c>
      <c r="E128" t="s">
        <v>21</v>
      </c>
      <c r="F128">
        <v>217.4</v>
      </c>
      <c r="G128" t="s">
        <v>31</v>
      </c>
      <c r="H128" t="s">
        <v>18</v>
      </c>
    </row>
    <row r="129" spans="1:8" hidden="1" x14ac:dyDescent="0.2">
      <c r="A129" t="s">
        <v>125</v>
      </c>
      <c r="B129" t="s">
        <v>75</v>
      </c>
      <c r="C129" t="s">
        <v>82</v>
      </c>
      <c r="D129" t="s">
        <v>126</v>
      </c>
      <c r="E129" t="s">
        <v>20</v>
      </c>
      <c r="F129">
        <v>173.9</v>
      </c>
      <c r="G129" t="s">
        <v>31</v>
      </c>
      <c r="H129" t="s">
        <v>18</v>
      </c>
    </row>
    <row r="130" spans="1:8" hidden="1" x14ac:dyDescent="0.2">
      <c r="A130" t="s">
        <v>125</v>
      </c>
      <c r="B130" t="s">
        <v>75</v>
      </c>
      <c r="C130" t="s">
        <v>82</v>
      </c>
      <c r="D130" t="s">
        <v>126</v>
      </c>
      <c r="E130" t="s">
        <v>19</v>
      </c>
      <c r="F130">
        <v>173.9</v>
      </c>
      <c r="G130" t="s">
        <v>31</v>
      </c>
      <c r="H130" t="s">
        <v>18</v>
      </c>
    </row>
    <row r="131" spans="1:8" hidden="1" x14ac:dyDescent="0.2">
      <c r="A131" t="s">
        <v>125</v>
      </c>
      <c r="B131" t="s">
        <v>75</v>
      </c>
      <c r="C131" t="s">
        <v>82</v>
      </c>
      <c r="D131" t="s">
        <v>126</v>
      </c>
      <c r="E131" t="s">
        <v>17</v>
      </c>
      <c r="F131">
        <v>217.4</v>
      </c>
      <c r="G131" t="s">
        <v>31</v>
      </c>
      <c r="H131" t="s">
        <v>18</v>
      </c>
    </row>
    <row r="132" spans="1:8" hidden="1" x14ac:dyDescent="0.2">
      <c r="A132" t="s">
        <v>1535</v>
      </c>
      <c r="D132" t="s">
        <v>1536</v>
      </c>
      <c r="E132" t="s">
        <v>22</v>
      </c>
      <c r="F132">
        <v>266.7</v>
      </c>
      <c r="G132" t="s">
        <v>31</v>
      </c>
      <c r="H132" t="s">
        <v>27</v>
      </c>
    </row>
    <row r="133" spans="1:8" hidden="1" x14ac:dyDescent="0.2">
      <c r="A133" t="s">
        <v>1535</v>
      </c>
      <c r="D133" t="s">
        <v>1536</v>
      </c>
      <c r="E133" t="s">
        <v>12</v>
      </c>
      <c r="F133">
        <v>53.3</v>
      </c>
      <c r="G133" t="s">
        <v>31</v>
      </c>
      <c r="H133" t="s">
        <v>18</v>
      </c>
    </row>
    <row r="134" spans="1:8" hidden="1" x14ac:dyDescent="0.2">
      <c r="A134" t="s">
        <v>1535</v>
      </c>
      <c r="D134" t="s">
        <v>1536</v>
      </c>
      <c r="E134" t="s">
        <v>21</v>
      </c>
      <c r="F134">
        <v>133.4</v>
      </c>
      <c r="G134" t="s">
        <v>31</v>
      </c>
      <c r="H134" t="s">
        <v>27</v>
      </c>
    </row>
    <row r="135" spans="1:8" hidden="1" x14ac:dyDescent="0.2">
      <c r="A135" t="s">
        <v>1535</v>
      </c>
      <c r="D135" t="s">
        <v>1536</v>
      </c>
      <c r="E135" t="s">
        <v>20</v>
      </c>
      <c r="F135">
        <v>106.7</v>
      </c>
      <c r="G135" t="s">
        <v>31</v>
      </c>
      <c r="H135" t="s">
        <v>27</v>
      </c>
    </row>
    <row r="136" spans="1:8" hidden="1" x14ac:dyDescent="0.2">
      <c r="A136" t="s">
        <v>1535</v>
      </c>
      <c r="D136" t="s">
        <v>1536</v>
      </c>
      <c r="E136" t="s">
        <v>19</v>
      </c>
      <c r="F136">
        <v>106.7</v>
      </c>
      <c r="G136" t="s">
        <v>31</v>
      </c>
      <c r="H136" t="s">
        <v>27</v>
      </c>
    </row>
    <row r="137" spans="1:8" hidden="1" x14ac:dyDescent="0.2">
      <c r="A137" t="s">
        <v>1535</v>
      </c>
      <c r="D137" t="s">
        <v>1536</v>
      </c>
      <c r="E137" t="s">
        <v>17</v>
      </c>
      <c r="F137">
        <v>133.4</v>
      </c>
      <c r="G137" t="s">
        <v>31</v>
      </c>
      <c r="H137" t="s">
        <v>27</v>
      </c>
    </row>
    <row r="138" spans="1:8" hidden="1" x14ac:dyDescent="0.2">
      <c r="A138" t="s">
        <v>45</v>
      </c>
      <c r="B138" t="s">
        <v>9</v>
      </c>
      <c r="C138" t="s">
        <v>33</v>
      </c>
      <c r="D138" t="s">
        <v>46</v>
      </c>
      <c r="E138" t="s">
        <v>22</v>
      </c>
      <c r="F138">
        <v>373.3</v>
      </c>
      <c r="G138" t="s">
        <v>26</v>
      </c>
      <c r="H138" t="s">
        <v>27</v>
      </c>
    </row>
    <row r="139" spans="1:8" hidden="1" x14ac:dyDescent="0.2">
      <c r="A139" t="s">
        <v>45</v>
      </c>
      <c r="B139" t="s">
        <v>9</v>
      </c>
      <c r="C139" t="s">
        <v>33</v>
      </c>
      <c r="D139" t="s">
        <v>46</v>
      </c>
      <c r="E139" t="s">
        <v>1528</v>
      </c>
      <c r="G139" t="s">
        <v>26</v>
      </c>
      <c r="H139" t="s">
        <v>27</v>
      </c>
    </row>
    <row r="140" spans="1:8" hidden="1" x14ac:dyDescent="0.2">
      <c r="A140" t="s">
        <v>45</v>
      </c>
      <c r="B140" t="s">
        <v>9</v>
      </c>
      <c r="C140" t="s">
        <v>33</v>
      </c>
      <c r="D140" t="s">
        <v>46</v>
      </c>
      <c r="E140" t="s">
        <v>1529</v>
      </c>
      <c r="G140" t="s">
        <v>26</v>
      </c>
      <c r="H140" t="s">
        <v>27</v>
      </c>
    </row>
    <row r="141" spans="1:8" hidden="1" x14ac:dyDescent="0.2">
      <c r="A141" t="s">
        <v>45</v>
      </c>
      <c r="B141" t="s">
        <v>9</v>
      </c>
      <c r="C141" t="s">
        <v>33</v>
      </c>
      <c r="D141" t="s">
        <v>46</v>
      </c>
      <c r="E141" t="s">
        <v>1530</v>
      </c>
      <c r="G141" t="s">
        <v>26</v>
      </c>
      <c r="H141" t="s">
        <v>27</v>
      </c>
    </row>
    <row r="142" spans="1:8" hidden="1" x14ac:dyDescent="0.2">
      <c r="A142" t="s">
        <v>45</v>
      </c>
      <c r="B142" t="s">
        <v>9</v>
      </c>
      <c r="C142" t="s">
        <v>33</v>
      </c>
      <c r="D142" t="s">
        <v>46</v>
      </c>
      <c r="E142" t="s">
        <v>1531</v>
      </c>
      <c r="G142" t="s">
        <v>26</v>
      </c>
      <c r="H142" t="s">
        <v>27</v>
      </c>
    </row>
    <row r="143" spans="1:8" hidden="1" x14ac:dyDescent="0.2">
      <c r="A143" t="s">
        <v>45</v>
      </c>
      <c r="B143" t="s">
        <v>9</v>
      </c>
      <c r="C143" t="s">
        <v>33</v>
      </c>
      <c r="D143" t="s">
        <v>46</v>
      </c>
      <c r="E143" t="s">
        <v>12</v>
      </c>
      <c r="F143">
        <v>74.7</v>
      </c>
      <c r="G143" t="s">
        <v>26</v>
      </c>
      <c r="H143" t="s">
        <v>18</v>
      </c>
    </row>
    <row r="144" spans="1:8" hidden="1" x14ac:dyDescent="0.2">
      <c r="A144" t="s">
        <v>45</v>
      </c>
      <c r="B144" t="s">
        <v>9</v>
      </c>
      <c r="C144" t="s">
        <v>33</v>
      </c>
      <c r="D144" t="s">
        <v>46</v>
      </c>
      <c r="E144" t="s">
        <v>21</v>
      </c>
      <c r="F144">
        <v>186.6</v>
      </c>
      <c r="G144" t="s">
        <v>26</v>
      </c>
      <c r="H144" t="s">
        <v>27</v>
      </c>
    </row>
    <row r="145" spans="1:8" hidden="1" x14ac:dyDescent="0.2">
      <c r="A145" t="s">
        <v>45</v>
      </c>
      <c r="B145" t="s">
        <v>9</v>
      </c>
      <c r="C145" t="s">
        <v>33</v>
      </c>
      <c r="D145" t="s">
        <v>46</v>
      </c>
      <c r="E145" t="s">
        <v>20</v>
      </c>
      <c r="F145">
        <v>149.30000000000001</v>
      </c>
      <c r="G145" t="s">
        <v>26</v>
      </c>
      <c r="H145" t="s">
        <v>27</v>
      </c>
    </row>
    <row r="146" spans="1:8" hidden="1" x14ac:dyDescent="0.2">
      <c r="A146" t="s">
        <v>45</v>
      </c>
      <c r="B146" t="s">
        <v>9</v>
      </c>
      <c r="C146" t="s">
        <v>33</v>
      </c>
      <c r="D146" t="s">
        <v>46</v>
      </c>
      <c r="E146" t="s">
        <v>19</v>
      </c>
      <c r="F146">
        <v>149.30000000000001</v>
      </c>
      <c r="G146" t="s">
        <v>26</v>
      </c>
      <c r="H146" t="s">
        <v>27</v>
      </c>
    </row>
    <row r="147" spans="1:8" hidden="1" x14ac:dyDescent="0.2">
      <c r="A147" t="s">
        <v>45</v>
      </c>
      <c r="B147" t="s">
        <v>9</v>
      </c>
      <c r="C147" t="s">
        <v>33</v>
      </c>
      <c r="D147" t="s">
        <v>46</v>
      </c>
      <c r="E147" t="s">
        <v>17</v>
      </c>
      <c r="F147">
        <v>186.6</v>
      </c>
      <c r="G147" t="s">
        <v>26</v>
      </c>
      <c r="H147" t="s">
        <v>27</v>
      </c>
    </row>
    <row r="148" spans="1:8" hidden="1" x14ac:dyDescent="0.2">
      <c r="A148" t="s">
        <v>127</v>
      </c>
      <c r="B148" t="s">
        <v>75</v>
      </c>
      <c r="C148" t="s">
        <v>78</v>
      </c>
      <c r="D148" t="s">
        <v>128</v>
      </c>
      <c r="E148" t="s">
        <v>22</v>
      </c>
      <c r="F148">
        <v>69.3</v>
      </c>
      <c r="G148" t="s">
        <v>26</v>
      </c>
      <c r="H148" t="s">
        <v>14</v>
      </c>
    </row>
    <row r="149" spans="1:8" hidden="1" x14ac:dyDescent="0.2">
      <c r="A149" t="s">
        <v>127</v>
      </c>
      <c r="B149" t="s">
        <v>75</v>
      </c>
      <c r="C149" t="s">
        <v>78</v>
      </c>
      <c r="D149" t="s">
        <v>128</v>
      </c>
      <c r="E149" t="s">
        <v>1528</v>
      </c>
      <c r="G149" t="s">
        <v>26</v>
      </c>
      <c r="H149" t="s">
        <v>14</v>
      </c>
    </row>
    <row r="150" spans="1:8" hidden="1" x14ac:dyDescent="0.2">
      <c r="A150" t="s">
        <v>127</v>
      </c>
      <c r="B150" t="s">
        <v>75</v>
      </c>
      <c r="C150" t="s">
        <v>78</v>
      </c>
      <c r="D150" t="s">
        <v>128</v>
      </c>
      <c r="E150" t="s">
        <v>1529</v>
      </c>
      <c r="G150" t="s">
        <v>26</v>
      </c>
      <c r="H150" t="s">
        <v>14</v>
      </c>
    </row>
    <row r="151" spans="1:8" hidden="1" x14ac:dyDescent="0.2">
      <c r="A151" t="s">
        <v>127</v>
      </c>
      <c r="B151" t="s">
        <v>75</v>
      </c>
      <c r="C151" t="s">
        <v>78</v>
      </c>
      <c r="D151" t="s">
        <v>128</v>
      </c>
      <c r="E151" t="s">
        <v>1530</v>
      </c>
      <c r="G151" t="s">
        <v>26</v>
      </c>
      <c r="H151" t="s">
        <v>14</v>
      </c>
    </row>
    <row r="152" spans="1:8" hidden="1" x14ac:dyDescent="0.2">
      <c r="A152" t="s">
        <v>127</v>
      </c>
      <c r="B152" t="s">
        <v>75</v>
      </c>
      <c r="C152" t="s">
        <v>78</v>
      </c>
      <c r="D152" t="s">
        <v>128</v>
      </c>
      <c r="E152" t="s">
        <v>1531</v>
      </c>
      <c r="G152" t="s">
        <v>26</v>
      </c>
      <c r="H152" t="s">
        <v>14</v>
      </c>
    </row>
    <row r="153" spans="1:8" hidden="1" x14ac:dyDescent="0.2">
      <c r="A153" t="s">
        <v>127</v>
      </c>
      <c r="B153" t="s">
        <v>75</v>
      </c>
      <c r="C153" t="s">
        <v>78</v>
      </c>
      <c r="D153" t="s">
        <v>128</v>
      </c>
      <c r="E153" t="s">
        <v>12</v>
      </c>
      <c r="F153">
        <v>13.9</v>
      </c>
      <c r="G153" t="s">
        <v>26</v>
      </c>
      <c r="H153" t="s">
        <v>50</v>
      </c>
    </row>
    <row r="154" spans="1:8" hidden="1" x14ac:dyDescent="0.2">
      <c r="A154" t="s">
        <v>127</v>
      </c>
      <c r="B154" t="s">
        <v>75</v>
      </c>
      <c r="C154" t="s">
        <v>78</v>
      </c>
      <c r="D154" t="s">
        <v>128</v>
      </c>
      <c r="E154" t="s">
        <v>21</v>
      </c>
      <c r="F154">
        <v>34.6</v>
      </c>
      <c r="G154" t="s">
        <v>26</v>
      </c>
      <c r="H154" t="s">
        <v>14</v>
      </c>
    </row>
    <row r="155" spans="1:8" hidden="1" x14ac:dyDescent="0.2">
      <c r="A155" t="s">
        <v>127</v>
      </c>
      <c r="B155" t="s">
        <v>75</v>
      </c>
      <c r="C155" t="s">
        <v>78</v>
      </c>
      <c r="D155" t="s">
        <v>128</v>
      </c>
      <c r="E155" t="s">
        <v>20</v>
      </c>
      <c r="F155">
        <v>27.7</v>
      </c>
      <c r="G155" t="s">
        <v>26</v>
      </c>
      <c r="H155" t="s">
        <v>14</v>
      </c>
    </row>
    <row r="156" spans="1:8" hidden="1" x14ac:dyDescent="0.2">
      <c r="A156" t="s">
        <v>127</v>
      </c>
      <c r="B156" t="s">
        <v>75</v>
      </c>
      <c r="C156" t="s">
        <v>78</v>
      </c>
      <c r="D156" t="s">
        <v>128</v>
      </c>
      <c r="E156" t="s">
        <v>19</v>
      </c>
      <c r="F156">
        <v>27.7</v>
      </c>
      <c r="G156" t="s">
        <v>26</v>
      </c>
      <c r="H156" t="s">
        <v>14</v>
      </c>
    </row>
    <row r="157" spans="1:8" hidden="1" x14ac:dyDescent="0.2">
      <c r="A157" t="s">
        <v>127</v>
      </c>
      <c r="B157" t="s">
        <v>75</v>
      </c>
      <c r="C157" t="s">
        <v>78</v>
      </c>
      <c r="D157" t="s">
        <v>128</v>
      </c>
      <c r="E157" t="s">
        <v>17</v>
      </c>
      <c r="F157">
        <v>34.6</v>
      </c>
      <c r="G157" t="s">
        <v>26</v>
      </c>
      <c r="H157" t="s">
        <v>14</v>
      </c>
    </row>
    <row r="158" spans="1:8" x14ac:dyDescent="0.2">
      <c r="A158" t="s">
        <v>129</v>
      </c>
      <c r="B158" t="s">
        <v>66</v>
      </c>
      <c r="C158" t="s">
        <v>68</v>
      </c>
      <c r="D158" t="s">
        <v>130</v>
      </c>
      <c r="E158" t="s">
        <v>22</v>
      </c>
      <c r="F158">
        <v>253.3</v>
      </c>
      <c r="G158" t="s">
        <v>26</v>
      </c>
      <c r="H158" t="s">
        <v>18</v>
      </c>
    </row>
    <row r="159" spans="1:8" x14ac:dyDescent="0.2">
      <c r="A159" t="s">
        <v>129</v>
      </c>
      <c r="B159" t="s">
        <v>66</v>
      </c>
      <c r="C159" t="s">
        <v>68</v>
      </c>
      <c r="D159" t="s">
        <v>130</v>
      </c>
      <c r="E159" t="s">
        <v>1528</v>
      </c>
      <c r="G159" t="s">
        <v>26</v>
      </c>
      <c r="H159" t="s">
        <v>18</v>
      </c>
    </row>
    <row r="160" spans="1:8" x14ac:dyDescent="0.2">
      <c r="A160" t="s">
        <v>129</v>
      </c>
      <c r="B160" t="s">
        <v>66</v>
      </c>
      <c r="C160" t="s">
        <v>68</v>
      </c>
      <c r="D160" t="s">
        <v>130</v>
      </c>
      <c r="E160" t="s">
        <v>1529</v>
      </c>
      <c r="G160" t="s">
        <v>26</v>
      </c>
      <c r="H160" t="s">
        <v>18</v>
      </c>
    </row>
    <row r="161" spans="1:8" x14ac:dyDescent="0.2">
      <c r="A161" t="s">
        <v>129</v>
      </c>
      <c r="B161" t="s">
        <v>66</v>
      </c>
      <c r="C161" t="s">
        <v>68</v>
      </c>
      <c r="D161" t="s">
        <v>130</v>
      </c>
      <c r="E161" t="s">
        <v>1530</v>
      </c>
      <c r="G161" t="s">
        <v>26</v>
      </c>
      <c r="H161" t="s">
        <v>18</v>
      </c>
    </row>
    <row r="162" spans="1:8" x14ac:dyDescent="0.2">
      <c r="A162" t="s">
        <v>129</v>
      </c>
      <c r="B162" t="s">
        <v>66</v>
      </c>
      <c r="C162" t="s">
        <v>68</v>
      </c>
      <c r="D162" t="s">
        <v>130</v>
      </c>
      <c r="E162" t="s">
        <v>1531</v>
      </c>
      <c r="G162" t="s">
        <v>26</v>
      </c>
      <c r="H162" t="s">
        <v>18</v>
      </c>
    </row>
    <row r="163" spans="1:8" hidden="1" x14ac:dyDescent="0.2">
      <c r="A163" t="s">
        <v>129</v>
      </c>
      <c r="B163" t="s">
        <v>66</v>
      </c>
      <c r="C163" t="s">
        <v>68</v>
      </c>
      <c r="D163" t="s">
        <v>130</v>
      </c>
      <c r="E163" t="s">
        <v>12</v>
      </c>
      <c r="F163">
        <v>50.7</v>
      </c>
      <c r="G163" t="s">
        <v>26</v>
      </c>
      <c r="H163" t="s">
        <v>14</v>
      </c>
    </row>
    <row r="164" spans="1:8" x14ac:dyDescent="0.2">
      <c r="A164" t="s">
        <v>129</v>
      </c>
      <c r="B164" t="s">
        <v>66</v>
      </c>
      <c r="C164" t="s">
        <v>68</v>
      </c>
      <c r="D164" t="s">
        <v>130</v>
      </c>
      <c r="E164" t="s">
        <v>21</v>
      </c>
      <c r="F164">
        <v>126.6</v>
      </c>
      <c r="G164" t="s">
        <v>26</v>
      </c>
      <c r="H164" t="s">
        <v>18</v>
      </c>
    </row>
    <row r="165" spans="1:8" x14ac:dyDescent="0.2">
      <c r="A165" t="s">
        <v>129</v>
      </c>
      <c r="B165" t="s">
        <v>66</v>
      </c>
      <c r="C165" t="s">
        <v>68</v>
      </c>
      <c r="D165" t="s">
        <v>130</v>
      </c>
      <c r="E165" t="s">
        <v>20</v>
      </c>
      <c r="F165">
        <v>101.3</v>
      </c>
      <c r="G165" t="s">
        <v>26</v>
      </c>
      <c r="H165" t="s">
        <v>18</v>
      </c>
    </row>
    <row r="166" spans="1:8" x14ac:dyDescent="0.2">
      <c r="A166" t="s">
        <v>129</v>
      </c>
      <c r="B166" t="s">
        <v>66</v>
      </c>
      <c r="C166" t="s">
        <v>68</v>
      </c>
      <c r="D166" t="s">
        <v>130</v>
      </c>
      <c r="E166" t="s">
        <v>19</v>
      </c>
      <c r="F166">
        <v>101.3</v>
      </c>
      <c r="G166" t="s">
        <v>26</v>
      </c>
      <c r="H166" t="s">
        <v>18</v>
      </c>
    </row>
    <row r="167" spans="1:8" x14ac:dyDescent="0.2">
      <c r="A167" t="s">
        <v>129</v>
      </c>
      <c r="B167" t="s">
        <v>66</v>
      </c>
      <c r="C167" t="s">
        <v>68</v>
      </c>
      <c r="D167" t="s">
        <v>130</v>
      </c>
      <c r="E167" t="s">
        <v>17</v>
      </c>
      <c r="F167">
        <v>126.6</v>
      </c>
      <c r="G167" t="s">
        <v>26</v>
      </c>
      <c r="H167" t="s">
        <v>18</v>
      </c>
    </row>
    <row r="168" spans="1:8" hidden="1" x14ac:dyDescent="0.2">
      <c r="A168" t="s">
        <v>131</v>
      </c>
      <c r="B168" t="s">
        <v>66</v>
      </c>
      <c r="C168" t="s">
        <v>68</v>
      </c>
      <c r="D168" t="s">
        <v>132</v>
      </c>
      <c r="E168" t="s">
        <v>22</v>
      </c>
      <c r="F168">
        <v>40</v>
      </c>
      <c r="G168" t="s">
        <v>26</v>
      </c>
      <c r="H168" t="s">
        <v>14</v>
      </c>
    </row>
    <row r="169" spans="1:8" hidden="1" x14ac:dyDescent="0.2">
      <c r="A169" t="s">
        <v>131</v>
      </c>
      <c r="B169" t="s">
        <v>66</v>
      </c>
      <c r="C169" t="s">
        <v>68</v>
      </c>
      <c r="D169" t="s">
        <v>132</v>
      </c>
      <c r="E169" t="s">
        <v>1528</v>
      </c>
      <c r="G169" t="s">
        <v>26</v>
      </c>
      <c r="H169" t="s">
        <v>14</v>
      </c>
    </row>
    <row r="170" spans="1:8" hidden="1" x14ac:dyDescent="0.2">
      <c r="A170" t="s">
        <v>131</v>
      </c>
      <c r="B170" t="s">
        <v>66</v>
      </c>
      <c r="C170" t="s">
        <v>68</v>
      </c>
      <c r="D170" t="s">
        <v>132</v>
      </c>
      <c r="E170" t="s">
        <v>1529</v>
      </c>
      <c r="G170" t="s">
        <v>26</v>
      </c>
      <c r="H170" t="s">
        <v>14</v>
      </c>
    </row>
    <row r="171" spans="1:8" hidden="1" x14ac:dyDescent="0.2">
      <c r="A171" t="s">
        <v>131</v>
      </c>
      <c r="B171" t="s">
        <v>66</v>
      </c>
      <c r="C171" t="s">
        <v>68</v>
      </c>
      <c r="D171" t="s">
        <v>132</v>
      </c>
      <c r="E171" t="s">
        <v>1530</v>
      </c>
      <c r="G171" t="s">
        <v>26</v>
      </c>
      <c r="H171" t="s">
        <v>14</v>
      </c>
    </row>
    <row r="172" spans="1:8" hidden="1" x14ac:dyDescent="0.2">
      <c r="A172" t="s">
        <v>131</v>
      </c>
      <c r="B172" t="s">
        <v>66</v>
      </c>
      <c r="C172" t="s">
        <v>68</v>
      </c>
      <c r="D172" t="s">
        <v>132</v>
      </c>
      <c r="E172" t="s">
        <v>1531</v>
      </c>
      <c r="G172" t="s">
        <v>26</v>
      </c>
      <c r="H172" t="s">
        <v>14</v>
      </c>
    </row>
    <row r="173" spans="1:8" hidden="1" x14ac:dyDescent="0.2">
      <c r="A173" t="s">
        <v>131</v>
      </c>
      <c r="B173" t="s">
        <v>66</v>
      </c>
      <c r="C173" t="s">
        <v>68</v>
      </c>
      <c r="D173" t="s">
        <v>132</v>
      </c>
      <c r="E173" t="s">
        <v>12</v>
      </c>
      <c r="F173">
        <v>8</v>
      </c>
      <c r="G173" t="s">
        <v>26</v>
      </c>
      <c r="H173" t="s">
        <v>50</v>
      </c>
    </row>
    <row r="174" spans="1:8" hidden="1" x14ac:dyDescent="0.2">
      <c r="A174" t="s">
        <v>131</v>
      </c>
      <c r="B174" t="s">
        <v>66</v>
      </c>
      <c r="C174" t="s">
        <v>68</v>
      </c>
      <c r="D174" t="s">
        <v>132</v>
      </c>
      <c r="E174" t="s">
        <v>21</v>
      </c>
      <c r="F174">
        <v>20</v>
      </c>
      <c r="G174" t="s">
        <v>26</v>
      </c>
      <c r="H174" t="s">
        <v>14</v>
      </c>
    </row>
    <row r="175" spans="1:8" hidden="1" x14ac:dyDescent="0.2">
      <c r="A175" t="s">
        <v>131</v>
      </c>
      <c r="B175" t="s">
        <v>66</v>
      </c>
      <c r="C175" t="s">
        <v>68</v>
      </c>
      <c r="D175" t="s">
        <v>132</v>
      </c>
      <c r="E175" t="s">
        <v>20</v>
      </c>
      <c r="F175">
        <v>16</v>
      </c>
      <c r="G175" t="s">
        <v>26</v>
      </c>
      <c r="H175" t="s">
        <v>14</v>
      </c>
    </row>
    <row r="176" spans="1:8" hidden="1" x14ac:dyDescent="0.2">
      <c r="A176" t="s">
        <v>131</v>
      </c>
      <c r="B176" t="s">
        <v>66</v>
      </c>
      <c r="C176" t="s">
        <v>68</v>
      </c>
      <c r="D176" t="s">
        <v>132</v>
      </c>
      <c r="E176" t="s">
        <v>19</v>
      </c>
      <c r="F176">
        <v>16</v>
      </c>
      <c r="G176" t="s">
        <v>26</v>
      </c>
      <c r="H176" t="s">
        <v>14</v>
      </c>
    </row>
    <row r="177" spans="1:8" hidden="1" x14ac:dyDescent="0.2">
      <c r="A177" t="s">
        <v>131</v>
      </c>
      <c r="B177" t="s">
        <v>66</v>
      </c>
      <c r="C177" t="s">
        <v>68</v>
      </c>
      <c r="D177" t="s">
        <v>132</v>
      </c>
      <c r="E177" t="s">
        <v>17</v>
      </c>
      <c r="F177">
        <v>20</v>
      </c>
      <c r="G177" t="s">
        <v>26</v>
      </c>
      <c r="H177" t="s">
        <v>14</v>
      </c>
    </row>
    <row r="178" spans="1:8" hidden="1" x14ac:dyDescent="0.2">
      <c r="A178" t="s">
        <v>133</v>
      </c>
      <c r="B178" t="s">
        <v>66</v>
      </c>
      <c r="C178" t="s">
        <v>73</v>
      </c>
      <c r="D178" t="s">
        <v>134</v>
      </c>
      <c r="E178" t="s">
        <v>22</v>
      </c>
      <c r="F178">
        <v>101.3</v>
      </c>
      <c r="G178" t="s">
        <v>26</v>
      </c>
      <c r="H178" t="s">
        <v>14</v>
      </c>
    </row>
    <row r="179" spans="1:8" hidden="1" x14ac:dyDescent="0.2">
      <c r="A179" t="s">
        <v>133</v>
      </c>
      <c r="B179" t="s">
        <v>66</v>
      </c>
      <c r="C179" t="s">
        <v>73</v>
      </c>
      <c r="D179" t="s">
        <v>134</v>
      </c>
      <c r="E179" t="s">
        <v>1528</v>
      </c>
      <c r="G179" t="s">
        <v>26</v>
      </c>
      <c r="H179" t="s">
        <v>14</v>
      </c>
    </row>
    <row r="180" spans="1:8" hidden="1" x14ac:dyDescent="0.2">
      <c r="A180" t="s">
        <v>133</v>
      </c>
      <c r="B180" t="s">
        <v>66</v>
      </c>
      <c r="C180" t="s">
        <v>73</v>
      </c>
      <c r="D180" t="s">
        <v>134</v>
      </c>
      <c r="E180" t="s">
        <v>1529</v>
      </c>
      <c r="G180" t="s">
        <v>26</v>
      </c>
      <c r="H180" t="s">
        <v>14</v>
      </c>
    </row>
    <row r="181" spans="1:8" hidden="1" x14ac:dyDescent="0.2">
      <c r="A181" t="s">
        <v>133</v>
      </c>
      <c r="B181" t="s">
        <v>66</v>
      </c>
      <c r="C181" t="s">
        <v>73</v>
      </c>
      <c r="D181" t="s">
        <v>134</v>
      </c>
      <c r="E181" t="s">
        <v>1530</v>
      </c>
      <c r="G181" t="s">
        <v>26</v>
      </c>
      <c r="H181" t="s">
        <v>14</v>
      </c>
    </row>
    <row r="182" spans="1:8" hidden="1" x14ac:dyDescent="0.2">
      <c r="A182" t="s">
        <v>133</v>
      </c>
      <c r="B182" t="s">
        <v>66</v>
      </c>
      <c r="C182" t="s">
        <v>73</v>
      </c>
      <c r="D182" t="s">
        <v>134</v>
      </c>
      <c r="E182" t="s">
        <v>1531</v>
      </c>
      <c r="G182" t="s">
        <v>26</v>
      </c>
      <c r="H182" t="s">
        <v>14</v>
      </c>
    </row>
    <row r="183" spans="1:8" hidden="1" x14ac:dyDescent="0.2">
      <c r="A183" t="s">
        <v>133</v>
      </c>
      <c r="B183" t="s">
        <v>66</v>
      </c>
      <c r="C183" t="s">
        <v>73</v>
      </c>
      <c r="D183" t="s">
        <v>134</v>
      </c>
      <c r="E183" t="s">
        <v>12</v>
      </c>
      <c r="F183">
        <v>20.3</v>
      </c>
      <c r="G183" t="s">
        <v>26</v>
      </c>
      <c r="H183" t="s">
        <v>50</v>
      </c>
    </row>
    <row r="184" spans="1:8" hidden="1" x14ac:dyDescent="0.2">
      <c r="A184" t="s">
        <v>133</v>
      </c>
      <c r="B184" t="s">
        <v>66</v>
      </c>
      <c r="C184" t="s">
        <v>73</v>
      </c>
      <c r="D184" t="s">
        <v>134</v>
      </c>
      <c r="E184" t="s">
        <v>21</v>
      </c>
      <c r="F184">
        <v>50.6</v>
      </c>
      <c r="G184" t="s">
        <v>26</v>
      </c>
      <c r="H184" t="s">
        <v>14</v>
      </c>
    </row>
    <row r="185" spans="1:8" hidden="1" x14ac:dyDescent="0.2">
      <c r="A185" t="s">
        <v>133</v>
      </c>
      <c r="B185" t="s">
        <v>66</v>
      </c>
      <c r="C185" t="s">
        <v>73</v>
      </c>
      <c r="D185" t="s">
        <v>134</v>
      </c>
      <c r="E185" t="s">
        <v>20</v>
      </c>
      <c r="F185">
        <v>40.5</v>
      </c>
      <c r="G185" t="s">
        <v>26</v>
      </c>
      <c r="H185" t="s">
        <v>14</v>
      </c>
    </row>
    <row r="186" spans="1:8" hidden="1" x14ac:dyDescent="0.2">
      <c r="A186" t="s">
        <v>133</v>
      </c>
      <c r="B186" t="s">
        <v>66</v>
      </c>
      <c r="C186" t="s">
        <v>73</v>
      </c>
      <c r="D186" t="s">
        <v>134</v>
      </c>
      <c r="E186" t="s">
        <v>19</v>
      </c>
      <c r="F186">
        <v>40.5</v>
      </c>
      <c r="G186" t="s">
        <v>26</v>
      </c>
      <c r="H186" t="s">
        <v>14</v>
      </c>
    </row>
    <row r="187" spans="1:8" hidden="1" x14ac:dyDescent="0.2">
      <c r="A187" t="s">
        <v>133</v>
      </c>
      <c r="B187" t="s">
        <v>66</v>
      </c>
      <c r="C187" t="s">
        <v>73</v>
      </c>
      <c r="D187" t="s">
        <v>134</v>
      </c>
      <c r="E187" t="s">
        <v>17</v>
      </c>
      <c r="F187">
        <v>50.6</v>
      </c>
      <c r="G187" t="s">
        <v>26</v>
      </c>
      <c r="H187" t="s">
        <v>14</v>
      </c>
    </row>
    <row r="188" spans="1:8" hidden="1" x14ac:dyDescent="0.2">
      <c r="A188" t="s">
        <v>1539</v>
      </c>
      <c r="D188" t="s">
        <v>1540</v>
      </c>
      <c r="E188" t="s">
        <v>22</v>
      </c>
      <c r="G188" t="s">
        <v>31</v>
      </c>
      <c r="H188" t="s">
        <v>27</v>
      </c>
    </row>
    <row r="189" spans="1:8" hidden="1" x14ac:dyDescent="0.2">
      <c r="A189" t="s">
        <v>1539</v>
      </c>
      <c r="D189" t="s">
        <v>1540</v>
      </c>
      <c r="E189" t="s">
        <v>12</v>
      </c>
      <c r="G189" t="s">
        <v>31</v>
      </c>
      <c r="H189" t="s">
        <v>18</v>
      </c>
    </row>
    <row r="190" spans="1:8" hidden="1" x14ac:dyDescent="0.2">
      <c r="A190" t="s">
        <v>1539</v>
      </c>
      <c r="D190" t="s">
        <v>1540</v>
      </c>
      <c r="E190" t="s">
        <v>21</v>
      </c>
      <c r="G190" t="s">
        <v>31</v>
      </c>
      <c r="H190" t="s">
        <v>27</v>
      </c>
    </row>
    <row r="191" spans="1:8" hidden="1" x14ac:dyDescent="0.2">
      <c r="A191" t="s">
        <v>1539</v>
      </c>
      <c r="D191" t="s">
        <v>1540</v>
      </c>
      <c r="E191" t="s">
        <v>20</v>
      </c>
      <c r="G191" t="s">
        <v>31</v>
      </c>
      <c r="H191" t="s">
        <v>27</v>
      </c>
    </row>
    <row r="192" spans="1:8" hidden="1" x14ac:dyDescent="0.2">
      <c r="A192" t="s">
        <v>1539</v>
      </c>
      <c r="D192" t="s">
        <v>1540</v>
      </c>
      <c r="E192" t="s">
        <v>19</v>
      </c>
      <c r="G192" t="s">
        <v>31</v>
      </c>
      <c r="H192" t="s">
        <v>27</v>
      </c>
    </row>
    <row r="193" spans="1:8" hidden="1" x14ac:dyDescent="0.2">
      <c r="A193" t="s">
        <v>1539</v>
      </c>
      <c r="D193" t="s">
        <v>1540</v>
      </c>
      <c r="E193" t="s">
        <v>17</v>
      </c>
      <c r="G193" t="s">
        <v>31</v>
      </c>
      <c r="H193" t="s">
        <v>27</v>
      </c>
    </row>
    <row r="194" spans="1:8" hidden="1" x14ac:dyDescent="0.2">
      <c r="A194" t="s">
        <v>1543</v>
      </c>
      <c r="D194" t="s">
        <v>1544</v>
      </c>
      <c r="E194" t="s">
        <v>22</v>
      </c>
      <c r="G194" t="s">
        <v>31</v>
      </c>
      <c r="H194" t="s">
        <v>27</v>
      </c>
    </row>
    <row r="195" spans="1:8" hidden="1" x14ac:dyDescent="0.2">
      <c r="A195" t="s">
        <v>1543</v>
      </c>
      <c r="D195" t="s">
        <v>1544</v>
      </c>
      <c r="E195" t="s">
        <v>12</v>
      </c>
      <c r="G195" t="s">
        <v>31</v>
      </c>
      <c r="H195" t="s">
        <v>18</v>
      </c>
    </row>
    <row r="196" spans="1:8" hidden="1" x14ac:dyDescent="0.2">
      <c r="A196" t="s">
        <v>1543</v>
      </c>
      <c r="D196" t="s">
        <v>1544</v>
      </c>
      <c r="E196" t="s">
        <v>21</v>
      </c>
      <c r="G196" t="s">
        <v>31</v>
      </c>
      <c r="H196" t="s">
        <v>27</v>
      </c>
    </row>
    <row r="197" spans="1:8" hidden="1" x14ac:dyDescent="0.2">
      <c r="A197" t="s">
        <v>1543</v>
      </c>
      <c r="D197" t="s">
        <v>1544</v>
      </c>
      <c r="E197" t="s">
        <v>20</v>
      </c>
      <c r="G197" t="s">
        <v>31</v>
      </c>
      <c r="H197" t="s">
        <v>27</v>
      </c>
    </row>
    <row r="198" spans="1:8" hidden="1" x14ac:dyDescent="0.2">
      <c r="A198" t="s">
        <v>1543</v>
      </c>
      <c r="D198" t="s">
        <v>1544</v>
      </c>
      <c r="E198" t="s">
        <v>19</v>
      </c>
      <c r="G198" t="s">
        <v>31</v>
      </c>
      <c r="H198" t="s">
        <v>27</v>
      </c>
    </row>
    <row r="199" spans="1:8" hidden="1" x14ac:dyDescent="0.2">
      <c r="A199" t="s">
        <v>1543</v>
      </c>
      <c r="D199" t="s">
        <v>1544</v>
      </c>
      <c r="E199" t="s">
        <v>17</v>
      </c>
      <c r="G199" t="s">
        <v>31</v>
      </c>
      <c r="H199" t="s">
        <v>27</v>
      </c>
    </row>
    <row r="200" spans="1:8" hidden="1" x14ac:dyDescent="0.2">
      <c r="A200" t="s">
        <v>135</v>
      </c>
      <c r="B200" t="s">
        <v>66</v>
      </c>
      <c r="C200" t="s">
        <v>70</v>
      </c>
      <c r="D200" t="s">
        <v>136</v>
      </c>
      <c r="E200" t="s">
        <v>22</v>
      </c>
      <c r="F200">
        <v>38</v>
      </c>
      <c r="G200" t="s">
        <v>26</v>
      </c>
      <c r="H200" t="s">
        <v>14</v>
      </c>
    </row>
    <row r="201" spans="1:8" hidden="1" x14ac:dyDescent="0.2">
      <c r="A201" t="s">
        <v>135</v>
      </c>
      <c r="B201" t="s">
        <v>66</v>
      </c>
      <c r="C201" t="s">
        <v>70</v>
      </c>
      <c r="D201" t="s">
        <v>136</v>
      </c>
      <c r="E201" t="s">
        <v>1528</v>
      </c>
      <c r="G201" t="s">
        <v>26</v>
      </c>
      <c r="H201" t="s">
        <v>14</v>
      </c>
    </row>
    <row r="202" spans="1:8" hidden="1" x14ac:dyDescent="0.2">
      <c r="A202" t="s">
        <v>135</v>
      </c>
      <c r="B202" t="s">
        <v>66</v>
      </c>
      <c r="C202" t="s">
        <v>70</v>
      </c>
      <c r="D202" t="s">
        <v>136</v>
      </c>
      <c r="E202" t="s">
        <v>1529</v>
      </c>
      <c r="G202" t="s">
        <v>26</v>
      </c>
      <c r="H202" t="s">
        <v>14</v>
      </c>
    </row>
    <row r="203" spans="1:8" hidden="1" x14ac:dyDescent="0.2">
      <c r="A203" t="s">
        <v>135</v>
      </c>
      <c r="B203" t="s">
        <v>66</v>
      </c>
      <c r="C203" t="s">
        <v>70</v>
      </c>
      <c r="D203" t="s">
        <v>136</v>
      </c>
      <c r="E203" t="s">
        <v>1530</v>
      </c>
      <c r="G203" t="s">
        <v>26</v>
      </c>
      <c r="H203" t="s">
        <v>14</v>
      </c>
    </row>
    <row r="204" spans="1:8" hidden="1" x14ac:dyDescent="0.2">
      <c r="A204" t="s">
        <v>135</v>
      </c>
      <c r="B204" t="s">
        <v>66</v>
      </c>
      <c r="C204" t="s">
        <v>70</v>
      </c>
      <c r="D204" t="s">
        <v>136</v>
      </c>
      <c r="E204" t="s">
        <v>1531</v>
      </c>
      <c r="G204" t="s">
        <v>26</v>
      </c>
      <c r="H204" t="s">
        <v>14</v>
      </c>
    </row>
    <row r="205" spans="1:8" hidden="1" x14ac:dyDescent="0.2">
      <c r="A205" t="s">
        <v>135</v>
      </c>
      <c r="B205" t="s">
        <v>66</v>
      </c>
      <c r="C205" t="s">
        <v>70</v>
      </c>
      <c r="D205" t="s">
        <v>136</v>
      </c>
      <c r="E205" t="s">
        <v>12</v>
      </c>
      <c r="F205">
        <v>7.6</v>
      </c>
      <c r="G205" t="s">
        <v>26</v>
      </c>
      <c r="H205" t="s">
        <v>50</v>
      </c>
    </row>
    <row r="206" spans="1:8" hidden="1" x14ac:dyDescent="0.2">
      <c r="A206" t="s">
        <v>135</v>
      </c>
      <c r="B206" t="s">
        <v>66</v>
      </c>
      <c r="C206" t="s">
        <v>70</v>
      </c>
      <c r="D206" t="s">
        <v>136</v>
      </c>
      <c r="E206" t="s">
        <v>21</v>
      </c>
      <c r="F206">
        <v>19</v>
      </c>
      <c r="G206" t="s">
        <v>26</v>
      </c>
      <c r="H206" t="s">
        <v>14</v>
      </c>
    </row>
    <row r="207" spans="1:8" hidden="1" x14ac:dyDescent="0.2">
      <c r="A207" t="s">
        <v>135</v>
      </c>
      <c r="B207" t="s">
        <v>66</v>
      </c>
      <c r="C207" t="s">
        <v>70</v>
      </c>
      <c r="D207" t="s">
        <v>136</v>
      </c>
      <c r="E207" t="s">
        <v>20</v>
      </c>
      <c r="F207">
        <v>15.2</v>
      </c>
      <c r="G207" t="s">
        <v>26</v>
      </c>
      <c r="H207" t="s">
        <v>14</v>
      </c>
    </row>
    <row r="208" spans="1:8" hidden="1" x14ac:dyDescent="0.2">
      <c r="A208" t="s">
        <v>135</v>
      </c>
      <c r="B208" t="s">
        <v>66</v>
      </c>
      <c r="C208" t="s">
        <v>70</v>
      </c>
      <c r="D208" t="s">
        <v>136</v>
      </c>
      <c r="E208" t="s">
        <v>19</v>
      </c>
      <c r="F208">
        <v>15.2</v>
      </c>
      <c r="G208" t="s">
        <v>26</v>
      </c>
      <c r="H208" t="s">
        <v>14</v>
      </c>
    </row>
    <row r="209" spans="1:8" hidden="1" x14ac:dyDescent="0.2">
      <c r="A209" t="s">
        <v>135</v>
      </c>
      <c r="B209" t="s">
        <v>66</v>
      </c>
      <c r="C209" t="s">
        <v>70</v>
      </c>
      <c r="D209" t="s">
        <v>136</v>
      </c>
      <c r="E209" t="s">
        <v>17</v>
      </c>
      <c r="F209">
        <v>19</v>
      </c>
      <c r="G209" t="s">
        <v>26</v>
      </c>
      <c r="H209" t="s">
        <v>14</v>
      </c>
    </row>
    <row r="210" spans="1:8" hidden="1" x14ac:dyDescent="0.2">
      <c r="A210" t="s">
        <v>137</v>
      </c>
      <c r="B210" t="s">
        <v>66</v>
      </c>
      <c r="C210" t="s">
        <v>70</v>
      </c>
      <c r="D210" t="s">
        <v>138</v>
      </c>
      <c r="E210" t="s">
        <v>22</v>
      </c>
      <c r="F210">
        <v>46</v>
      </c>
      <c r="G210" t="s">
        <v>26</v>
      </c>
      <c r="H210" t="s">
        <v>14</v>
      </c>
    </row>
    <row r="211" spans="1:8" hidden="1" x14ac:dyDescent="0.2">
      <c r="A211" t="s">
        <v>137</v>
      </c>
      <c r="B211" t="s">
        <v>66</v>
      </c>
      <c r="C211" t="s">
        <v>70</v>
      </c>
      <c r="D211" t="s">
        <v>138</v>
      </c>
      <c r="E211" t="s">
        <v>1528</v>
      </c>
      <c r="G211" t="s">
        <v>26</v>
      </c>
      <c r="H211" t="s">
        <v>14</v>
      </c>
    </row>
    <row r="212" spans="1:8" hidden="1" x14ac:dyDescent="0.2">
      <c r="A212" t="s">
        <v>137</v>
      </c>
      <c r="B212" t="s">
        <v>66</v>
      </c>
      <c r="C212" t="s">
        <v>70</v>
      </c>
      <c r="D212" t="s">
        <v>138</v>
      </c>
      <c r="E212" t="s">
        <v>1529</v>
      </c>
      <c r="G212" t="s">
        <v>26</v>
      </c>
      <c r="H212" t="s">
        <v>14</v>
      </c>
    </row>
    <row r="213" spans="1:8" hidden="1" x14ac:dyDescent="0.2">
      <c r="A213" t="s">
        <v>137</v>
      </c>
      <c r="B213" t="s">
        <v>66</v>
      </c>
      <c r="C213" t="s">
        <v>70</v>
      </c>
      <c r="D213" t="s">
        <v>138</v>
      </c>
      <c r="E213" t="s">
        <v>1530</v>
      </c>
      <c r="G213" t="s">
        <v>26</v>
      </c>
      <c r="H213" t="s">
        <v>14</v>
      </c>
    </row>
    <row r="214" spans="1:8" hidden="1" x14ac:dyDescent="0.2">
      <c r="A214" t="s">
        <v>137</v>
      </c>
      <c r="B214" t="s">
        <v>66</v>
      </c>
      <c r="C214" t="s">
        <v>70</v>
      </c>
      <c r="D214" t="s">
        <v>138</v>
      </c>
      <c r="E214" t="s">
        <v>1531</v>
      </c>
      <c r="G214" t="s">
        <v>26</v>
      </c>
      <c r="H214" t="s">
        <v>14</v>
      </c>
    </row>
    <row r="215" spans="1:8" hidden="1" x14ac:dyDescent="0.2">
      <c r="A215" t="s">
        <v>137</v>
      </c>
      <c r="B215" t="s">
        <v>66</v>
      </c>
      <c r="C215" t="s">
        <v>70</v>
      </c>
      <c r="D215" t="s">
        <v>138</v>
      </c>
      <c r="E215" t="s">
        <v>12</v>
      </c>
      <c r="F215">
        <v>9.1999999999999993</v>
      </c>
      <c r="G215" t="s">
        <v>26</v>
      </c>
      <c r="H215" t="s">
        <v>50</v>
      </c>
    </row>
    <row r="216" spans="1:8" hidden="1" x14ac:dyDescent="0.2">
      <c r="A216" t="s">
        <v>137</v>
      </c>
      <c r="B216" t="s">
        <v>66</v>
      </c>
      <c r="C216" t="s">
        <v>70</v>
      </c>
      <c r="D216" t="s">
        <v>138</v>
      </c>
      <c r="E216" t="s">
        <v>21</v>
      </c>
      <c r="F216">
        <v>23</v>
      </c>
      <c r="G216" t="s">
        <v>26</v>
      </c>
      <c r="H216" t="s">
        <v>14</v>
      </c>
    </row>
    <row r="217" spans="1:8" hidden="1" x14ac:dyDescent="0.2">
      <c r="A217" t="s">
        <v>137</v>
      </c>
      <c r="B217" t="s">
        <v>66</v>
      </c>
      <c r="C217" t="s">
        <v>70</v>
      </c>
      <c r="D217" t="s">
        <v>138</v>
      </c>
      <c r="E217" t="s">
        <v>20</v>
      </c>
      <c r="F217">
        <v>18.399999999999999</v>
      </c>
      <c r="G217" t="s">
        <v>26</v>
      </c>
      <c r="H217" t="s">
        <v>14</v>
      </c>
    </row>
    <row r="218" spans="1:8" hidden="1" x14ac:dyDescent="0.2">
      <c r="A218" t="s">
        <v>137</v>
      </c>
      <c r="B218" t="s">
        <v>66</v>
      </c>
      <c r="C218" t="s">
        <v>70</v>
      </c>
      <c r="D218" t="s">
        <v>138</v>
      </c>
      <c r="E218" t="s">
        <v>19</v>
      </c>
      <c r="F218">
        <v>18.399999999999999</v>
      </c>
      <c r="G218" t="s">
        <v>26</v>
      </c>
      <c r="H218" t="s">
        <v>14</v>
      </c>
    </row>
    <row r="219" spans="1:8" hidden="1" x14ac:dyDescent="0.2">
      <c r="A219" t="s">
        <v>137</v>
      </c>
      <c r="B219" t="s">
        <v>66</v>
      </c>
      <c r="C219" t="s">
        <v>70</v>
      </c>
      <c r="D219" t="s">
        <v>138</v>
      </c>
      <c r="E219" t="s">
        <v>17</v>
      </c>
      <c r="F219">
        <v>23</v>
      </c>
      <c r="G219" t="s">
        <v>26</v>
      </c>
      <c r="H219" t="s">
        <v>14</v>
      </c>
    </row>
    <row r="220" spans="1:8" hidden="1" x14ac:dyDescent="0.2">
      <c r="A220" t="s">
        <v>139</v>
      </c>
      <c r="B220" t="s">
        <v>66</v>
      </c>
      <c r="C220" t="s">
        <v>70</v>
      </c>
      <c r="D220" t="s">
        <v>140</v>
      </c>
      <c r="E220" t="s">
        <v>22</v>
      </c>
      <c r="F220">
        <v>160</v>
      </c>
      <c r="G220" t="s">
        <v>26</v>
      </c>
      <c r="H220" t="s">
        <v>14</v>
      </c>
    </row>
    <row r="221" spans="1:8" hidden="1" x14ac:dyDescent="0.2">
      <c r="A221" t="s">
        <v>139</v>
      </c>
      <c r="B221" t="s">
        <v>66</v>
      </c>
      <c r="C221" t="s">
        <v>70</v>
      </c>
      <c r="D221" t="s">
        <v>140</v>
      </c>
      <c r="E221" t="s">
        <v>1528</v>
      </c>
      <c r="G221" t="s">
        <v>26</v>
      </c>
      <c r="H221" t="s">
        <v>14</v>
      </c>
    </row>
    <row r="222" spans="1:8" hidden="1" x14ac:dyDescent="0.2">
      <c r="A222" t="s">
        <v>139</v>
      </c>
      <c r="B222" t="s">
        <v>66</v>
      </c>
      <c r="C222" t="s">
        <v>70</v>
      </c>
      <c r="D222" t="s">
        <v>140</v>
      </c>
      <c r="E222" t="s">
        <v>1529</v>
      </c>
      <c r="G222" t="s">
        <v>26</v>
      </c>
      <c r="H222" t="s">
        <v>14</v>
      </c>
    </row>
    <row r="223" spans="1:8" hidden="1" x14ac:dyDescent="0.2">
      <c r="A223" t="s">
        <v>139</v>
      </c>
      <c r="B223" t="s">
        <v>66</v>
      </c>
      <c r="C223" t="s">
        <v>70</v>
      </c>
      <c r="D223" t="s">
        <v>140</v>
      </c>
      <c r="E223" t="s">
        <v>1530</v>
      </c>
      <c r="G223" t="s">
        <v>26</v>
      </c>
      <c r="H223" t="s">
        <v>14</v>
      </c>
    </row>
    <row r="224" spans="1:8" hidden="1" x14ac:dyDescent="0.2">
      <c r="A224" t="s">
        <v>139</v>
      </c>
      <c r="B224" t="s">
        <v>66</v>
      </c>
      <c r="C224" t="s">
        <v>70</v>
      </c>
      <c r="D224" t="s">
        <v>140</v>
      </c>
      <c r="E224" t="s">
        <v>1531</v>
      </c>
      <c r="G224" t="s">
        <v>26</v>
      </c>
      <c r="H224" t="s">
        <v>14</v>
      </c>
    </row>
    <row r="225" spans="1:8" hidden="1" x14ac:dyDescent="0.2">
      <c r="A225" t="s">
        <v>139</v>
      </c>
      <c r="B225" t="s">
        <v>66</v>
      </c>
      <c r="C225" t="s">
        <v>70</v>
      </c>
      <c r="D225" t="s">
        <v>140</v>
      </c>
      <c r="E225" t="s">
        <v>12</v>
      </c>
      <c r="F225">
        <v>32</v>
      </c>
      <c r="G225" t="s">
        <v>26</v>
      </c>
      <c r="H225" t="s">
        <v>50</v>
      </c>
    </row>
    <row r="226" spans="1:8" hidden="1" x14ac:dyDescent="0.2">
      <c r="A226" t="s">
        <v>139</v>
      </c>
      <c r="B226" t="s">
        <v>66</v>
      </c>
      <c r="C226" t="s">
        <v>70</v>
      </c>
      <c r="D226" t="s">
        <v>140</v>
      </c>
      <c r="E226" t="s">
        <v>21</v>
      </c>
      <c r="F226">
        <v>80</v>
      </c>
      <c r="G226" t="s">
        <v>26</v>
      </c>
      <c r="H226" t="s">
        <v>14</v>
      </c>
    </row>
    <row r="227" spans="1:8" hidden="1" x14ac:dyDescent="0.2">
      <c r="A227" t="s">
        <v>139</v>
      </c>
      <c r="B227" t="s">
        <v>66</v>
      </c>
      <c r="C227" t="s">
        <v>70</v>
      </c>
      <c r="D227" t="s">
        <v>140</v>
      </c>
      <c r="E227" t="s">
        <v>20</v>
      </c>
      <c r="F227">
        <v>64</v>
      </c>
      <c r="G227" t="s">
        <v>26</v>
      </c>
      <c r="H227" t="s">
        <v>14</v>
      </c>
    </row>
    <row r="228" spans="1:8" hidden="1" x14ac:dyDescent="0.2">
      <c r="A228" t="s">
        <v>139</v>
      </c>
      <c r="B228" t="s">
        <v>66</v>
      </c>
      <c r="C228" t="s">
        <v>70</v>
      </c>
      <c r="D228" t="s">
        <v>140</v>
      </c>
      <c r="E228" t="s">
        <v>19</v>
      </c>
      <c r="F228">
        <v>64</v>
      </c>
      <c r="G228" t="s">
        <v>26</v>
      </c>
      <c r="H228" t="s">
        <v>14</v>
      </c>
    </row>
    <row r="229" spans="1:8" hidden="1" x14ac:dyDescent="0.2">
      <c r="A229" t="s">
        <v>139</v>
      </c>
      <c r="B229" t="s">
        <v>66</v>
      </c>
      <c r="C229" t="s">
        <v>70</v>
      </c>
      <c r="D229" t="s">
        <v>140</v>
      </c>
      <c r="E229" t="s">
        <v>17</v>
      </c>
      <c r="F229">
        <v>80</v>
      </c>
      <c r="G229" t="s">
        <v>26</v>
      </c>
      <c r="H229" t="s">
        <v>14</v>
      </c>
    </row>
    <row r="230" spans="1:8" hidden="1" x14ac:dyDescent="0.2">
      <c r="A230" t="s">
        <v>141</v>
      </c>
      <c r="B230" t="s">
        <v>66</v>
      </c>
      <c r="C230" t="s">
        <v>70</v>
      </c>
      <c r="D230" t="s">
        <v>142</v>
      </c>
      <c r="E230" t="s">
        <v>22</v>
      </c>
      <c r="F230">
        <v>37.299999999999997</v>
      </c>
      <c r="G230" t="s">
        <v>31</v>
      </c>
      <c r="H230" t="s">
        <v>51</v>
      </c>
    </row>
    <row r="231" spans="1:8" hidden="1" x14ac:dyDescent="0.2">
      <c r="A231" t="s">
        <v>141</v>
      </c>
      <c r="B231" t="s">
        <v>66</v>
      </c>
      <c r="C231" t="s">
        <v>70</v>
      </c>
      <c r="D231" t="s">
        <v>142</v>
      </c>
      <c r="E231" t="s">
        <v>1528</v>
      </c>
      <c r="G231" t="s">
        <v>31</v>
      </c>
      <c r="H231" t="s">
        <v>51</v>
      </c>
    </row>
    <row r="232" spans="1:8" hidden="1" x14ac:dyDescent="0.2">
      <c r="A232" t="s">
        <v>141</v>
      </c>
      <c r="B232" t="s">
        <v>66</v>
      </c>
      <c r="C232" t="s">
        <v>70</v>
      </c>
      <c r="D232" t="s">
        <v>142</v>
      </c>
      <c r="E232" t="s">
        <v>1529</v>
      </c>
      <c r="G232" t="s">
        <v>31</v>
      </c>
      <c r="H232" t="s">
        <v>51</v>
      </c>
    </row>
    <row r="233" spans="1:8" hidden="1" x14ac:dyDescent="0.2">
      <c r="A233" t="s">
        <v>141</v>
      </c>
      <c r="B233" t="s">
        <v>66</v>
      </c>
      <c r="C233" t="s">
        <v>70</v>
      </c>
      <c r="D233" t="s">
        <v>142</v>
      </c>
      <c r="E233" t="s">
        <v>1530</v>
      </c>
      <c r="G233" t="s">
        <v>31</v>
      </c>
      <c r="H233" t="s">
        <v>51</v>
      </c>
    </row>
    <row r="234" spans="1:8" hidden="1" x14ac:dyDescent="0.2">
      <c r="A234" t="s">
        <v>141</v>
      </c>
      <c r="B234" t="s">
        <v>66</v>
      </c>
      <c r="C234" t="s">
        <v>70</v>
      </c>
      <c r="D234" t="s">
        <v>142</v>
      </c>
      <c r="E234" t="s">
        <v>1531</v>
      </c>
      <c r="G234" t="s">
        <v>31</v>
      </c>
      <c r="H234" t="s">
        <v>51</v>
      </c>
    </row>
    <row r="235" spans="1:8" hidden="1" x14ac:dyDescent="0.2">
      <c r="A235" t="s">
        <v>141</v>
      </c>
      <c r="B235" t="s">
        <v>66</v>
      </c>
      <c r="C235" t="s">
        <v>70</v>
      </c>
      <c r="D235" t="s">
        <v>142</v>
      </c>
      <c r="E235" t="s">
        <v>12</v>
      </c>
      <c r="F235">
        <v>7.5</v>
      </c>
      <c r="G235" t="s">
        <v>31</v>
      </c>
      <c r="H235" t="s">
        <v>27</v>
      </c>
    </row>
    <row r="236" spans="1:8" hidden="1" x14ac:dyDescent="0.2">
      <c r="A236" t="s">
        <v>141</v>
      </c>
      <c r="B236" t="s">
        <v>66</v>
      </c>
      <c r="C236" t="s">
        <v>70</v>
      </c>
      <c r="D236" t="s">
        <v>142</v>
      </c>
      <c r="E236" t="s">
        <v>21</v>
      </c>
      <c r="F236">
        <v>18.600000000000001</v>
      </c>
      <c r="G236" t="s">
        <v>31</v>
      </c>
      <c r="H236" t="s">
        <v>51</v>
      </c>
    </row>
    <row r="237" spans="1:8" hidden="1" x14ac:dyDescent="0.2">
      <c r="A237" t="s">
        <v>141</v>
      </c>
      <c r="B237" t="s">
        <v>66</v>
      </c>
      <c r="C237" t="s">
        <v>70</v>
      </c>
      <c r="D237" t="s">
        <v>142</v>
      </c>
      <c r="E237" t="s">
        <v>20</v>
      </c>
      <c r="F237">
        <v>14.9</v>
      </c>
      <c r="G237" t="s">
        <v>31</v>
      </c>
      <c r="H237" t="s">
        <v>51</v>
      </c>
    </row>
    <row r="238" spans="1:8" hidden="1" x14ac:dyDescent="0.2">
      <c r="A238" t="s">
        <v>141</v>
      </c>
      <c r="B238" t="s">
        <v>66</v>
      </c>
      <c r="C238" t="s">
        <v>70</v>
      </c>
      <c r="D238" t="s">
        <v>142</v>
      </c>
      <c r="E238" t="s">
        <v>19</v>
      </c>
      <c r="F238">
        <v>14.9</v>
      </c>
      <c r="G238" t="s">
        <v>31</v>
      </c>
      <c r="H238" t="s">
        <v>51</v>
      </c>
    </row>
    <row r="239" spans="1:8" hidden="1" x14ac:dyDescent="0.2">
      <c r="A239" t="s">
        <v>141</v>
      </c>
      <c r="B239" t="s">
        <v>66</v>
      </c>
      <c r="C239" t="s">
        <v>70</v>
      </c>
      <c r="D239" t="s">
        <v>142</v>
      </c>
      <c r="E239" t="s">
        <v>17</v>
      </c>
      <c r="F239">
        <v>18.600000000000001</v>
      </c>
      <c r="G239" t="s">
        <v>31</v>
      </c>
      <c r="H239" t="s">
        <v>51</v>
      </c>
    </row>
    <row r="240" spans="1:8" hidden="1" x14ac:dyDescent="0.2">
      <c r="A240" t="s">
        <v>143</v>
      </c>
      <c r="B240" t="s">
        <v>75</v>
      </c>
      <c r="C240" t="s">
        <v>78</v>
      </c>
      <c r="D240" t="s">
        <v>144</v>
      </c>
      <c r="E240" t="s">
        <v>22</v>
      </c>
      <c r="F240">
        <v>800</v>
      </c>
      <c r="G240" t="s">
        <v>31</v>
      </c>
      <c r="H240" t="s">
        <v>18</v>
      </c>
    </row>
    <row r="241" spans="1:8" hidden="1" x14ac:dyDescent="0.2">
      <c r="A241" t="s">
        <v>143</v>
      </c>
      <c r="B241" t="s">
        <v>75</v>
      </c>
      <c r="C241" t="s">
        <v>78</v>
      </c>
      <c r="D241" t="s">
        <v>144</v>
      </c>
      <c r="E241" t="s">
        <v>1528</v>
      </c>
      <c r="G241" t="s">
        <v>31</v>
      </c>
      <c r="H241" t="s">
        <v>18</v>
      </c>
    </row>
    <row r="242" spans="1:8" hidden="1" x14ac:dyDescent="0.2">
      <c r="A242" t="s">
        <v>143</v>
      </c>
      <c r="B242" t="s">
        <v>75</v>
      </c>
      <c r="C242" t="s">
        <v>78</v>
      </c>
      <c r="D242" t="s">
        <v>144</v>
      </c>
      <c r="E242" t="s">
        <v>1529</v>
      </c>
      <c r="G242" t="s">
        <v>31</v>
      </c>
      <c r="H242" t="s">
        <v>18</v>
      </c>
    </row>
    <row r="243" spans="1:8" hidden="1" x14ac:dyDescent="0.2">
      <c r="A243" t="s">
        <v>143</v>
      </c>
      <c r="B243" t="s">
        <v>75</v>
      </c>
      <c r="C243" t="s">
        <v>78</v>
      </c>
      <c r="D243" t="s">
        <v>144</v>
      </c>
      <c r="E243" t="s">
        <v>1530</v>
      </c>
      <c r="G243" t="s">
        <v>31</v>
      </c>
      <c r="H243" t="s">
        <v>18</v>
      </c>
    </row>
    <row r="244" spans="1:8" hidden="1" x14ac:dyDescent="0.2">
      <c r="A244" t="s">
        <v>143</v>
      </c>
      <c r="B244" t="s">
        <v>75</v>
      </c>
      <c r="C244" t="s">
        <v>78</v>
      </c>
      <c r="D244" t="s">
        <v>144</v>
      </c>
      <c r="E244" t="s">
        <v>1531</v>
      </c>
      <c r="G244" t="s">
        <v>31</v>
      </c>
      <c r="H244" t="s">
        <v>18</v>
      </c>
    </row>
    <row r="245" spans="1:8" hidden="1" x14ac:dyDescent="0.2">
      <c r="A245" t="s">
        <v>143</v>
      </c>
      <c r="B245" t="s">
        <v>75</v>
      </c>
      <c r="C245" t="s">
        <v>78</v>
      </c>
      <c r="D245" t="s">
        <v>144</v>
      </c>
      <c r="E245" t="s">
        <v>12</v>
      </c>
      <c r="F245">
        <v>160</v>
      </c>
      <c r="G245" t="s">
        <v>31</v>
      </c>
      <c r="H245" t="s">
        <v>14</v>
      </c>
    </row>
    <row r="246" spans="1:8" hidden="1" x14ac:dyDescent="0.2">
      <c r="A246" t="s">
        <v>143</v>
      </c>
      <c r="B246" t="s">
        <v>75</v>
      </c>
      <c r="C246" t="s">
        <v>78</v>
      </c>
      <c r="D246" t="s">
        <v>144</v>
      </c>
      <c r="E246" t="s">
        <v>21</v>
      </c>
      <c r="F246">
        <v>400</v>
      </c>
      <c r="G246" t="s">
        <v>31</v>
      </c>
      <c r="H246" t="s">
        <v>18</v>
      </c>
    </row>
    <row r="247" spans="1:8" hidden="1" x14ac:dyDescent="0.2">
      <c r="A247" t="s">
        <v>143</v>
      </c>
      <c r="B247" t="s">
        <v>75</v>
      </c>
      <c r="C247" t="s">
        <v>78</v>
      </c>
      <c r="D247" t="s">
        <v>144</v>
      </c>
      <c r="E247" t="s">
        <v>20</v>
      </c>
      <c r="F247">
        <v>320</v>
      </c>
      <c r="G247" t="s">
        <v>31</v>
      </c>
      <c r="H247" t="s">
        <v>18</v>
      </c>
    </row>
    <row r="248" spans="1:8" hidden="1" x14ac:dyDescent="0.2">
      <c r="A248" t="s">
        <v>143</v>
      </c>
      <c r="B248" t="s">
        <v>75</v>
      </c>
      <c r="C248" t="s">
        <v>78</v>
      </c>
      <c r="D248" t="s">
        <v>144</v>
      </c>
      <c r="E248" t="s">
        <v>19</v>
      </c>
      <c r="F248">
        <v>320</v>
      </c>
      <c r="G248" t="s">
        <v>31</v>
      </c>
      <c r="H248" t="s">
        <v>18</v>
      </c>
    </row>
    <row r="249" spans="1:8" hidden="1" x14ac:dyDescent="0.2">
      <c r="A249" t="s">
        <v>143</v>
      </c>
      <c r="B249" t="s">
        <v>75</v>
      </c>
      <c r="C249" t="s">
        <v>78</v>
      </c>
      <c r="D249" t="s">
        <v>144</v>
      </c>
      <c r="E249" t="s">
        <v>17</v>
      </c>
      <c r="F249">
        <v>400</v>
      </c>
      <c r="G249" t="s">
        <v>31</v>
      </c>
      <c r="H249" t="s">
        <v>18</v>
      </c>
    </row>
    <row r="250" spans="1:8" hidden="1" x14ac:dyDescent="0.2">
      <c r="A250" t="s">
        <v>145</v>
      </c>
      <c r="B250" t="s">
        <v>75</v>
      </c>
      <c r="C250" t="s">
        <v>85</v>
      </c>
      <c r="D250" t="s">
        <v>146</v>
      </c>
      <c r="E250" t="s">
        <v>22</v>
      </c>
      <c r="F250">
        <v>213.3</v>
      </c>
      <c r="G250" t="s">
        <v>26</v>
      </c>
      <c r="H250" t="s">
        <v>14</v>
      </c>
    </row>
    <row r="251" spans="1:8" hidden="1" x14ac:dyDescent="0.2">
      <c r="A251" t="s">
        <v>145</v>
      </c>
      <c r="B251" t="s">
        <v>75</v>
      </c>
      <c r="C251" t="s">
        <v>85</v>
      </c>
      <c r="D251" t="s">
        <v>146</v>
      </c>
      <c r="E251" t="s">
        <v>1528</v>
      </c>
      <c r="G251" t="s">
        <v>26</v>
      </c>
      <c r="H251" t="s">
        <v>14</v>
      </c>
    </row>
    <row r="252" spans="1:8" hidden="1" x14ac:dyDescent="0.2">
      <c r="A252" t="s">
        <v>145</v>
      </c>
      <c r="B252" t="s">
        <v>75</v>
      </c>
      <c r="C252" t="s">
        <v>85</v>
      </c>
      <c r="D252" t="s">
        <v>146</v>
      </c>
      <c r="E252" t="s">
        <v>1529</v>
      </c>
      <c r="G252" t="s">
        <v>26</v>
      </c>
      <c r="H252" t="s">
        <v>14</v>
      </c>
    </row>
    <row r="253" spans="1:8" hidden="1" x14ac:dyDescent="0.2">
      <c r="A253" t="s">
        <v>145</v>
      </c>
      <c r="B253" t="s">
        <v>75</v>
      </c>
      <c r="C253" t="s">
        <v>85</v>
      </c>
      <c r="D253" t="s">
        <v>146</v>
      </c>
      <c r="E253" t="s">
        <v>1530</v>
      </c>
      <c r="G253" t="s">
        <v>26</v>
      </c>
      <c r="H253" t="s">
        <v>14</v>
      </c>
    </row>
    <row r="254" spans="1:8" hidden="1" x14ac:dyDescent="0.2">
      <c r="A254" t="s">
        <v>145</v>
      </c>
      <c r="B254" t="s">
        <v>75</v>
      </c>
      <c r="C254" t="s">
        <v>85</v>
      </c>
      <c r="D254" t="s">
        <v>146</v>
      </c>
      <c r="E254" t="s">
        <v>1531</v>
      </c>
      <c r="G254" t="s">
        <v>26</v>
      </c>
      <c r="H254" t="s">
        <v>14</v>
      </c>
    </row>
    <row r="255" spans="1:8" hidden="1" x14ac:dyDescent="0.2">
      <c r="A255" t="s">
        <v>145</v>
      </c>
      <c r="B255" t="s">
        <v>75</v>
      </c>
      <c r="C255" t="s">
        <v>85</v>
      </c>
      <c r="D255" t="s">
        <v>146</v>
      </c>
      <c r="E255" t="s">
        <v>12</v>
      </c>
      <c r="F255">
        <v>42.7</v>
      </c>
      <c r="G255" t="s">
        <v>26</v>
      </c>
      <c r="H255" t="s">
        <v>50</v>
      </c>
    </row>
    <row r="256" spans="1:8" hidden="1" x14ac:dyDescent="0.2">
      <c r="A256" t="s">
        <v>145</v>
      </c>
      <c r="B256" t="s">
        <v>75</v>
      </c>
      <c r="C256" t="s">
        <v>85</v>
      </c>
      <c r="D256" t="s">
        <v>146</v>
      </c>
      <c r="E256" t="s">
        <v>21</v>
      </c>
      <c r="F256">
        <v>106.6</v>
      </c>
      <c r="G256" t="s">
        <v>26</v>
      </c>
      <c r="H256" t="s">
        <v>14</v>
      </c>
    </row>
    <row r="257" spans="1:8" hidden="1" x14ac:dyDescent="0.2">
      <c r="A257" t="s">
        <v>145</v>
      </c>
      <c r="B257" t="s">
        <v>75</v>
      </c>
      <c r="C257" t="s">
        <v>85</v>
      </c>
      <c r="D257" t="s">
        <v>146</v>
      </c>
      <c r="E257" t="s">
        <v>20</v>
      </c>
      <c r="F257">
        <v>85.3</v>
      </c>
      <c r="G257" t="s">
        <v>26</v>
      </c>
      <c r="H257" t="s">
        <v>14</v>
      </c>
    </row>
    <row r="258" spans="1:8" hidden="1" x14ac:dyDescent="0.2">
      <c r="A258" t="s">
        <v>145</v>
      </c>
      <c r="B258" t="s">
        <v>75</v>
      </c>
      <c r="C258" t="s">
        <v>85</v>
      </c>
      <c r="D258" t="s">
        <v>146</v>
      </c>
      <c r="E258" t="s">
        <v>19</v>
      </c>
      <c r="F258">
        <v>85.3</v>
      </c>
      <c r="G258" t="s">
        <v>26</v>
      </c>
      <c r="H258" t="s">
        <v>14</v>
      </c>
    </row>
    <row r="259" spans="1:8" hidden="1" x14ac:dyDescent="0.2">
      <c r="A259" t="s">
        <v>145</v>
      </c>
      <c r="B259" t="s">
        <v>75</v>
      </c>
      <c r="C259" t="s">
        <v>85</v>
      </c>
      <c r="D259" t="s">
        <v>146</v>
      </c>
      <c r="E259" t="s">
        <v>17</v>
      </c>
      <c r="F259">
        <v>106.6</v>
      </c>
      <c r="G259" t="s">
        <v>26</v>
      </c>
      <c r="H259" t="s">
        <v>14</v>
      </c>
    </row>
    <row r="260" spans="1:8" hidden="1" x14ac:dyDescent="0.2">
      <c r="A260" t="s">
        <v>147</v>
      </c>
      <c r="B260" t="s">
        <v>66</v>
      </c>
      <c r="C260" t="s">
        <v>73</v>
      </c>
      <c r="D260" t="s">
        <v>148</v>
      </c>
      <c r="E260" t="s">
        <v>22</v>
      </c>
      <c r="F260">
        <v>26.7</v>
      </c>
      <c r="G260" t="s">
        <v>26</v>
      </c>
      <c r="H260" t="s">
        <v>14</v>
      </c>
    </row>
    <row r="261" spans="1:8" hidden="1" x14ac:dyDescent="0.2">
      <c r="A261" t="s">
        <v>147</v>
      </c>
      <c r="B261" t="s">
        <v>66</v>
      </c>
      <c r="C261" t="s">
        <v>73</v>
      </c>
      <c r="D261" t="s">
        <v>148</v>
      </c>
      <c r="E261" t="s">
        <v>1528</v>
      </c>
      <c r="G261" t="s">
        <v>26</v>
      </c>
      <c r="H261" t="s">
        <v>14</v>
      </c>
    </row>
    <row r="262" spans="1:8" hidden="1" x14ac:dyDescent="0.2">
      <c r="A262" t="s">
        <v>147</v>
      </c>
      <c r="B262" t="s">
        <v>66</v>
      </c>
      <c r="C262" t="s">
        <v>73</v>
      </c>
      <c r="D262" t="s">
        <v>148</v>
      </c>
      <c r="E262" t="s">
        <v>1529</v>
      </c>
      <c r="G262" t="s">
        <v>26</v>
      </c>
      <c r="H262" t="s">
        <v>14</v>
      </c>
    </row>
    <row r="263" spans="1:8" hidden="1" x14ac:dyDescent="0.2">
      <c r="A263" t="s">
        <v>147</v>
      </c>
      <c r="B263" t="s">
        <v>66</v>
      </c>
      <c r="C263" t="s">
        <v>73</v>
      </c>
      <c r="D263" t="s">
        <v>148</v>
      </c>
      <c r="E263" t="s">
        <v>1530</v>
      </c>
      <c r="G263" t="s">
        <v>26</v>
      </c>
      <c r="H263" t="s">
        <v>14</v>
      </c>
    </row>
    <row r="264" spans="1:8" hidden="1" x14ac:dyDescent="0.2">
      <c r="A264" t="s">
        <v>147</v>
      </c>
      <c r="B264" t="s">
        <v>66</v>
      </c>
      <c r="C264" t="s">
        <v>73</v>
      </c>
      <c r="D264" t="s">
        <v>148</v>
      </c>
      <c r="E264" t="s">
        <v>1531</v>
      </c>
      <c r="G264" t="s">
        <v>26</v>
      </c>
      <c r="H264" t="s">
        <v>14</v>
      </c>
    </row>
    <row r="265" spans="1:8" hidden="1" x14ac:dyDescent="0.2">
      <c r="A265" t="s">
        <v>147</v>
      </c>
      <c r="B265" t="s">
        <v>66</v>
      </c>
      <c r="C265" t="s">
        <v>73</v>
      </c>
      <c r="D265" t="s">
        <v>148</v>
      </c>
      <c r="E265" t="s">
        <v>12</v>
      </c>
      <c r="F265">
        <v>5.3</v>
      </c>
      <c r="G265" t="s">
        <v>26</v>
      </c>
      <c r="H265" t="s">
        <v>50</v>
      </c>
    </row>
    <row r="266" spans="1:8" hidden="1" x14ac:dyDescent="0.2">
      <c r="A266" t="s">
        <v>147</v>
      </c>
      <c r="B266" t="s">
        <v>66</v>
      </c>
      <c r="C266" t="s">
        <v>73</v>
      </c>
      <c r="D266" t="s">
        <v>148</v>
      </c>
      <c r="E266" t="s">
        <v>21</v>
      </c>
      <c r="F266">
        <v>13.4</v>
      </c>
      <c r="G266" t="s">
        <v>26</v>
      </c>
      <c r="H266" t="s">
        <v>14</v>
      </c>
    </row>
    <row r="267" spans="1:8" hidden="1" x14ac:dyDescent="0.2">
      <c r="A267" t="s">
        <v>147</v>
      </c>
      <c r="B267" t="s">
        <v>66</v>
      </c>
      <c r="C267" t="s">
        <v>73</v>
      </c>
      <c r="D267" t="s">
        <v>148</v>
      </c>
      <c r="E267" t="s">
        <v>20</v>
      </c>
      <c r="F267">
        <v>10.7</v>
      </c>
      <c r="G267" t="s">
        <v>26</v>
      </c>
      <c r="H267" t="s">
        <v>14</v>
      </c>
    </row>
    <row r="268" spans="1:8" hidden="1" x14ac:dyDescent="0.2">
      <c r="A268" t="s">
        <v>147</v>
      </c>
      <c r="B268" t="s">
        <v>66</v>
      </c>
      <c r="C268" t="s">
        <v>73</v>
      </c>
      <c r="D268" t="s">
        <v>148</v>
      </c>
      <c r="E268" t="s">
        <v>19</v>
      </c>
      <c r="F268">
        <v>10.7</v>
      </c>
      <c r="G268" t="s">
        <v>26</v>
      </c>
      <c r="H268" t="s">
        <v>14</v>
      </c>
    </row>
    <row r="269" spans="1:8" hidden="1" x14ac:dyDescent="0.2">
      <c r="A269" t="s">
        <v>147</v>
      </c>
      <c r="B269" t="s">
        <v>66</v>
      </c>
      <c r="C269" t="s">
        <v>73</v>
      </c>
      <c r="D269" t="s">
        <v>148</v>
      </c>
      <c r="E269" t="s">
        <v>17</v>
      </c>
      <c r="F269">
        <v>13.4</v>
      </c>
      <c r="G269" t="s">
        <v>26</v>
      </c>
      <c r="H269" t="s">
        <v>14</v>
      </c>
    </row>
    <row r="270" spans="1:8" hidden="1" x14ac:dyDescent="0.2">
      <c r="A270" t="s">
        <v>149</v>
      </c>
      <c r="B270" t="s">
        <v>66</v>
      </c>
      <c r="C270" t="s">
        <v>73</v>
      </c>
      <c r="D270" t="s">
        <v>150</v>
      </c>
      <c r="E270" t="s">
        <v>22</v>
      </c>
      <c r="F270">
        <v>160</v>
      </c>
      <c r="G270" t="s">
        <v>26</v>
      </c>
      <c r="H270" t="s">
        <v>14</v>
      </c>
    </row>
    <row r="271" spans="1:8" hidden="1" x14ac:dyDescent="0.2">
      <c r="A271" t="s">
        <v>149</v>
      </c>
      <c r="B271" t="s">
        <v>66</v>
      </c>
      <c r="C271" t="s">
        <v>73</v>
      </c>
      <c r="D271" t="s">
        <v>150</v>
      </c>
      <c r="E271" t="s">
        <v>1528</v>
      </c>
      <c r="G271" t="s">
        <v>26</v>
      </c>
      <c r="H271" t="s">
        <v>14</v>
      </c>
    </row>
    <row r="272" spans="1:8" hidden="1" x14ac:dyDescent="0.2">
      <c r="A272" t="s">
        <v>149</v>
      </c>
      <c r="B272" t="s">
        <v>66</v>
      </c>
      <c r="C272" t="s">
        <v>73</v>
      </c>
      <c r="D272" t="s">
        <v>150</v>
      </c>
      <c r="E272" t="s">
        <v>1529</v>
      </c>
      <c r="G272" t="s">
        <v>26</v>
      </c>
      <c r="H272" t="s">
        <v>14</v>
      </c>
    </row>
    <row r="273" spans="1:8" hidden="1" x14ac:dyDescent="0.2">
      <c r="A273" t="s">
        <v>149</v>
      </c>
      <c r="B273" t="s">
        <v>66</v>
      </c>
      <c r="C273" t="s">
        <v>73</v>
      </c>
      <c r="D273" t="s">
        <v>150</v>
      </c>
      <c r="E273" t="s">
        <v>1530</v>
      </c>
      <c r="G273" t="s">
        <v>26</v>
      </c>
      <c r="H273" t="s">
        <v>14</v>
      </c>
    </row>
    <row r="274" spans="1:8" hidden="1" x14ac:dyDescent="0.2">
      <c r="A274" t="s">
        <v>149</v>
      </c>
      <c r="B274" t="s">
        <v>66</v>
      </c>
      <c r="C274" t="s">
        <v>73</v>
      </c>
      <c r="D274" t="s">
        <v>150</v>
      </c>
      <c r="E274" t="s">
        <v>1531</v>
      </c>
      <c r="G274" t="s">
        <v>26</v>
      </c>
      <c r="H274" t="s">
        <v>14</v>
      </c>
    </row>
    <row r="275" spans="1:8" hidden="1" x14ac:dyDescent="0.2">
      <c r="A275" t="s">
        <v>149</v>
      </c>
      <c r="B275" t="s">
        <v>66</v>
      </c>
      <c r="C275" t="s">
        <v>73</v>
      </c>
      <c r="D275" t="s">
        <v>150</v>
      </c>
      <c r="E275" t="s">
        <v>12</v>
      </c>
      <c r="F275">
        <v>32</v>
      </c>
      <c r="G275" t="s">
        <v>26</v>
      </c>
      <c r="H275" t="s">
        <v>50</v>
      </c>
    </row>
    <row r="276" spans="1:8" hidden="1" x14ac:dyDescent="0.2">
      <c r="A276" t="s">
        <v>149</v>
      </c>
      <c r="B276" t="s">
        <v>66</v>
      </c>
      <c r="C276" t="s">
        <v>73</v>
      </c>
      <c r="D276" t="s">
        <v>150</v>
      </c>
      <c r="E276" t="s">
        <v>21</v>
      </c>
      <c r="F276">
        <v>80</v>
      </c>
      <c r="G276" t="s">
        <v>26</v>
      </c>
      <c r="H276" t="s">
        <v>14</v>
      </c>
    </row>
    <row r="277" spans="1:8" hidden="1" x14ac:dyDescent="0.2">
      <c r="A277" t="s">
        <v>149</v>
      </c>
      <c r="B277" t="s">
        <v>66</v>
      </c>
      <c r="C277" t="s">
        <v>73</v>
      </c>
      <c r="D277" t="s">
        <v>150</v>
      </c>
      <c r="E277" t="s">
        <v>20</v>
      </c>
      <c r="F277">
        <v>64</v>
      </c>
      <c r="G277" t="s">
        <v>26</v>
      </c>
      <c r="H277" t="s">
        <v>14</v>
      </c>
    </row>
    <row r="278" spans="1:8" hidden="1" x14ac:dyDescent="0.2">
      <c r="A278" t="s">
        <v>149</v>
      </c>
      <c r="B278" t="s">
        <v>66</v>
      </c>
      <c r="C278" t="s">
        <v>73</v>
      </c>
      <c r="D278" t="s">
        <v>150</v>
      </c>
      <c r="E278" t="s">
        <v>19</v>
      </c>
      <c r="F278">
        <v>64</v>
      </c>
      <c r="G278" t="s">
        <v>26</v>
      </c>
      <c r="H278" t="s">
        <v>14</v>
      </c>
    </row>
    <row r="279" spans="1:8" hidden="1" x14ac:dyDescent="0.2">
      <c r="A279" t="s">
        <v>149</v>
      </c>
      <c r="B279" t="s">
        <v>66</v>
      </c>
      <c r="C279" t="s">
        <v>73</v>
      </c>
      <c r="D279" t="s">
        <v>150</v>
      </c>
      <c r="E279" t="s">
        <v>17</v>
      </c>
      <c r="F279">
        <v>80</v>
      </c>
      <c r="G279" t="s">
        <v>26</v>
      </c>
      <c r="H279" t="s">
        <v>14</v>
      </c>
    </row>
    <row r="280" spans="1:8" hidden="1" x14ac:dyDescent="0.2">
      <c r="A280" t="s">
        <v>151</v>
      </c>
      <c r="B280" t="s">
        <v>56</v>
      </c>
      <c r="C280" t="s">
        <v>59</v>
      </c>
      <c r="D280" t="s">
        <v>152</v>
      </c>
      <c r="E280" t="s">
        <v>22</v>
      </c>
      <c r="F280">
        <v>1066.7</v>
      </c>
      <c r="G280" t="s">
        <v>13</v>
      </c>
      <c r="H280" t="s">
        <v>18</v>
      </c>
    </row>
    <row r="281" spans="1:8" hidden="1" x14ac:dyDescent="0.2">
      <c r="A281" t="s">
        <v>151</v>
      </c>
      <c r="B281" t="s">
        <v>56</v>
      </c>
      <c r="C281" t="s">
        <v>59</v>
      </c>
      <c r="D281" t="s">
        <v>152</v>
      </c>
      <c r="E281" t="s">
        <v>1528</v>
      </c>
      <c r="G281" t="s">
        <v>13</v>
      </c>
      <c r="H281" t="s">
        <v>18</v>
      </c>
    </row>
    <row r="282" spans="1:8" hidden="1" x14ac:dyDescent="0.2">
      <c r="A282" t="s">
        <v>151</v>
      </c>
      <c r="B282" t="s">
        <v>56</v>
      </c>
      <c r="C282" t="s">
        <v>59</v>
      </c>
      <c r="D282" t="s">
        <v>152</v>
      </c>
      <c r="E282" t="s">
        <v>1529</v>
      </c>
      <c r="G282" t="s">
        <v>13</v>
      </c>
      <c r="H282" t="s">
        <v>18</v>
      </c>
    </row>
    <row r="283" spans="1:8" hidden="1" x14ac:dyDescent="0.2">
      <c r="A283" t="s">
        <v>151</v>
      </c>
      <c r="B283" t="s">
        <v>56</v>
      </c>
      <c r="C283" t="s">
        <v>59</v>
      </c>
      <c r="D283" t="s">
        <v>152</v>
      </c>
      <c r="E283" t="s">
        <v>1530</v>
      </c>
      <c r="G283" t="s">
        <v>13</v>
      </c>
      <c r="H283" t="s">
        <v>18</v>
      </c>
    </row>
    <row r="284" spans="1:8" hidden="1" x14ac:dyDescent="0.2">
      <c r="A284" t="s">
        <v>151</v>
      </c>
      <c r="B284" t="s">
        <v>56</v>
      </c>
      <c r="C284" t="s">
        <v>59</v>
      </c>
      <c r="D284" t="s">
        <v>152</v>
      </c>
      <c r="E284" t="s">
        <v>1531</v>
      </c>
      <c r="G284" t="s">
        <v>13</v>
      </c>
      <c r="H284" t="s">
        <v>18</v>
      </c>
    </row>
    <row r="285" spans="1:8" hidden="1" x14ac:dyDescent="0.2">
      <c r="A285" t="s">
        <v>151</v>
      </c>
      <c r="B285" t="s">
        <v>56</v>
      </c>
      <c r="C285" t="s">
        <v>59</v>
      </c>
      <c r="D285" t="s">
        <v>152</v>
      </c>
      <c r="E285" t="s">
        <v>12</v>
      </c>
      <c r="F285">
        <v>213.3</v>
      </c>
      <c r="G285" t="s">
        <v>13</v>
      </c>
      <c r="H285" t="s">
        <v>14</v>
      </c>
    </row>
    <row r="286" spans="1:8" hidden="1" x14ac:dyDescent="0.2">
      <c r="A286" t="s">
        <v>151</v>
      </c>
      <c r="B286" t="s">
        <v>56</v>
      </c>
      <c r="C286" t="s">
        <v>59</v>
      </c>
      <c r="D286" t="s">
        <v>152</v>
      </c>
      <c r="E286" t="s">
        <v>21</v>
      </c>
      <c r="F286">
        <v>533.4</v>
      </c>
      <c r="G286" t="s">
        <v>13</v>
      </c>
      <c r="H286" t="s">
        <v>18</v>
      </c>
    </row>
    <row r="287" spans="1:8" hidden="1" x14ac:dyDescent="0.2">
      <c r="A287" t="s">
        <v>151</v>
      </c>
      <c r="B287" t="s">
        <v>56</v>
      </c>
      <c r="C287" t="s">
        <v>59</v>
      </c>
      <c r="D287" t="s">
        <v>152</v>
      </c>
      <c r="E287" t="s">
        <v>20</v>
      </c>
      <c r="F287">
        <v>426.7</v>
      </c>
      <c r="G287" t="s">
        <v>13</v>
      </c>
      <c r="H287" t="s">
        <v>18</v>
      </c>
    </row>
    <row r="288" spans="1:8" hidden="1" x14ac:dyDescent="0.2">
      <c r="A288" t="s">
        <v>151</v>
      </c>
      <c r="B288" t="s">
        <v>56</v>
      </c>
      <c r="C288" t="s">
        <v>59</v>
      </c>
      <c r="D288" t="s">
        <v>152</v>
      </c>
      <c r="E288" t="s">
        <v>19</v>
      </c>
      <c r="F288">
        <v>426.7</v>
      </c>
      <c r="G288" t="s">
        <v>13</v>
      </c>
      <c r="H288" t="s">
        <v>18</v>
      </c>
    </row>
    <row r="289" spans="1:8" hidden="1" x14ac:dyDescent="0.2">
      <c r="A289" t="s">
        <v>151</v>
      </c>
      <c r="B289" t="s">
        <v>56</v>
      </c>
      <c r="C289" t="s">
        <v>59</v>
      </c>
      <c r="D289" t="s">
        <v>152</v>
      </c>
      <c r="E289" t="s">
        <v>17</v>
      </c>
      <c r="F289">
        <v>533.4</v>
      </c>
      <c r="G289" t="s">
        <v>13</v>
      </c>
      <c r="H289" t="s">
        <v>18</v>
      </c>
    </row>
    <row r="290" spans="1:8" hidden="1" x14ac:dyDescent="0.2">
      <c r="A290" t="s">
        <v>153</v>
      </c>
      <c r="B290" t="s">
        <v>75</v>
      </c>
      <c r="C290" t="s">
        <v>85</v>
      </c>
      <c r="D290" t="s">
        <v>154</v>
      </c>
      <c r="E290" t="s">
        <v>22</v>
      </c>
      <c r="F290">
        <v>1.1000000000000001</v>
      </c>
      <c r="G290" t="s">
        <v>26</v>
      </c>
      <c r="H290" t="s">
        <v>18</v>
      </c>
    </row>
    <row r="291" spans="1:8" hidden="1" x14ac:dyDescent="0.2">
      <c r="A291" t="s">
        <v>153</v>
      </c>
      <c r="B291" t="s">
        <v>75</v>
      </c>
      <c r="C291" t="s">
        <v>85</v>
      </c>
      <c r="D291" t="s">
        <v>154</v>
      </c>
      <c r="E291" t="s">
        <v>1528</v>
      </c>
      <c r="G291" t="s">
        <v>26</v>
      </c>
      <c r="H291" t="s">
        <v>18</v>
      </c>
    </row>
    <row r="292" spans="1:8" hidden="1" x14ac:dyDescent="0.2">
      <c r="A292" t="s">
        <v>153</v>
      </c>
      <c r="B292" t="s">
        <v>75</v>
      </c>
      <c r="C292" t="s">
        <v>85</v>
      </c>
      <c r="D292" t="s">
        <v>154</v>
      </c>
      <c r="E292" t="s">
        <v>1529</v>
      </c>
      <c r="G292" t="s">
        <v>26</v>
      </c>
      <c r="H292" t="s">
        <v>18</v>
      </c>
    </row>
    <row r="293" spans="1:8" hidden="1" x14ac:dyDescent="0.2">
      <c r="A293" t="s">
        <v>153</v>
      </c>
      <c r="B293" t="s">
        <v>75</v>
      </c>
      <c r="C293" t="s">
        <v>85</v>
      </c>
      <c r="D293" t="s">
        <v>154</v>
      </c>
      <c r="E293" t="s">
        <v>1530</v>
      </c>
      <c r="G293" t="s">
        <v>26</v>
      </c>
      <c r="H293" t="s">
        <v>18</v>
      </c>
    </row>
    <row r="294" spans="1:8" hidden="1" x14ac:dyDescent="0.2">
      <c r="A294" t="s">
        <v>153</v>
      </c>
      <c r="B294" t="s">
        <v>75</v>
      </c>
      <c r="C294" t="s">
        <v>85</v>
      </c>
      <c r="D294" t="s">
        <v>154</v>
      </c>
      <c r="E294" t="s">
        <v>1531</v>
      </c>
      <c r="G294" t="s">
        <v>26</v>
      </c>
      <c r="H294" t="s">
        <v>18</v>
      </c>
    </row>
    <row r="295" spans="1:8" hidden="1" x14ac:dyDescent="0.2">
      <c r="A295" t="s">
        <v>153</v>
      </c>
      <c r="B295" t="s">
        <v>75</v>
      </c>
      <c r="C295" t="s">
        <v>85</v>
      </c>
      <c r="D295" t="s">
        <v>154</v>
      </c>
      <c r="E295" t="s">
        <v>12</v>
      </c>
      <c r="F295">
        <v>0.2</v>
      </c>
      <c r="G295" t="s">
        <v>26</v>
      </c>
      <c r="H295" t="s">
        <v>14</v>
      </c>
    </row>
    <row r="296" spans="1:8" hidden="1" x14ac:dyDescent="0.2">
      <c r="A296" t="s">
        <v>153</v>
      </c>
      <c r="B296" t="s">
        <v>75</v>
      </c>
      <c r="C296" t="s">
        <v>85</v>
      </c>
      <c r="D296" t="s">
        <v>154</v>
      </c>
      <c r="E296" t="s">
        <v>21</v>
      </c>
      <c r="F296">
        <v>0.6</v>
      </c>
      <c r="G296" t="s">
        <v>26</v>
      </c>
      <c r="H296" t="s">
        <v>18</v>
      </c>
    </row>
    <row r="297" spans="1:8" hidden="1" x14ac:dyDescent="0.2">
      <c r="A297" t="s">
        <v>153</v>
      </c>
      <c r="B297" t="s">
        <v>75</v>
      </c>
      <c r="C297" t="s">
        <v>85</v>
      </c>
      <c r="D297" t="s">
        <v>154</v>
      </c>
      <c r="E297" t="s">
        <v>20</v>
      </c>
      <c r="F297">
        <v>0.4</v>
      </c>
      <c r="G297" t="s">
        <v>26</v>
      </c>
      <c r="H297" t="s">
        <v>18</v>
      </c>
    </row>
    <row r="298" spans="1:8" hidden="1" x14ac:dyDescent="0.2">
      <c r="A298" t="s">
        <v>153</v>
      </c>
      <c r="B298" t="s">
        <v>75</v>
      </c>
      <c r="C298" t="s">
        <v>85</v>
      </c>
      <c r="D298" t="s">
        <v>154</v>
      </c>
      <c r="E298" t="s">
        <v>19</v>
      </c>
      <c r="F298">
        <v>0.4</v>
      </c>
      <c r="G298" t="s">
        <v>26</v>
      </c>
      <c r="H298" t="s">
        <v>18</v>
      </c>
    </row>
    <row r="299" spans="1:8" hidden="1" x14ac:dyDescent="0.2">
      <c r="A299" t="s">
        <v>153</v>
      </c>
      <c r="B299" t="s">
        <v>75</v>
      </c>
      <c r="C299" t="s">
        <v>85</v>
      </c>
      <c r="D299" t="s">
        <v>154</v>
      </c>
      <c r="E299" t="s">
        <v>17</v>
      </c>
      <c r="F299">
        <v>0.6</v>
      </c>
      <c r="G299" t="s">
        <v>26</v>
      </c>
      <c r="H299" t="s">
        <v>18</v>
      </c>
    </row>
    <row r="300" spans="1:8" hidden="1" x14ac:dyDescent="0.2">
      <c r="A300" t="s">
        <v>23</v>
      </c>
      <c r="B300" t="s">
        <v>9</v>
      </c>
      <c r="C300" t="s">
        <v>24</v>
      </c>
      <c r="D300" t="s">
        <v>25</v>
      </c>
      <c r="E300" t="s">
        <v>22</v>
      </c>
      <c r="F300">
        <v>140</v>
      </c>
      <c r="G300" t="s">
        <v>26</v>
      </c>
      <c r="H300" t="s">
        <v>27</v>
      </c>
    </row>
    <row r="301" spans="1:8" hidden="1" x14ac:dyDescent="0.2">
      <c r="A301" t="s">
        <v>23</v>
      </c>
      <c r="B301" t="s">
        <v>9</v>
      </c>
      <c r="C301" t="s">
        <v>24</v>
      </c>
      <c r="D301" t="s">
        <v>25</v>
      </c>
      <c r="E301" t="s">
        <v>1528</v>
      </c>
      <c r="G301" t="s">
        <v>26</v>
      </c>
      <c r="H301" t="s">
        <v>27</v>
      </c>
    </row>
    <row r="302" spans="1:8" hidden="1" x14ac:dyDescent="0.2">
      <c r="A302" t="s">
        <v>23</v>
      </c>
      <c r="B302" t="s">
        <v>9</v>
      </c>
      <c r="C302" t="s">
        <v>24</v>
      </c>
      <c r="D302" t="s">
        <v>25</v>
      </c>
      <c r="E302" t="s">
        <v>1529</v>
      </c>
      <c r="G302" t="s">
        <v>26</v>
      </c>
      <c r="H302" t="s">
        <v>27</v>
      </c>
    </row>
    <row r="303" spans="1:8" hidden="1" x14ac:dyDescent="0.2">
      <c r="A303" t="s">
        <v>23</v>
      </c>
      <c r="B303" t="s">
        <v>9</v>
      </c>
      <c r="C303" t="s">
        <v>24</v>
      </c>
      <c r="D303" t="s">
        <v>25</v>
      </c>
      <c r="E303" t="s">
        <v>1530</v>
      </c>
      <c r="G303" t="s">
        <v>26</v>
      </c>
      <c r="H303" t="s">
        <v>27</v>
      </c>
    </row>
    <row r="304" spans="1:8" hidden="1" x14ac:dyDescent="0.2">
      <c r="A304" t="s">
        <v>23</v>
      </c>
      <c r="B304" t="s">
        <v>9</v>
      </c>
      <c r="C304" t="s">
        <v>24</v>
      </c>
      <c r="D304" t="s">
        <v>25</v>
      </c>
      <c r="E304" t="s">
        <v>1531</v>
      </c>
      <c r="G304" t="s">
        <v>26</v>
      </c>
      <c r="H304" t="s">
        <v>27</v>
      </c>
    </row>
    <row r="305" spans="1:8" hidden="1" x14ac:dyDescent="0.2">
      <c r="A305" t="s">
        <v>23</v>
      </c>
      <c r="B305" t="s">
        <v>9</v>
      </c>
      <c r="C305" t="s">
        <v>24</v>
      </c>
      <c r="D305" t="s">
        <v>25</v>
      </c>
      <c r="E305" t="s">
        <v>12</v>
      </c>
      <c r="F305">
        <v>28</v>
      </c>
      <c r="G305" t="s">
        <v>26</v>
      </c>
      <c r="H305" t="s">
        <v>18</v>
      </c>
    </row>
    <row r="306" spans="1:8" hidden="1" x14ac:dyDescent="0.2">
      <c r="A306" t="s">
        <v>23</v>
      </c>
      <c r="B306" t="s">
        <v>9</v>
      </c>
      <c r="C306" t="s">
        <v>24</v>
      </c>
      <c r="D306" t="s">
        <v>25</v>
      </c>
      <c r="E306" t="s">
        <v>21</v>
      </c>
      <c r="F306">
        <v>70</v>
      </c>
      <c r="G306" t="s">
        <v>26</v>
      </c>
      <c r="H306" t="s">
        <v>27</v>
      </c>
    </row>
    <row r="307" spans="1:8" hidden="1" x14ac:dyDescent="0.2">
      <c r="A307" t="s">
        <v>23</v>
      </c>
      <c r="B307" t="s">
        <v>9</v>
      </c>
      <c r="C307" t="s">
        <v>24</v>
      </c>
      <c r="D307" t="s">
        <v>25</v>
      </c>
      <c r="E307" t="s">
        <v>20</v>
      </c>
      <c r="F307">
        <v>56</v>
      </c>
      <c r="G307" t="s">
        <v>26</v>
      </c>
      <c r="H307" t="s">
        <v>27</v>
      </c>
    </row>
    <row r="308" spans="1:8" hidden="1" x14ac:dyDescent="0.2">
      <c r="A308" t="s">
        <v>23</v>
      </c>
      <c r="B308" t="s">
        <v>9</v>
      </c>
      <c r="C308" t="s">
        <v>24</v>
      </c>
      <c r="D308" t="s">
        <v>25</v>
      </c>
      <c r="E308" t="s">
        <v>19</v>
      </c>
      <c r="F308">
        <v>56</v>
      </c>
      <c r="G308" t="s">
        <v>26</v>
      </c>
      <c r="H308" t="s">
        <v>27</v>
      </c>
    </row>
    <row r="309" spans="1:8" hidden="1" x14ac:dyDescent="0.2">
      <c r="A309" t="s">
        <v>23</v>
      </c>
      <c r="B309" t="s">
        <v>9</v>
      </c>
      <c r="C309" t="s">
        <v>24</v>
      </c>
      <c r="D309" t="s">
        <v>25</v>
      </c>
      <c r="E309" t="s">
        <v>17</v>
      </c>
      <c r="F309">
        <v>70</v>
      </c>
      <c r="G309" t="s">
        <v>26</v>
      </c>
      <c r="H309" t="s">
        <v>27</v>
      </c>
    </row>
    <row r="310" spans="1:8" hidden="1" x14ac:dyDescent="0.2">
      <c r="A310" t="s">
        <v>155</v>
      </c>
      <c r="B310" t="s">
        <v>75</v>
      </c>
      <c r="C310" t="s">
        <v>78</v>
      </c>
      <c r="D310" t="s">
        <v>156</v>
      </c>
      <c r="E310" t="s">
        <v>22</v>
      </c>
      <c r="F310">
        <v>213.3</v>
      </c>
      <c r="G310" t="s">
        <v>26</v>
      </c>
      <c r="H310" t="s">
        <v>14</v>
      </c>
    </row>
    <row r="311" spans="1:8" hidden="1" x14ac:dyDescent="0.2">
      <c r="A311" t="s">
        <v>155</v>
      </c>
      <c r="B311" t="s">
        <v>75</v>
      </c>
      <c r="C311" t="s">
        <v>78</v>
      </c>
      <c r="D311" t="s">
        <v>156</v>
      </c>
      <c r="E311" t="s">
        <v>1528</v>
      </c>
      <c r="G311" t="s">
        <v>26</v>
      </c>
      <c r="H311" t="s">
        <v>14</v>
      </c>
    </row>
    <row r="312" spans="1:8" hidden="1" x14ac:dyDescent="0.2">
      <c r="A312" t="s">
        <v>155</v>
      </c>
      <c r="B312" t="s">
        <v>75</v>
      </c>
      <c r="C312" t="s">
        <v>78</v>
      </c>
      <c r="D312" t="s">
        <v>156</v>
      </c>
      <c r="E312" t="s">
        <v>1529</v>
      </c>
      <c r="G312" t="s">
        <v>26</v>
      </c>
      <c r="H312" t="s">
        <v>14</v>
      </c>
    </row>
    <row r="313" spans="1:8" hidden="1" x14ac:dyDescent="0.2">
      <c r="A313" t="s">
        <v>155</v>
      </c>
      <c r="B313" t="s">
        <v>75</v>
      </c>
      <c r="C313" t="s">
        <v>78</v>
      </c>
      <c r="D313" t="s">
        <v>156</v>
      </c>
      <c r="E313" t="s">
        <v>1530</v>
      </c>
      <c r="G313" t="s">
        <v>26</v>
      </c>
      <c r="H313" t="s">
        <v>14</v>
      </c>
    </row>
    <row r="314" spans="1:8" hidden="1" x14ac:dyDescent="0.2">
      <c r="A314" t="s">
        <v>155</v>
      </c>
      <c r="B314" t="s">
        <v>75</v>
      </c>
      <c r="C314" t="s">
        <v>78</v>
      </c>
      <c r="D314" t="s">
        <v>156</v>
      </c>
      <c r="E314" t="s">
        <v>1531</v>
      </c>
      <c r="G314" t="s">
        <v>26</v>
      </c>
      <c r="H314" t="s">
        <v>14</v>
      </c>
    </row>
    <row r="315" spans="1:8" hidden="1" x14ac:dyDescent="0.2">
      <c r="A315" t="s">
        <v>155</v>
      </c>
      <c r="B315" t="s">
        <v>75</v>
      </c>
      <c r="C315" t="s">
        <v>78</v>
      </c>
      <c r="D315" t="s">
        <v>156</v>
      </c>
      <c r="E315" t="s">
        <v>12</v>
      </c>
      <c r="F315">
        <v>42.7</v>
      </c>
      <c r="G315" t="s">
        <v>26</v>
      </c>
      <c r="H315" t="s">
        <v>50</v>
      </c>
    </row>
    <row r="316" spans="1:8" hidden="1" x14ac:dyDescent="0.2">
      <c r="A316" t="s">
        <v>155</v>
      </c>
      <c r="B316" t="s">
        <v>75</v>
      </c>
      <c r="C316" t="s">
        <v>78</v>
      </c>
      <c r="D316" t="s">
        <v>156</v>
      </c>
      <c r="E316" t="s">
        <v>21</v>
      </c>
      <c r="F316">
        <v>106.6</v>
      </c>
      <c r="G316" t="s">
        <v>26</v>
      </c>
      <c r="H316" t="s">
        <v>14</v>
      </c>
    </row>
    <row r="317" spans="1:8" hidden="1" x14ac:dyDescent="0.2">
      <c r="A317" t="s">
        <v>155</v>
      </c>
      <c r="B317" t="s">
        <v>75</v>
      </c>
      <c r="C317" t="s">
        <v>78</v>
      </c>
      <c r="D317" t="s">
        <v>156</v>
      </c>
      <c r="E317" t="s">
        <v>20</v>
      </c>
      <c r="F317">
        <v>85.3</v>
      </c>
      <c r="G317" t="s">
        <v>26</v>
      </c>
      <c r="H317" t="s">
        <v>14</v>
      </c>
    </row>
    <row r="318" spans="1:8" hidden="1" x14ac:dyDescent="0.2">
      <c r="A318" t="s">
        <v>155</v>
      </c>
      <c r="B318" t="s">
        <v>75</v>
      </c>
      <c r="C318" t="s">
        <v>78</v>
      </c>
      <c r="D318" t="s">
        <v>156</v>
      </c>
      <c r="E318" t="s">
        <v>19</v>
      </c>
      <c r="F318">
        <v>85.3</v>
      </c>
      <c r="G318" t="s">
        <v>26</v>
      </c>
      <c r="H318" t="s">
        <v>14</v>
      </c>
    </row>
    <row r="319" spans="1:8" hidden="1" x14ac:dyDescent="0.2">
      <c r="A319" t="s">
        <v>155</v>
      </c>
      <c r="B319" t="s">
        <v>75</v>
      </c>
      <c r="C319" t="s">
        <v>78</v>
      </c>
      <c r="D319" t="s">
        <v>156</v>
      </c>
      <c r="E319" t="s">
        <v>17</v>
      </c>
      <c r="F319">
        <v>106.6</v>
      </c>
      <c r="G319" t="s">
        <v>26</v>
      </c>
      <c r="H319" t="s">
        <v>14</v>
      </c>
    </row>
    <row r="320" spans="1:8" hidden="1" x14ac:dyDescent="0.2">
      <c r="A320" t="s">
        <v>157</v>
      </c>
      <c r="B320" t="s">
        <v>75</v>
      </c>
      <c r="C320" t="s">
        <v>84</v>
      </c>
      <c r="D320" t="s">
        <v>158</v>
      </c>
      <c r="E320" t="s">
        <v>22</v>
      </c>
      <c r="F320">
        <v>264</v>
      </c>
      <c r="G320" t="s">
        <v>26</v>
      </c>
      <c r="H320" t="s">
        <v>18</v>
      </c>
    </row>
    <row r="321" spans="1:8" hidden="1" x14ac:dyDescent="0.2">
      <c r="A321" t="s">
        <v>157</v>
      </c>
      <c r="B321" t="s">
        <v>75</v>
      </c>
      <c r="C321" t="s">
        <v>84</v>
      </c>
      <c r="D321" t="s">
        <v>158</v>
      </c>
      <c r="E321" t="s">
        <v>1528</v>
      </c>
      <c r="G321" t="s">
        <v>26</v>
      </c>
      <c r="H321" t="s">
        <v>18</v>
      </c>
    </row>
    <row r="322" spans="1:8" hidden="1" x14ac:dyDescent="0.2">
      <c r="A322" t="s">
        <v>157</v>
      </c>
      <c r="B322" t="s">
        <v>75</v>
      </c>
      <c r="C322" t="s">
        <v>84</v>
      </c>
      <c r="D322" t="s">
        <v>158</v>
      </c>
      <c r="E322" t="s">
        <v>1529</v>
      </c>
      <c r="G322" t="s">
        <v>26</v>
      </c>
      <c r="H322" t="s">
        <v>18</v>
      </c>
    </row>
    <row r="323" spans="1:8" hidden="1" x14ac:dyDescent="0.2">
      <c r="A323" t="s">
        <v>157</v>
      </c>
      <c r="B323" t="s">
        <v>75</v>
      </c>
      <c r="C323" t="s">
        <v>84</v>
      </c>
      <c r="D323" t="s">
        <v>158</v>
      </c>
      <c r="E323" t="s">
        <v>1530</v>
      </c>
      <c r="G323" t="s">
        <v>26</v>
      </c>
      <c r="H323" t="s">
        <v>18</v>
      </c>
    </row>
    <row r="324" spans="1:8" hidden="1" x14ac:dyDescent="0.2">
      <c r="A324" t="s">
        <v>157</v>
      </c>
      <c r="B324" t="s">
        <v>75</v>
      </c>
      <c r="C324" t="s">
        <v>84</v>
      </c>
      <c r="D324" t="s">
        <v>158</v>
      </c>
      <c r="E324" t="s">
        <v>1531</v>
      </c>
      <c r="G324" t="s">
        <v>26</v>
      </c>
      <c r="H324" t="s">
        <v>18</v>
      </c>
    </row>
    <row r="325" spans="1:8" hidden="1" x14ac:dyDescent="0.2">
      <c r="A325" t="s">
        <v>157</v>
      </c>
      <c r="B325" t="s">
        <v>75</v>
      </c>
      <c r="C325" t="s">
        <v>84</v>
      </c>
      <c r="D325" t="s">
        <v>158</v>
      </c>
      <c r="E325" t="s">
        <v>12</v>
      </c>
      <c r="F325">
        <v>52.8</v>
      </c>
      <c r="G325" t="s">
        <v>26</v>
      </c>
      <c r="H325" t="s">
        <v>14</v>
      </c>
    </row>
    <row r="326" spans="1:8" hidden="1" x14ac:dyDescent="0.2">
      <c r="A326" t="s">
        <v>157</v>
      </c>
      <c r="B326" t="s">
        <v>75</v>
      </c>
      <c r="C326" t="s">
        <v>84</v>
      </c>
      <c r="D326" t="s">
        <v>158</v>
      </c>
      <c r="E326" t="s">
        <v>21</v>
      </c>
      <c r="F326">
        <v>132</v>
      </c>
      <c r="G326" t="s">
        <v>26</v>
      </c>
      <c r="H326" t="s">
        <v>18</v>
      </c>
    </row>
    <row r="327" spans="1:8" hidden="1" x14ac:dyDescent="0.2">
      <c r="A327" t="s">
        <v>157</v>
      </c>
      <c r="B327" t="s">
        <v>75</v>
      </c>
      <c r="C327" t="s">
        <v>84</v>
      </c>
      <c r="D327" t="s">
        <v>158</v>
      </c>
      <c r="E327" t="s">
        <v>20</v>
      </c>
      <c r="F327">
        <v>105.6</v>
      </c>
      <c r="G327" t="s">
        <v>26</v>
      </c>
      <c r="H327" t="s">
        <v>18</v>
      </c>
    </row>
    <row r="328" spans="1:8" hidden="1" x14ac:dyDescent="0.2">
      <c r="A328" t="s">
        <v>157</v>
      </c>
      <c r="B328" t="s">
        <v>75</v>
      </c>
      <c r="C328" t="s">
        <v>84</v>
      </c>
      <c r="D328" t="s">
        <v>158</v>
      </c>
      <c r="E328" t="s">
        <v>19</v>
      </c>
      <c r="F328">
        <v>105.6</v>
      </c>
      <c r="G328" t="s">
        <v>26</v>
      </c>
      <c r="H328" t="s">
        <v>18</v>
      </c>
    </row>
    <row r="329" spans="1:8" hidden="1" x14ac:dyDescent="0.2">
      <c r="A329" t="s">
        <v>157</v>
      </c>
      <c r="B329" t="s">
        <v>75</v>
      </c>
      <c r="C329" t="s">
        <v>84</v>
      </c>
      <c r="D329" t="s">
        <v>158</v>
      </c>
      <c r="E329" t="s">
        <v>17</v>
      </c>
      <c r="F329">
        <v>132</v>
      </c>
      <c r="G329" t="s">
        <v>26</v>
      </c>
      <c r="H329" t="s">
        <v>18</v>
      </c>
    </row>
    <row r="330" spans="1:8" hidden="1" x14ac:dyDescent="0.2">
      <c r="A330" t="s">
        <v>159</v>
      </c>
      <c r="B330" t="s">
        <v>75</v>
      </c>
      <c r="C330" t="s">
        <v>82</v>
      </c>
      <c r="D330" t="s">
        <v>160</v>
      </c>
      <c r="E330" t="s">
        <v>22</v>
      </c>
      <c r="F330">
        <v>106.7</v>
      </c>
      <c r="G330" t="s">
        <v>26</v>
      </c>
      <c r="H330" t="s">
        <v>14</v>
      </c>
    </row>
    <row r="331" spans="1:8" hidden="1" x14ac:dyDescent="0.2">
      <c r="A331" t="s">
        <v>159</v>
      </c>
      <c r="B331" t="s">
        <v>75</v>
      </c>
      <c r="C331" t="s">
        <v>82</v>
      </c>
      <c r="D331" t="s">
        <v>160</v>
      </c>
      <c r="E331" t="s">
        <v>1528</v>
      </c>
      <c r="G331" t="s">
        <v>26</v>
      </c>
      <c r="H331" t="s">
        <v>14</v>
      </c>
    </row>
    <row r="332" spans="1:8" hidden="1" x14ac:dyDescent="0.2">
      <c r="A332" t="s">
        <v>159</v>
      </c>
      <c r="B332" t="s">
        <v>75</v>
      </c>
      <c r="C332" t="s">
        <v>82</v>
      </c>
      <c r="D332" t="s">
        <v>160</v>
      </c>
      <c r="E332" t="s">
        <v>1529</v>
      </c>
      <c r="G332" t="s">
        <v>26</v>
      </c>
      <c r="H332" t="s">
        <v>14</v>
      </c>
    </row>
    <row r="333" spans="1:8" hidden="1" x14ac:dyDescent="0.2">
      <c r="A333" t="s">
        <v>159</v>
      </c>
      <c r="B333" t="s">
        <v>75</v>
      </c>
      <c r="C333" t="s">
        <v>82</v>
      </c>
      <c r="D333" t="s">
        <v>160</v>
      </c>
      <c r="E333" t="s">
        <v>1530</v>
      </c>
      <c r="G333" t="s">
        <v>26</v>
      </c>
      <c r="H333" t="s">
        <v>14</v>
      </c>
    </row>
    <row r="334" spans="1:8" hidden="1" x14ac:dyDescent="0.2">
      <c r="A334" t="s">
        <v>159</v>
      </c>
      <c r="B334" t="s">
        <v>75</v>
      </c>
      <c r="C334" t="s">
        <v>82</v>
      </c>
      <c r="D334" t="s">
        <v>160</v>
      </c>
      <c r="E334" t="s">
        <v>1531</v>
      </c>
      <c r="G334" t="s">
        <v>26</v>
      </c>
      <c r="H334" t="s">
        <v>14</v>
      </c>
    </row>
    <row r="335" spans="1:8" hidden="1" x14ac:dyDescent="0.2">
      <c r="A335" t="s">
        <v>159</v>
      </c>
      <c r="B335" t="s">
        <v>75</v>
      </c>
      <c r="C335" t="s">
        <v>82</v>
      </c>
      <c r="D335" t="s">
        <v>160</v>
      </c>
      <c r="E335" t="s">
        <v>12</v>
      </c>
      <c r="F335">
        <v>21.3</v>
      </c>
      <c r="G335" t="s">
        <v>26</v>
      </c>
      <c r="H335" t="s">
        <v>50</v>
      </c>
    </row>
    <row r="336" spans="1:8" hidden="1" x14ac:dyDescent="0.2">
      <c r="A336" t="s">
        <v>159</v>
      </c>
      <c r="B336" t="s">
        <v>75</v>
      </c>
      <c r="C336" t="s">
        <v>82</v>
      </c>
      <c r="D336" t="s">
        <v>160</v>
      </c>
      <c r="E336" t="s">
        <v>21</v>
      </c>
      <c r="F336">
        <v>53.4</v>
      </c>
      <c r="G336" t="s">
        <v>26</v>
      </c>
      <c r="H336" t="s">
        <v>14</v>
      </c>
    </row>
    <row r="337" spans="1:8" hidden="1" x14ac:dyDescent="0.2">
      <c r="A337" t="s">
        <v>159</v>
      </c>
      <c r="B337" t="s">
        <v>75</v>
      </c>
      <c r="C337" t="s">
        <v>82</v>
      </c>
      <c r="D337" t="s">
        <v>160</v>
      </c>
      <c r="E337" t="s">
        <v>20</v>
      </c>
      <c r="F337">
        <v>42.7</v>
      </c>
      <c r="G337" t="s">
        <v>26</v>
      </c>
      <c r="H337" t="s">
        <v>14</v>
      </c>
    </row>
    <row r="338" spans="1:8" hidden="1" x14ac:dyDescent="0.2">
      <c r="A338" t="s">
        <v>159</v>
      </c>
      <c r="B338" t="s">
        <v>75</v>
      </c>
      <c r="C338" t="s">
        <v>82</v>
      </c>
      <c r="D338" t="s">
        <v>160</v>
      </c>
      <c r="E338" t="s">
        <v>19</v>
      </c>
      <c r="F338">
        <v>42.7</v>
      </c>
      <c r="G338" t="s">
        <v>26</v>
      </c>
      <c r="H338" t="s">
        <v>14</v>
      </c>
    </row>
    <row r="339" spans="1:8" hidden="1" x14ac:dyDescent="0.2">
      <c r="A339" t="s">
        <v>159</v>
      </c>
      <c r="B339" t="s">
        <v>75</v>
      </c>
      <c r="C339" t="s">
        <v>82</v>
      </c>
      <c r="D339" t="s">
        <v>160</v>
      </c>
      <c r="E339" t="s">
        <v>17</v>
      </c>
      <c r="F339">
        <v>53.4</v>
      </c>
      <c r="G339" t="s">
        <v>26</v>
      </c>
      <c r="H339" t="s">
        <v>14</v>
      </c>
    </row>
    <row r="340" spans="1:8" hidden="1" x14ac:dyDescent="0.2">
      <c r="A340" t="s">
        <v>161</v>
      </c>
      <c r="B340" t="s">
        <v>66</v>
      </c>
      <c r="C340" t="s">
        <v>72</v>
      </c>
      <c r="D340" t="s">
        <v>162</v>
      </c>
      <c r="E340" t="s">
        <v>22</v>
      </c>
      <c r="F340">
        <v>240</v>
      </c>
      <c r="G340" t="s">
        <v>26</v>
      </c>
      <c r="H340" t="s">
        <v>27</v>
      </c>
    </row>
    <row r="341" spans="1:8" hidden="1" x14ac:dyDescent="0.2">
      <c r="A341" t="s">
        <v>161</v>
      </c>
      <c r="B341" t="s">
        <v>66</v>
      </c>
      <c r="C341" t="s">
        <v>72</v>
      </c>
      <c r="D341" t="s">
        <v>162</v>
      </c>
      <c r="E341" t="s">
        <v>1528</v>
      </c>
      <c r="G341" t="s">
        <v>26</v>
      </c>
      <c r="H341" t="s">
        <v>27</v>
      </c>
    </row>
    <row r="342" spans="1:8" hidden="1" x14ac:dyDescent="0.2">
      <c r="A342" t="s">
        <v>161</v>
      </c>
      <c r="B342" t="s">
        <v>66</v>
      </c>
      <c r="C342" t="s">
        <v>72</v>
      </c>
      <c r="D342" t="s">
        <v>162</v>
      </c>
      <c r="E342" t="s">
        <v>1529</v>
      </c>
      <c r="G342" t="s">
        <v>26</v>
      </c>
      <c r="H342" t="s">
        <v>27</v>
      </c>
    </row>
    <row r="343" spans="1:8" hidden="1" x14ac:dyDescent="0.2">
      <c r="A343" t="s">
        <v>161</v>
      </c>
      <c r="B343" t="s">
        <v>66</v>
      </c>
      <c r="C343" t="s">
        <v>72</v>
      </c>
      <c r="D343" t="s">
        <v>162</v>
      </c>
      <c r="E343" t="s">
        <v>1530</v>
      </c>
      <c r="G343" t="s">
        <v>26</v>
      </c>
      <c r="H343" t="s">
        <v>27</v>
      </c>
    </row>
    <row r="344" spans="1:8" hidden="1" x14ac:dyDescent="0.2">
      <c r="A344" t="s">
        <v>161</v>
      </c>
      <c r="B344" t="s">
        <v>66</v>
      </c>
      <c r="C344" t="s">
        <v>72</v>
      </c>
      <c r="D344" t="s">
        <v>162</v>
      </c>
      <c r="E344" t="s">
        <v>1531</v>
      </c>
      <c r="G344" t="s">
        <v>26</v>
      </c>
      <c r="H344" t="s">
        <v>27</v>
      </c>
    </row>
    <row r="345" spans="1:8" x14ac:dyDescent="0.2">
      <c r="A345" t="s">
        <v>161</v>
      </c>
      <c r="B345" t="s">
        <v>66</v>
      </c>
      <c r="C345" t="s">
        <v>72</v>
      </c>
      <c r="D345" t="s">
        <v>162</v>
      </c>
      <c r="E345" t="s">
        <v>12</v>
      </c>
      <c r="F345">
        <v>48</v>
      </c>
      <c r="G345" t="s">
        <v>26</v>
      </c>
      <c r="H345" t="s">
        <v>18</v>
      </c>
    </row>
    <row r="346" spans="1:8" hidden="1" x14ac:dyDescent="0.2">
      <c r="A346" t="s">
        <v>161</v>
      </c>
      <c r="B346" t="s">
        <v>66</v>
      </c>
      <c r="C346" t="s">
        <v>72</v>
      </c>
      <c r="D346" t="s">
        <v>162</v>
      </c>
      <c r="E346" t="s">
        <v>21</v>
      </c>
      <c r="F346">
        <v>120</v>
      </c>
      <c r="G346" t="s">
        <v>26</v>
      </c>
      <c r="H346" t="s">
        <v>27</v>
      </c>
    </row>
    <row r="347" spans="1:8" hidden="1" x14ac:dyDescent="0.2">
      <c r="A347" t="s">
        <v>161</v>
      </c>
      <c r="B347" t="s">
        <v>66</v>
      </c>
      <c r="C347" t="s">
        <v>72</v>
      </c>
      <c r="D347" t="s">
        <v>162</v>
      </c>
      <c r="E347" t="s">
        <v>20</v>
      </c>
      <c r="F347">
        <v>96</v>
      </c>
      <c r="G347" t="s">
        <v>26</v>
      </c>
      <c r="H347" t="s">
        <v>27</v>
      </c>
    </row>
    <row r="348" spans="1:8" hidden="1" x14ac:dyDescent="0.2">
      <c r="A348" t="s">
        <v>161</v>
      </c>
      <c r="B348" t="s">
        <v>66</v>
      </c>
      <c r="C348" t="s">
        <v>72</v>
      </c>
      <c r="D348" t="s">
        <v>162</v>
      </c>
      <c r="E348" t="s">
        <v>19</v>
      </c>
      <c r="F348">
        <v>96</v>
      </c>
      <c r="G348" t="s">
        <v>26</v>
      </c>
      <c r="H348" t="s">
        <v>27</v>
      </c>
    </row>
    <row r="349" spans="1:8" hidden="1" x14ac:dyDescent="0.2">
      <c r="A349" t="s">
        <v>161</v>
      </c>
      <c r="B349" t="s">
        <v>66</v>
      </c>
      <c r="C349" t="s">
        <v>72</v>
      </c>
      <c r="D349" t="s">
        <v>162</v>
      </c>
      <c r="E349" t="s">
        <v>17</v>
      </c>
      <c r="F349">
        <v>120</v>
      </c>
      <c r="G349" t="s">
        <v>26</v>
      </c>
      <c r="H349" t="s">
        <v>27</v>
      </c>
    </row>
    <row r="350" spans="1:8" hidden="1" x14ac:dyDescent="0.2">
      <c r="A350" t="s">
        <v>163</v>
      </c>
      <c r="B350" t="s">
        <v>75</v>
      </c>
      <c r="C350" t="s">
        <v>78</v>
      </c>
      <c r="D350" t="s">
        <v>164</v>
      </c>
      <c r="E350" t="s">
        <v>22</v>
      </c>
      <c r="F350">
        <v>433.3</v>
      </c>
      <c r="G350" t="s">
        <v>31</v>
      </c>
      <c r="H350" t="s">
        <v>51</v>
      </c>
    </row>
    <row r="351" spans="1:8" hidden="1" x14ac:dyDescent="0.2">
      <c r="A351" t="s">
        <v>163</v>
      </c>
      <c r="B351" t="s">
        <v>75</v>
      </c>
      <c r="C351" t="s">
        <v>78</v>
      </c>
      <c r="D351" t="s">
        <v>164</v>
      </c>
      <c r="E351" t="s">
        <v>1528</v>
      </c>
      <c r="G351" t="s">
        <v>31</v>
      </c>
      <c r="H351" t="s">
        <v>51</v>
      </c>
    </row>
    <row r="352" spans="1:8" hidden="1" x14ac:dyDescent="0.2">
      <c r="A352" t="s">
        <v>163</v>
      </c>
      <c r="B352" t="s">
        <v>75</v>
      </c>
      <c r="C352" t="s">
        <v>78</v>
      </c>
      <c r="D352" t="s">
        <v>164</v>
      </c>
      <c r="E352" t="s">
        <v>1529</v>
      </c>
      <c r="G352" t="s">
        <v>31</v>
      </c>
      <c r="H352" t="s">
        <v>51</v>
      </c>
    </row>
    <row r="353" spans="1:8" hidden="1" x14ac:dyDescent="0.2">
      <c r="A353" t="s">
        <v>163</v>
      </c>
      <c r="B353" t="s">
        <v>75</v>
      </c>
      <c r="C353" t="s">
        <v>78</v>
      </c>
      <c r="D353" t="s">
        <v>164</v>
      </c>
      <c r="E353" t="s">
        <v>1530</v>
      </c>
      <c r="G353" t="s">
        <v>31</v>
      </c>
      <c r="H353" t="s">
        <v>51</v>
      </c>
    </row>
    <row r="354" spans="1:8" hidden="1" x14ac:dyDescent="0.2">
      <c r="A354" t="s">
        <v>163</v>
      </c>
      <c r="B354" t="s">
        <v>75</v>
      </c>
      <c r="C354" t="s">
        <v>78</v>
      </c>
      <c r="D354" t="s">
        <v>164</v>
      </c>
      <c r="E354" t="s">
        <v>1531</v>
      </c>
      <c r="G354" t="s">
        <v>31</v>
      </c>
      <c r="H354" t="s">
        <v>51</v>
      </c>
    </row>
    <row r="355" spans="1:8" hidden="1" x14ac:dyDescent="0.2">
      <c r="A355" t="s">
        <v>163</v>
      </c>
      <c r="B355" t="s">
        <v>75</v>
      </c>
      <c r="C355" t="s">
        <v>78</v>
      </c>
      <c r="D355" t="s">
        <v>164</v>
      </c>
      <c r="E355" t="s">
        <v>12</v>
      </c>
      <c r="F355">
        <v>86.7</v>
      </c>
      <c r="G355" t="s">
        <v>31</v>
      </c>
      <c r="H355" t="s">
        <v>27</v>
      </c>
    </row>
    <row r="356" spans="1:8" hidden="1" x14ac:dyDescent="0.2">
      <c r="A356" t="s">
        <v>163</v>
      </c>
      <c r="B356" t="s">
        <v>75</v>
      </c>
      <c r="C356" t="s">
        <v>78</v>
      </c>
      <c r="D356" t="s">
        <v>164</v>
      </c>
      <c r="E356" t="s">
        <v>21</v>
      </c>
      <c r="F356">
        <v>216.6</v>
      </c>
      <c r="G356" t="s">
        <v>31</v>
      </c>
      <c r="H356" t="s">
        <v>51</v>
      </c>
    </row>
    <row r="357" spans="1:8" hidden="1" x14ac:dyDescent="0.2">
      <c r="A357" t="s">
        <v>163</v>
      </c>
      <c r="B357" t="s">
        <v>75</v>
      </c>
      <c r="C357" t="s">
        <v>78</v>
      </c>
      <c r="D357" t="s">
        <v>164</v>
      </c>
      <c r="E357" t="s">
        <v>20</v>
      </c>
      <c r="F357">
        <v>173.3</v>
      </c>
      <c r="G357" t="s">
        <v>31</v>
      </c>
      <c r="H357" t="s">
        <v>51</v>
      </c>
    </row>
    <row r="358" spans="1:8" hidden="1" x14ac:dyDescent="0.2">
      <c r="A358" t="s">
        <v>163</v>
      </c>
      <c r="B358" t="s">
        <v>75</v>
      </c>
      <c r="C358" t="s">
        <v>78</v>
      </c>
      <c r="D358" t="s">
        <v>164</v>
      </c>
      <c r="E358" t="s">
        <v>19</v>
      </c>
      <c r="F358">
        <v>173.3</v>
      </c>
      <c r="G358" t="s">
        <v>31</v>
      </c>
      <c r="H358" t="s">
        <v>51</v>
      </c>
    </row>
    <row r="359" spans="1:8" hidden="1" x14ac:dyDescent="0.2">
      <c r="A359" t="s">
        <v>163</v>
      </c>
      <c r="B359" t="s">
        <v>75</v>
      </c>
      <c r="C359" t="s">
        <v>78</v>
      </c>
      <c r="D359" t="s">
        <v>164</v>
      </c>
      <c r="E359" t="s">
        <v>17</v>
      </c>
      <c r="F359">
        <v>216.6</v>
      </c>
      <c r="G359" t="s">
        <v>31</v>
      </c>
      <c r="H359" t="s">
        <v>51</v>
      </c>
    </row>
    <row r="360" spans="1:8" hidden="1" x14ac:dyDescent="0.2">
      <c r="A360" t="s">
        <v>165</v>
      </c>
      <c r="D360" t="s">
        <v>166</v>
      </c>
      <c r="E360" t="s">
        <v>22</v>
      </c>
      <c r="F360">
        <v>140</v>
      </c>
      <c r="G360" t="s">
        <v>26</v>
      </c>
      <c r="H360" t="s">
        <v>51</v>
      </c>
    </row>
    <row r="361" spans="1:8" hidden="1" x14ac:dyDescent="0.2">
      <c r="A361" t="s">
        <v>165</v>
      </c>
      <c r="D361" t="s">
        <v>166</v>
      </c>
      <c r="E361" t="s">
        <v>1528</v>
      </c>
      <c r="G361" t="s">
        <v>26</v>
      </c>
      <c r="H361" t="s">
        <v>51</v>
      </c>
    </row>
    <row r="362" spans="1:8" hidden="1" x14ac:dyDescent="0.2">
      <c r="A362" t="s">
        <v>165</v>
      </c>
      <c r="D362" t="s">
        <v>166</v>
      </c>
      <c r="E362" t="s">
        <v>1529</v>
      </c>
      <c r="G362" t="s">
        <v>26</v>
      </c>
      <c r="H362" t="s">
        <v>51</v>
      </c>
    </row>
    <row r="363" spans="1:8" hidden="1" x14ac:dyDescent="0.2">
      <c r="A363" t="s">
        <v>165</v>
      </c>
      <c r="D363" t="s">
        <v>166</v>
      </c>
      <c r="E363" t="s">
        <v>1530</v>
      </c>
      <c r="G363" t="s">
        <v>26</v>
      </c>
      <c r="H363" t="s">
        <v>51</v>
      </c>
    </row>
    <row r="364" spans="1:8" hidden="1" x14ac:dyDescent="0.2">
      <c r="A364" t="s">
        <v>165</v>
      </c>
      <c r="D364" t="s">
        <v>166</v>
      </c>
      <c r="E364" t="s">
        <v>1531</v>
      </c>
      <c r="G364" t="s">
        <v>26</v>
      </c>
      <c r="H364" t="s">
        <v>51</v>
      </c>
    </row>
    <row r="365" spans="1:8" hidden="1" x14ac:dyDescent="0.2">
      <c r="A365" t="s">
        <v>165</v>
      </c>
      <c r="D365" t="s">
        <v>166</v>
      </c>
      <c r="E365" t="s">
        <v>12</v>
      </c>
      <c r="F365">
        <v>28</v>
      </c>
      <c r="G365" t="s">
        <v>26</v>
      </c>
      <c r="H365" t="s">
        <v>27</v>
      </c>
    </row>
    <row r="366" spans="1:8" hidden="1" x14ac:dyDescent="0.2">
      <c r="A366" t="s">
        <v>165</v>
      </c>
      <c r="D366" t="s">
        <v>166</v>
      </c>
      <c r="E366" t="s">
        <v>21</v>
      </c>
      <c r="F366">
        <v>70</v>
      </c>
      <c r="G366" t="s">
        <v>26</v>
      </c>
      <c r="H366" t="s">
        <v>51</v>
      </c>
    </row>
    <row r="367" spans="1:8" hidden="1" x14ac:dyDescent="0.2">
      <c r="A367" t="s">
        <v>165</v>
      </c>
      <c r="D367" t="s">
        <v>166</v>
      </c>
      <c r="E367" t="s">
        <v>20</v>
      </c>
      <c r="F367">
        <v>56</v>
      </c>
      <c r="G367" t="s">
        <v>26</v>
      </c>
      <c r="H367" t="s">
        <v>51</v>
      </c>
    </row>
    <row r="368" spans="1:8" hidden="1" x14ac:dyDescent="0.2">
      <c r="A368" t="s">
        <v>165</v>
      </c>
      <c r="D368" t="s">
        <v>166</v>
      </c>
      <c r="E368" t="s">
        <v>19</v>
      </c>
      <c r="F368">
        <v>56</v>
      </c>
      <c r="G368" t="s">
        <v>26</v>
      </c>
      <c r="H368" t="s">
        <v>51</v>
      </c>
    </row>
    <row r="369" spans="1:8" hidden="1" x14ac:dyDescent="0.2">
      <c r="A369" t="s">
        <v>165</v>
      </c>
      <c r="D369" t="s">
        <v>166</v>
      </c>
      <c r="E369" t="s">
        <v>17</v>
      </c>
      <c r="F369">
        <v>70</v>
      </c>
      <c r="G369" t="s">
        <v>26</v>
      </c>
      <c r="H369" t="s">
        <v>51</v>
      </c>
    </row>
    <row r="370" spans="1:8" hidden="1" x14ac:dyDescent="0.2">
      <c r="A370" t="s">
        <v>167</v>
      </c>
      <c r="B370" t="s">
        <v>53</v>
      </c>
      <c r="C370" t="s">
        <v>54</v>
      </c>
      <c r="D370" t="s">
        <v>168</v>
      </c>
      <c r="E370" t="s">
        <v>22</v>
      </c>
      <c r="F370">
        <v>800</v>
      </c>
      <c r="G370" t="s">
        <v>26</v>
      </c>
      <c r="H370" t="s">
        <v>51</v>
      </c>
    </row>
    <row r="371" spans="1:8" hidden="1" x14ac:dyDescent="0.2">
      <c r="A371" t="s">
        <v>167</v>
      </c>
      <c r="B371" t="s">
        <v>53</v>
      </c>
      <c r="C371" t="s">
        <v>54</v>
      </c>
      <c r="D371" t="s">
        <v>168</v>
      </c>
      <c r="E371" t="s">
        <v>1528</v>
      </c>
      <c r="G371" t="s">
        <v>26</v>
      </c>
      <c r="H371" t="s">
        <v>51</v>
      </c>
    </row>
    <row r="372" spans="1:8" hidden="1" x14ac:dyDescent="0.2">
      <c r="A372" t="s">
        <v>167</v>
      </c>
      <c r="B372" t="s">
        <v>53</v>
      </c>
      <c r="C372" t="s">
        <v>54</v>
      </c>
      <c r="D372" t="s">
        <v>168</v>
      </c>
      <c r="E372" t="s">
        <v>1529</v>
      </c>
      <c r="G372" t="s">
        <v>26</v>
      </c>
      <c r="H372" t="s">
        <v>51</v>
      </c>
    </row>
    <row r="373" spans="1:8" hidden="1" x14ac:dyDescent="0.2">
      <c r="A373" t="s">
        <v>167</v>
      </c>
      <c r="B373" t="s">
        <v>53</v>
      </c>
      <c r="C373" t="s">
        <v>54</v>
      </c>
      <c r="D373" t="s">
        <v>168</v>
      </c>
      <c r="E373" t="s">
        <v>1530</v>
      </c>
      <c r="G373" t="s">
        <v>26</v>
      </c>
      <c r="H373" t="s">
        <v>51</v>
      </c>
    </row>
    <row r="374" spans="1:8" hidden="1" x14ac:dyDescent="0.2">
      <c r="A374" t="s">
        <v>167</v>
      </c>
      <c r="B374" t="s">
        <v>53</v>
      </c>
      <c r="C374" t="s">
        <v>54</v>
      </c>
      <c r="D374" t="s">
        <v>168</v>
      </c>
      <c r="E374" t="s">
        <v>1531</v>
      </c>
      <c r="G374" t="s">
        <v>26</v>
      </c>
      <c r="H374" t="s">
        <v>51</v>
      </c>
    </row>
    <row r="375" spans="1:8" hidden="1" x14ac:dyDescent="0.2">
      <c r="A375" t="s">
        <v>167</v>
      </c>
      <c r="B375" t="s">
        <v>53</v>
      </c>
      <c r="C375" t="s">
        <v>54</v>
      </c>
      <c r="D375" t="s">
        <v>168</v>
      </c>
      <c r="E375" t="s">
        <v>12</v>
      </c>
      <c r="F375">
        <v>160</v>
      </c>
      <c r="G375" t="s">
        <v>26</v>
      </c>
      <c r="H375" t="s">
        <v>27</v>
      </c>
    </row>
    <row r="376" spans="1:8" hidden="1" x14ac:dyDescent="0.2">
      <c r="A376" t="s">
        <v>167</v>
      </c>
      <c r="B376" t="s">
        <v>53</v>
      </c>
      <c r="C376" t="s">
        <v>54</v>
      </c>
      <c r="D376" t="s">
        <v>168</v>
      </c>
      <c r="E376" t="s">
        <v>21</v>
      </c>
      <c r="F376">
        <v>400</v>
      </c>
      <c r="G376" t="s">
        <v>26</v>
      </c>
      <c r="H376" t="s">
        <v>51</v>
      </c>
    </row>
    <row r="377" spans="1:8" hidden="1" x14ac:dyDescent="0.2">
      <c r="A377" t="s">
        <v>167</v>
      </c>
      <c r="B377" t="s">
        <v>53</v>
      </c>
      <c r="C377" t="s">
        <v>54</v>
      </c>
      <c r="D377" t="s">
        <v>168</v>
      </c>
      <c r="E377" t="s">
        <v>20</v>
      </c>
      <c r="F377">
        <v>320</v>
      </c>
      <c r="G377" t="s">
        <v>26</v>
      </c>
      <c r="H377" t="s">
        <v>51</v>
      </c>
    </row>
    <row r="378" spans="1:8" hidden="1" x14ac:dyDescent="0.2">
      <c r="A378" t="s">
        <v>167</v>
      </c>
      <c r="B378" t="s">
        <v>53</v>
      </c>
      <c r="C378" t="s">
        <v>54</v>
      </c>
      <c r="D378" t="s">
        <v>168</v>
      </c>
      <c r="E378" t="s">
        <v>19</v>
      </c>
      <c r="F378">
        <v>320</v>
      </c>
      <c r="G378" t="s">
        <v>26</v>
      </c>
      <c r="H378" t="s">
        <v>51</v>
      </c>
    </row>
    <row r="379" spans="1:8" hidden="1" x14ac:dyDescent="0.2">
      <c r="A379" t="s">
        <v>167</v>
      </c>
      <c r="B379" t="s">
        <v>53</v>
      </c>
      <c r="C379" t="s">
        <v>54</v>
      </c>
      <c r="D379" t="s">
        <v>168</v>
      </c>
      <c r="E379" t="s">
        <v>17</v>
      </c>
      <c r="F379">
        <v>400</v>
      </c>
      <c r="G379" t="s">
        <v>26</v>
      </c>
      <c r="H379" t="s">
        <v>51</v>
      </c>
    </row>
    <row r="380" spans="1:8" hidden="1" x14ac:dyDescent="0.2">
      <c r="A380" t="s">
        <v>169</v>
      </c>
      <c r="B380" t="s">
        <v>75</v>
      </c>
      <c r="C380" t="s">
        <v>85</v>
      </c>
      <c r="D380" t="s">
        <v>170</v>
      </c>
      <c r="E380" t="s">
        <v>22</v>
      </c>
      <c r="F380">
        <v>433.3</v>
      </c>
      <c r="G380" t="s">
        <v>31</v>
      </c>
      <c r="H380" t="s">
        <v>51</v>
      </c>
    </row>
    <row r="381" spans="1:8" hidden="1" x14ac:dyDescent="0.2">
      <c r="A381" t="s">
        <v>169</v>
      </c>
      <c r="B381" t="s">
        <v>75</v>
      </c>
      <c r="C381" t="s">
        <v>85</v>
      </c>
      <c r="D381" t="s">
        <v>170</v>
      </c>
      <c r="E381" t="s">
        <v>1528</v>
      </c>
      <c r="G381" t="s">
        <v>31</v>
      </c>
      <c r="H381" t="s">
        <v>51</v>
      </c>
    </row>
    <row r="382" spans="1:8" hidden="1" x14ac:dyDescent="0.2">
      <c r="A382" t="s">
        <v>169</v>
      </c>
      <c r="B382" t="s">
        <v>75</v>
      </c>
      <c r="C382" t="s">
        <v>85</v>
      </c>
      <c r="D382" t="s">
        <v>170</v>
      </c>
      <c r="E382" t="s">
        <v>1529</v>
      </c>
      <c r="G382" t="s">
        <v>31</v>
      </c>
      <c r="H382" t="s">
        <v>51</v>
      </c>
    </row>
    <row r="383" spans="1:8" hidden="1" x14ac:dyDescent="0.2">
      <c r="A383" t="s">
        <v>169</v>
      </c>
      <c r="B383" t="s">
        <v>75</v>
      </c>
      <c r="C383" t="s">
        <v>85</v>
      </c>
      <c r="D383" t="s">
        <v>170</v>
      </c>
      <c r="E383" t="s">
        <v>1530</v>
      </c>
      <c r="G383" t="s">
        <v>31</v>
      </c>
      <c r="H383" t="s">
        <v>51</v>
      </c>
    </row>
    <row r="384" spans="1:8" hidden="1" x14ac:dyDescent="0.2">
      <c r="A384" t="s">
        <v>169</v>
      </c>
      <c r="B384" t="s">
        <v>75</v>
      </c>
      <c r="C384" t="s">
        <v>85</v>
      </c>
      <c r="D384" t="s">
        <v>170</v>
      </c>
      <c r="E384" t="s">
        <v>1531</v>
      </c>
      <c r="G384" t="s">
        <v>31</v>
      </c>
      <c r="H384" t="s">
        <v>51</v>
      </c>
    </row>
    <row r="385" spans="1:8" hidden="1" x14ac:dyDescent="0.2">
      <c r="A385" t="s">
        <v>169</v>
      </c>
      <c r="B385" t="s">
        <v>75</v>
      </c>
      <c r="C385" t="s">
        <v>85</v>
      </c>
      <c r="D385" t="s">
        <v>170</v>
      </c>
      <c r="E385" t="s">
        <v>12</v>
      </c>
      <c r="F385">
        <v>86.7</v>
      </c>
      <c r="G385" t="s">
        <v>31</v>
      </c>
      <c r="H385" t="s">
        <v>27</v>
      </c>
    </row>
    <row r="386" spans="1:8" hidden="1" x14ac:dyDescent="0.2">
      <c r="A386" t="s">
        <v>169</v>
      </c>
      <c r="B386" t="s">
        <v>75</v>
      </c>
      <c r="C386" t="s">
        <v>85</v>
      </c>
      <c r="D386" t="s">
        <v>170</v>
      </c>
      <c r="E386" t="s">
        <v>21</v>
      </c>
      <c r="F386">
        <v>216.6</v>
      </c>
      <c r="G386" t="s">
        <v>31</v>
      </c>
      <c r="H386" t="s">
        <v>51</v>
      </c>
    </row>
    <row r="387" spans="1:8" hidden="1" x14ac:dyDescent="0.2">
      <c r="A387" t="s">
        <v>169</v>
      </c>
      <c r="B387" t="s">
        <v>75</v>
      </c>
      <c r="C387" t="s">
        <v>85</v>
      </c>
      <c r="D387" t="s">
        <v>170</v>
      </c>
      <c r="E387" t="s">
        <v>20</v>
      </c>
      <c r="F387">
        <v>173.3</v>
      </c>
      <c r="G387" t="s">
        <v>31</v>
      </c>
      <c r="H387" t="s">
        <v>51</v>
      </c>
    </row>
    <row r="388" spans="1:8" hidden="1" x14ac:dyDescent="0.2">
      <c r="A388" t="s">
        <v>169</v>
      </c>
      <c r="B388" t="s">
        <v>75</v>
      </c>
      <c r="C388" t="s">
        <v>85</v>
      </c>
      <c r="D388" t="s">
        <v>170</v>
      </c>
      <c r="E388" t="s">
        <v>19</v>
      </c>
      <c r="F388">
        <v>173.3</v>
      </c>
      <c r="G388" t="s">
        <v>31</v>
      </c>
      <c r="H388" t="s">
        <v>51</v>
      </c>
    </row>
    <row r="389" spans="1:8" hidden="1" x14ac:dyDescent="0.2">
      <c r="A389" t="s">
        <v>169</v>
      </c>
      <c r="B389" t="s">
        <v>75</v>
      </c>
      <c r="C389" t="s">
        <v>85</v>
      </c>
      <c r="D389" t="s">
        <v>170</v>
      </c>
      <c r="E389" t="s">
        <v>17</v>
      </c>
      <c r="F389">
        <v>216.6</v>
      </c>
      <c r="G389" t="s">
        <v>31</v>
      </c>
      <c r="H389" t="s">
        <v>51</v>
      </c>
    </row>
    <row r="390" spans="1:8" hidden="1" x14ac:dyDescent="0.2">
      <c r="A390" t="s">
        <v>171</v>
      </c>
      <c r="B390" t="s">
        <v>75</v>
      </c>
      <c r="C390" t="s">
        <v>85</v>
      </c>
      <c r="D390" t="s">
        <v>172</v>
      </c>
      <c r="E390" t="s">
        <v>22</v>
      </c>
      <c r="F390">
        <v>266.7</v>
      </c>
      <c r="G390" t="s">
        <v>31</v>
      </c>
      <c r="H390" t="s">
        <v>51</v>
      </c>
    </row>
    <row r="391" spans="1:8" hidden="1" x14ac:dyDescent="0.2">
      <c r="A391" t="s">
        <v>171</v>
      </c>
      <c r="B391" t="s">
        <v>75</v>
      </c>
      <c r="C391" t="s">
        <v>85</v>
      </c>
      <c r="D391" t="s">
        <v>172</v>
      </c>
      <c r="E391" t="s">
        <v>1528</v>
      </c>
      <c r="G391" t="s">
        <v>31</v>
      </c>
      <c r="H391" t="s">
        <v>51</v>
      </c>
    </row>
    <row r="392" spans="1:8" hidden="1" x14ac:dyDescent="0.2">
      <c r="A392" t="s">
        <v>171</v>
      </c>
      <c r="B392" t="s">
        <v>75</v>
      </c>
      <c r="C392" t="s">
        <v>85</v>
      </c>
      <c r="D392" t="s">
        <v>172</v>
      </c>
      <c r="E392" t="s">
        <v>1529</v>
      </c>
      <c r="G392" t="s">
        <v>31</v>
      </c>
      <c r="H392" t="s">
        <v>51</v>
      </c>
    </row>
    <row r="393" spans="1:8" hidden="1" x14ac:dyDescent="0.2">
      <c r="A393" t="s">
        <v>171</v>
      </c>
      <c r="B393" t="s">
        <v>75</v>
      </c>
      <c r="C393" t="s">
        <v>85</v>
      </c>
      <c r="D393" t="s">
        <v>172</v>
      </c>
      <c r="E393" t="s">
        <v>1530</v>
      </c>
      <c r="G393" t="s">
        <v>31</v>
      </c>
      <c r="H393" t="s">
        <v>51</v>
      </c>
    </row>
    <row r="394" spans="1:8" hidden="1" x14ac:dyDescent="0.2">
      <c r="A394" t="s">
        <v>171</v>
      </c>
      <c r="B394" t="s">
        <v>75</v>
      </c>
      <c r="C394" t="s">
        <v>85</v>
      </c>
      <c r="D394" t="s">
        <v>172</v>
      </c>
      <c r="E394" t="s">
        <v>1531</v>
      </c>
      <c r="G394" t="s">
        <v>31</v>
      </c>
      <c r="H394" t="s">
        <v>51</v>
      </c>
    </row>
    <row r="395" spans="1:8" hidden="1" x14ac:dyDescent="0.2">
      <c r="A395" t="s">
        <v>171</v>
      </c>
      <c r="B395" t="s">
        <v>75</v>
      </c>
      <c r="C395" t="s">
        <v>85</v>
      </c>
      <c r="D395" t="s">
        <v>172</v>
      </c>
      <c r="E395" t="s">
        <v>12</v>
      </c>
      <c r="F395">
        <v>53.3</v>
      </c>
      <c r="G395" t="s">
        <v>31</v>
      </c>
      <c r="H395" t="s">
        <v>27</v>
      </c>
    </row>
    <row r="396" spans="1:8" hidden="1" x14ac:dyDescent="0.2">
      <c r="A396" t="s">
        <v>171</v>
      </c>
      <c r="B396" t="s">
        <v>75</v>
      </c>
      <c r="C396" t="s">
        <v>85</v>
      </c>
      <c r="D396" t="s">
        <v>172</v>
      </c>
      <c r="E396" t="s">
        <v>21</v>
      </c>
      <c r="F396">
        <v>133.4</v>
      </c>
      <c r="G396" t="s">
        <v>31</v>
      </c>
      <c r="H396" t="s">
        <v>51</v>
      </c>
    </row>
    <row r="397" spans="1:8" hidden="1" x14ac:dyDescent="0.2">
      <c r="A397" t="s">
        <v>171</v>
      </c>
      <c r="B397" t="s">
        <v>75</v>
      </c>
      <c r="C397" t="s">
        <v>85</v>
      </c>
      <c r="D397" t="s">
        <v>172</v>
      </c>
      <c r="E397" t="s">
        <v>20</v>
      </c>
      <c r="F397">
        <v>106.7</v>
      </c>
      <c r="G397" t="s">
        <v>31</v>
      </c>
      <c r="H397" t="s">
        <v>51</v>
      </c>
    </row>
    <row r="398" spans="1:8" hidden="1" x14ac:dyDescent="0.2">
      <c r="A398" t="s">
        <v>171</v>
      </c>
      <c r="B398" t="s">
        <v>75</v>
      </c>
      <c r="C398" t="s">
        <v>85</v>
      </c>
      <c r="D398" t="s">
        <v>172</v>
      </c>
      <c r="E398" t="s">
        <v>19</v>
      </c>
      <c r="F398">
        <v>106.7</v>
      </c>
      <c r="G398" t="s">
        <v>31</v>
      </c>
      <c r="H398" t="s">
        <v>51</v>
      </c>
    </row>
    <row r="399" spans="1:8" hidden="1" x14ac:dyDescent="0.2">
      <c r="A399" t="s">
        <v>171</v>
      </c>
      <c r="B399" t="s">
        <v>75</v>
      </c>
      <c r="C399" t="s">
        <v>85</v>
      </c>
      <c r="D399" t="s">
        <v>172</v>
      </c>
      <c r="E399" t="s">
        <v>17</v>
      </c>
      <c r="F399">
        <v>133.4</v>
      </c>
      <c r="G399" t="s">
        <v>31</v>
      </c>
      <c r="H399" t="s">
        <v>51</v>
      </c>
    </row>
    <row r="400" spans="1:8" hidden="1" x14ac:dyDescent="0.2">
      <c r="A400" t="s">
        <v>173</v>
      </c>
      <c r="B400" t="s">
        <v>75</v>
      </c>
      <c r="C400" t="s">
        <v>82</v>
      </c>
      <c r="D400" t="s">
        <v>174</v>
      </c>
      <c r="E400" t="s">
        <v>22</v>
      </c>
      <c r="F400">
        <v>440</v>
      </c>
      <c r="G400" t="s">
        <v>26</v>
      </c>
      <c r="H400" t="s">
        <v>27</v>
      </c>
    </row>
    <row r="401" spans="1:8" hidden="1" x14ac:dyDescent="0.2">
      <c r="A401" t="s">
        <v>173</v>
      </c>
      <c r="B401" t="s">
        <v>75</v>
      </c>
      <c r="C401" t="s">
        <v>82</v>
      </c>
      <c r="D401" t="s">
        <v>174</v>
      </c>
      <c r="E401" t="s">
        <v>1528</v>
      </c>
      <c r="G401" t="s">
        <v>26</v>
      </c>
      <c r="H401" t="s">
        <v>27</v>
      </c>
    </row>
    <row r="402" spans="1:8" hidden="1" x14ac:dyDescent="0.2">
      <c r="A402" t="s">
        <v>173</v>
      </c>
      <c r="B402" t="s">
        <v>75</v>
      </c>
      <c r="C402" t="s">
        <v>82</v>
      </c>
      <c r="D402" t="s">
        <v>174</v>
      </c>
      <c r="E402" t="s">
        <v>1529</v>
      </c>
      <c r="G402" t="s">
        <v>26</v>
      </c>
      <c r="H402" t="s">
        <v>27</v>
      </c>
    </row>
    <row r="403" spans="1:8" hidden="1" x14ac:dyDescent="0.2">
      <c r="A403" t="s">
        <v>173</v>
      </c>
      <c r="B403" t="s">
        <v>75</v>
      </c>
      <c r="C403" t="s">
        <v>82</v>
      </c>
      <c r="D403" t="s">
        <v>174</v>
      </c>
      <c r="E403" t="s">
        <v>1530</v>
      </c>
      <c r="G403" t="s">
        <v>26</v>
      </c>
      <c r="H403" t="s">
        <v>27</v>
      </c>
    </row>
    <row r="404" spans="1:8" hidden="1" x14ac:dyDescent="0.2">
      <c r="A404" t="s">
        <v>173</v>
      </c>
      <c r="B404" t="s">
        <v>75</v>
      </c>
      <c r="C404" t="s">
        <v>82</v>
      </c>
      <c r="D404" t="s">
        <v>174</v>
      </c>
      <c r="E404" t="s">
        <v>1531</v>
      </c>
      <c r="G404" t="s">
        <v>26</v>
      </c>
      <c r="H404" t="s">
        <v>27</v>
      </c>
    </row>
    <row r="405" spans="1:8" hidden="1" x14ac:dyDescent="0.2">
      <c r="A405" t="s">
        <v>173</v>
      </c>
      <c r="B405" t="s">
        <v>75</v>
      </c>
      <c r="C405" t="s">
        <v>82</v>
      </c>
      <c r="D405" t="s">
        <v>174</v>
      </c>
      <c r="E405" t="s">
        <v>12</v>
      </c>
      <c r="F405">
        <v>88</v>
      </c>
      <c r="G405" t="s">
        <v>26</v>
      </c>
      <c r="H405" t="s">
        <v>18</v>
      </c>
    </row>
    <row r="406" spans="1:8" hidden="1" x14ac:dyDescent="0.2">
      <c r="A406" t="s">
        <v>173</v>
      </c>
      <c r="B406" t="s">
        <v>75</v>
      </c>
      <c r="C406" t="s">
        <v>82</v>
      </c>
      <c r="D406" t="s">
        <v>174</v>
      </c>
      <c r="E406" t="s">
        <v>21</v>
      </c>
      <c r="F406">
        <v>220</v>
      </c>
      <c r="G406" t="s">
        <v>26</v>
      </c>
      <c r="H406" t="s">
        <v>27</v>
      </c>
    </row>
    <row r="407" spans="1:8" hidden="1" x14ac:dyDescent="0.2">
      <c r="A407" t="s">
        <v>173</v>
      </c>
      <c r="B407" t="s">
        <v>75</v>
      </c>
      <c r="C407" t="s">
        <v>82</v>
      </c>
      <c r="D407" t="s">
        <v>174</v>
      </c>
      <c r="E407" t="s">
        <v>20</v>
      </c>
      <c r="F407">
        <v>176</v>
      </c>
      <c r="G407" t="s">
        <v>26</v>
      </c>
      <c r="H407" t="s">
        <v>27</v>
      </c>
    </row>
    <row r="408" spans="1:8" hidden="1" x14ac:dyDescent="0.2">
      <c r="A408" t="s">
        <v>173</v>
      </c>
      <c r="B408" t="s">
        <v>75</v>
      </c>
      <c r="C408" t="s">
        <v>82</v>
      </c>
      <c r="D408" t="s">
        <v>174</v>
      </c>
      <c r="E408" t="s">
        <v>19</v>
      </c>
      <c r="F408">
        <v>176</v>
      </c>
      <c r="G408" t="s">
        <v>26</v>
      </c>
      <c r="H408" t="s">
        <v>27</v>
      </c>
    </row>
    <row r="409" spans="1:8" hidden="1" x14ac:dyDescent="0.2">
      <c r="A409" t="s">
        <v>173</v>
      </c>
      <c r="B409" t="s">
        <v>75</v>
      </c>
      <c r="C409" t="s">
        <v>82</v>
      </c>
      <c r="D409" t="s">
        <v>174</v>
      </c>
      <c r="E409" t="s">
        <v>17</v>
      </c>
      <c r="F409">
        <v>220</v>
      </c>
      <c r="G409" t="s">
        <v>26</v>
      </c>
      <c r="H409" t="s">
        <v>27</v>
      </c>
    </row>
    <row r="410" spans="1:8" hidden="1" x14ac:dyDescent="0.2">
      <c r="A410" t="s">
        <v>175</v>
      </c>
      <c r="B410" t="s">
        <v>56</v>
      </c>
      <c r="C410" t="s">
        <v>62</v>
      </c>
      <c r="D410" t="s">
        <v>176</v>
      </c>
      <c r="E410" t="s">
        <v>22</v>
      </c>
      <c r="F410">
        <v>533.29999999999995</v>
      </c>
      <c r="G410" t="s">
        <v>26</v>
      </c>
      <c r="H410" t="s">
        <v>27</v>
      </c>
    </row>
    <row r="411" spans="1:8" hidden="1" x14ac:dyDescent="0.2">
      <c r="A411" t="s">
        <v>175</v>
      </c>
      <c r="B411" t="s">
        <v>56</v>
      </c>
      <c r="C411" t="s">
        <v>62</v>
      </c>
      <c r="D411" t="s">
        <v>176</v>
      </c>
      <c r="E411" t="s">
        <v>1528</v>
      </c>
      <c r="G411" t="s">
        <v>26</v>
      </c>
      <c r="H411" t="s">
        <v>27</v>
      </c>
    </row>
    <row r="412" spans="1:8" hidden="1" x14ac:dyDescent="0.2">
      <c r="A412" t="s">
        <v>175</v>
      </c>
      <c r="B412" t="s">
        <v>56</v>
      </c>
      <c r="C412" t="s">
        <v>62</v>
      </c>
      <c r="D412" t="s">
        <v>176</v>
      </c>
      <c r="E412" t="s">
        <v>1529</v>
      </c>
      <c r="G412" t="s">
        <v>26</v>
      </c>
      <c r="H412" t="s">
        <v>27</v>
      </c>
    </row>
    <row r="413" spans="1:8" hidden="1" x14ac:dyDescent="0.2">
      <c r="A413" t="s">
        <v>175</v>
      </c>
      <c r="B413" t="s">
        <v>56</v>
      </c>
      <c r="C413" t="s">
        <v>62</v>
      </c>
      <c r="D413" t="s">
        <v>176</v>
      </c>
      <c r="E413" t="s">
        <v>1530</v>
      </c>
      <c r="G413" t="s">
        <v>26</v>
      </c>
      <c r="H413" t="s">
        <v>27</v>
      </c>
    </row>
    <row r="414" spans="1:8" hidden="1" x14ac:dyDescent="0.2">
      <c r="A414" t="s">
        <v>175</v>
      </c>
      <c r="B414" t="s">
        <v>56</v>
      </c>
      <c r="C414" t="s">
        <v>62</v>
      </c>
      <c r="D414" t="s">
        <v>176</v>
      </c>
      <c r="E414" t="s">
        <v>1531</v>
      </c>
      <c r="G414" t="s">
        <v>26</v>
      </c>
      <c r="H414" t="s">
        <v>27</v>
      </c>
    </row>
    <row r="415" spans="1:8" hidden="1" x14ac:dyDescent="0.2">
      <c r="A415" t="s">
        <v>175</v>
      </c>
      <c r="B415" t="s">
        <v>56</v>
      </c>
      <c r="C415" t="s">
        <v>62</v>
      </c>
      <c r="D415" t="s">
        <v>176</v>
      </c>
      <c r="E415" t="s">
        <v>12</v>
      </c>
      <c r="F415">
        <v>106.7</v>
      </c>
      <c r="G415" t="s">
        <v>26</v>
      </c>
      <c r="H415" t="s">
        <v>18</v>
      </c>
    </row>
    <row r="416" spans="1:8" hidden="1" x14ac:dyDescent="0.2">
      <c r="A416" t="s">
        <v>175</v>
      </c>
      <c r="B416" t="s">
        <v>56</v>
      </c>
      <c r="C416" t="s">
        <v>62</v>
      </c>
      <c r="D416" t="s">
        <v>176</v>
      </c>
      <c r="E416" t="s">
        <v>21</v>
      </c>
      <c r="F416">
        <v>266.60000000000002</v>
      </c>
      <c r="G416" t="s">
        <v>26</v>
      </c>
      <c r="H416" t="s">
        <v>27</v>
      </c>
    </row>
    <row r="417" spans="1:8" hidden="1" x14ac:dyDescent="0.2">
      <c r="A417" t="s">
        <v>175</v>
      </c>
      <c r="B417" t="s">
        <v>56</v>
      </c>
      <c r="C417" t="s">
        <v>62</v>
      </c>
      <c r="D417" t="s">
        <v>176</v>
      </c>
      <c r="E417" t="s">
        <v>20</v>
      </c>
      <c r="F417">
        <v>213.3</v>
      </c>
      <c r="G417" t="s">
        <v>26</v>
      </c>
      <c r="H417" t="s">
        <v>27</v>
      </c>
    </row>
    <row r="418" spans="1:8" hidden="1" x14ac:dyDescent="0.2">
      <c r="A418" t="s">
        <v>175</v>
      </c>
      <c r="B418" t="s">
        <v>56</v>
      </c>
      <c r="C418" t="s">
        <v>62</v>
      </c>
      <c r="D418" t="s">
        <v>176</v>
      </c>
      <c r="E418" t="s">
        <v>19</v>
      </c>
      <c r="F418">
        <v>213.3</v>
      </c>
      <c r="G418" t="s">
        <v>26</v>
      </c>
      <c r="H418" t="s">
        <v>27</v>
      </c>
    </row>
    <row r="419" spans="1:8" hidden="1" x14ac:dyDescent="0.2">
      <c r="A419" t="s">
        <v>175</v>
      </c>
      <c r="B419" t="s">
        <v>56</v>
      </c>
      <c r="C419" t="s">
        <v>62</v>
      </c>
      <c r="D419" t="s">
        <v>176</v>
      </c>
      <c r="E419" t="s">
        <v>17</v>
      </c>
      <c r="F419">
        <v>266.60000000000002</v>
      </c>
      <c r="G419" t="s">
        <v>26</v>
      </c>
      <c r="H419" t="s">
        <v>27</v>
      </c>
    </row>
    <row r="420" spans="1:8" hidden="1" x14ac:dyDescent="0.2">
      <c r="A420" t="s">
        <v>177</v>
      </c>
      <c r="B420" t="s">
        <v>56</v>
      </c>
      <c r="C420" t="s">
        <v>60</v>
      </c>
      <c r="D420" t="s">
        <v>178</v>
      </c>
      <c r="E420" t="s">
        <v>22</v>
      </c>
      <c r="F420">
        <v>106.7</v>
      </c>
      <c r="G420" t="s">
        <v>26</v>
      </c>
      <c r="H420" t="s">
        <v>14</v>
      </c>
    </row>
    <row r="421" spans="1:8" hidden="1" x14ac:dyDescent="0.2">
      <c r="A421" t="s">
        <v>177</v>
      </c>
      <c r="B421" t="s">
        <v>56</v>
      </c>
      <c r="C421" t="s">
        <v>60</v>
      </c>
      <c r="D421" t="s">
        <v>178</v>
      </c>
      <c r="E421" t="s">
        <v>1528</v>
      </c>
      <c r="G421" t="s">
        <v>26</v>
      </c>
      <c r="H421" t="s">
        <v>14</v>
      </c>
    </row>
    <row r="422" spans="1:8" hidden="1" x14ac:dyDescent="0.2">
      <c r="A422" t="s">
        <v>177</v>
      </c>
      <c r="B422" t="s">
        <v>56</v>
      </c>
      <c r="C422" t="s">
        <v>60</v>
      </c>
      <c r="D422" t="s">
        <v>178</v>
      </c>
      <c r="E422" t="s">
        <v>1529</v>
      </c>
      <c r="G422" t="s">
        <v>26</v>
      </c>
      <c r="H422" t="s">
        <v>14</v>
      </c>
    </row>
    <row r="423" spans="1:8" hidden="1" x14ac:dyDescent="0.2">
      <c r="A423" t="s">
        <v>177</v>
      </c>
      <c r="B423" t="s">
        <v>56</v>
      </c>
      <c r="C423" t="s">
        <v>60</v>
      </c>
      <c r="D423" t="s">
        <v>178</v>
      </c>
      <c r="E423" t="s">
        <v>1530</v>
      </c>
      <c r="G423" t="s">
        <v>26</v>
      </c>
      <c r="H423" t="s">
        <v>14</v>
      </c>
    </row>
    <row r="424" spans="1:8" hidden="1" x14ac:dyDescent="0.2">
      <c r="A424" t="s">
        <v>177</v>
      </c>
      <c r="B424" t="s">
        <v>56</v>
      </c>
      <c r="C424" t="s">
        <v>60</v>
      </c>
      <c r="D424" t="s">
        <v>178</v>
      </c>
      <c r="E424" t="s">
        <v>1531</v>
      </c>
      <c r="G424" t="s">
        <v>26</v>
      </c>
      <c r="H424" t="s">
        <v>14</v>
      </c>
    </row>
    <row r="425" spans="1:8" hidden="1" x14ac:dyDescent="0.2">
      <c r="A425" t="s">
        <v>177</v>
      </c>
      <c r="B425" t="s">
        <v>56</v>
      </c>
      <c r="C425" t="s">
        <v>60</v>
      </c>
      <c r="D425" t="s">
        <v>178</v>
      </c>
      <c r="E425" t="s">
        <v>12</v>
      </c>
      <c r="F425">
        <v>21.3</v>
      </c>
      <c r="G425" t="s">
        <v>26</v>
      </c>
      <c r="H425" t="s">
        <v>50</v>
      </c>
    </row>
    <row r="426" spans="1:8" hidden="1" x14ac:dyDescent="0.2">
      <c r="A426" t="s">
        <v>177</v>
      </c>
      <c r="B426" t="s">
        <v>56</v>
      </c>
      <c r="C426" t="s">
        <v>60</v>
      </c>
      <c r="D426" t="s">
        <v>178</v>
      </c>
      <c r="E426" t="s">
        <v>21</v>
      </c>
      <c r="F426">
        <v>53.4</v>
      </c>
      <c r="G426" t="s">
        <v>26</v>
      </c>
      <c r="H426" t="s">
        <v>14</v>
      </c>
    </row>
    <row r="427" spans="1:8" hidden="1" x14ac:dyDescent="0.2">
      <c r="A427" t="s">
        <v>177</v>
      </c>
      <c r="B427" t="s">
        <v>56</v>
      </c>
      <c r="C427" t="s">
        <v>60</v>
      </c>
      <c r="D427" t="s">
        <v>178</v>
      </c>
      <c r="E427" t="s">
        <v>20</v>
      </c>
      <c r="F427">
        <v>42.7</v>
      </c>
      <c r="G427" t="s">
        <v>26</v>
      </c>
      <c r="H427" t="s">
        <v>14</v>
      </c>
    </row>
    <row r="428" spans="1:8" hidden="1" x14ac:dyDescent="0.2">
      <c r="A428" t="s">
        <v>177</v>
      </c>
      <c r="B428" t="s">
        <v>56</v>
      </c>
      <c r="C428" t="s">
        <v>60</v>
      </c>
      <c r="D428" t="s">
        <v>178</v>
      </c>
      <c r="E428" t="s">
        <v>19</v>
      </c>
      <c r="F428">
        <v>42.7</v>
      </c>
      <c r="G428" t="s">
        <v>26</v>
      </c>
      <c r="H428" t="s">
        <v>14</v>
      </c>
    </row>
    <row r="429" spans="1:8" hidden="1" x14ac:dyDescent="0.2">
      <c r="A429" t="s">
        <v>177</v>
      </c>
      <c r="B429" t="s">
        <v>56</v>
      </c>
      <c r="C429" t="s">
        <v>60</v>
      </c>
      <c r="D429" t="s">
        <v>178</v>
      </c>
      <c r="E429" t="s">
        <v>17</v>
      </c>
      <c r="F429">
        <v>53.4</v>
      </c>
      <c r="G429" t="s">
        <v>26</v>
      </c>
      <c r="H429" t="s">
        <v>14</v>
      </c>
    </row>
    <row r="430" spans="1:8" hidden="1" x14ac:dyDescent="0.2">
      <c r="A430" t="s">
        <v>179</v>
      </c>
      <c r="B430" t="s">
        <v>75</v>
      </c>
      <c r="C430" t="s">
        <v>84</v>
      </c>
      <c r="D430" t="s">
        <v>180</v>
      </c>
      <c r="E430" t="s">
        <v>22</v>
      </c>
      <c r="F430">
        <v>373.3</v>
      </c>
      <c r="G430" t="s">
        <v>26</v>
      </c>
      <c r="H430" t="s">
        <v>14</v>
      </c>
    </row>
    <row r="431" spans="1:8" hidden="1" x14ac:dyDescent="0.2">
      <c r="A431" t="s">
        <v>179</v>
      </c>
      <c r="B431" t="s">
        <v>75</v>
      </c>
      <c r="C431" t="s">
        <v>84</v>
      </c>
      <c r="D431" t="s">
        <v>180</v>
      </c>
      <c r="E431" t="s">
        <v>1528</v>
      </c>
      <c r="G431" t="s">
        <v>26</v>
      </c>
      <c r="H431" t="s">
        <v>14</v>
      </c>
    </row>
    <row r="432" spans="1:8" hidden="1" x14ac:dyDescent="0.2">
      <c r="A432" t="s">
        <v>179</v>
      </c>
      <c r="B432" t="s">
        <v>75</v>
      </c>
      <c r="C432" t="s">
        <v>84</v>
      </c>
      <c r="D432" t="s">
        <v>180</v>
      </c>
      <c r="E432" t="s">
        <v>1529</v>
      </c>
      <c r="G432" t="s">
        <v>26</v>
      </c>
      <c r="H432" t="s">
        <v>14</v>
      </c>
    </row>
    <row r="433" spans="1:8" hidden="1" x14ac:dyDescent="0.2">
      <c r="A433" t="s">
        <v>179</v>
      </c>
      <c r="B433" t="s">
        <v>75</v>
      </c>
      <c r="C433" t="s">
        <v>84</v>
      </c>
      <c r="D433" t="s">
        <v>180</v>
      </c>
      <c r="E433" t="s">
        <v>1530</v>
      </c>
      <c r="G433" t="s">
        <v>26</v>
      </c>
      <c r="H433" t="s">
        <v>14</v>
      </c>
    </row>
    <row r="434" spans="1:8" hidden="1" x14ac:dyDescent="0.2">
      <c r="A434" t="s">
        <v>179</v>
      </c>
      <c r="B434" t="s">
        <v>75</v>
      </c>
      <c r="C434" t="s">
        <v>84</v>
      </c>
      <c r="D434" t="s">
        <v>180</v>
      </c>
      <c r="E434" t="s">
        <v>1531</v>
      </c>
      <c r="G434" t="s">
        <v>26</v>
      </c>
      <c r="H434" t="s">
        <v>14</v>
      </c>
    </row>
    <row r="435" spans="1:8" hidden="1" x14ac:dyDescent="0.2">
      <c r="A435" t="s">
        <v>179</v>
      </c>
      <c r="B435" t="s">
        <v>75</v>
      </c>
      <c r="C435" t="s">
        <v>84</v>
      </c>
      <c r="D435" t="s">
        <v>180</v>
      </c>
      <c r="E435" t="s">
        <v>12</v>
      </c>
      <c r="F435">
        <v>74.7</v>
      </c>
      <c r="G435" t="s">
        <v>26</v>
      </c>
      <c r="H435" t="s">
        <v>50</v>
      </c>
    </row>
    <row r="436" spans="1:8" hidden="1" x14ac:dyDescent="0.2">
      <c r="A436" t="s">
        <v>179</v>
      </c>
      <c r="B436" t="s">
        <v>75</v>
      </c>
      <c r="C436" t="s">
        <v>84</v>
      </c>
      <c r="D436" t="s">
        <v>180</v>
      </c>
      <c r="E436" t="s">
        <v>21</v>
      </c>
      <c r="F436">
        <v>186.6</v>
      </c>
      <c r="G436" t="s">
        <v>26</v>
      </c>
      <c r="H436" t="s">
        <v>14</v>
      </c>
    </row>
    <row r="437" spans="1:8" hidden="1" x14ac:dyDescent="0.2">
      <c r="A437" t="s">
        <v>179</v>
      </c>
      <c r="B437" t="s">
        <v>75</v>
      </c>
      <c r="C437" t="s">
        <v>84</v>
      </c>
      <c r="D437" t="s">
        <v>180</v>
      </c>
      <c r="E437" t="s">
        <v>20</v>
      </c>
      <c r="F437">
        <v>149.30000000000001</v>
      </c>
      <c r="G437" t="s">
        <v>26</v>
      </c>
      <c r="H437" t="s">
        <v>14</v>
      </c>
    </row>
    <row r="438" spans="1:8" hidden="1" x14ac:dyDescent="0.2">
      <c r="A438" t="s">
        <v>179</v>
      </c>
      <c r="B438" t="s">
        <v>75</v>
      </c>
      <c r="C438" t="s">
        <v>84</v>
      </c>
      <c r="D438" t="s">
        <v>180</v>
      </c>
      <c r="E438" t="s">
        <v>19</v>
      </c>
      <c r="F438">
        <v>149.30000000000001</v>
      </c>
      <c r="G438" t="s">
        <v>26</v>
      </c>
      <c r="H438" t="s">
        <v>14</v>
      </c>
    </row>
    <row r="439" spans="1:8" hidden="1" x14ac:dyDescent="0.2">
      <c r="A439" t="s">
        <v>179</v>
      </c>
      <c r="B439" t="s">
        <v>75</v>
      </c>
      <c r="C439" t="s">
        <v>84</v>
      </c>
      <c r="D439" t="s">
        <v>180</v>
      </c>
      <c r="E439" t="s">
        <v>17</v>
      </c>
      <c r="F439">
        <v>186.6</v>
      </c>
      <c r="G439" t="s">
        <v>26</v>
      </c>
      <c r="H439" t="s">
        <v>14</v>
      </c>
    </row>
    <row r="440" spans="1:8" hidden="1" x14ac:dyDescent="0.2">
      <c r="A440" t="s">
        <v>181</v>
      </c>
      <c r="B440" t="s">
        <v>56</v>
      </c>
      <c r="C440" t="s">
        <v>60</v>
      </c>
      <c r="D440" t="s">
        <v>182</v>
      </c>
      <c r="E440" t="s">
        <v>22</v>
      </c>
      <c r="F440">
        <v>29.3</v>
      </c>
      <c r="G440" t="s">
        <v>26</v>
      </c>
      <c r="H440" t="s">
        <v>14</v>
      </c>
    </row>
    <row r="441" spans="1:8" hidden="1" x14ac:dyDescent="0.2">
      <c r="A441" t="s">
        <v>181</v>
      </c>
      <c r="B441" t="s">
        <v>56</v>
      </c>
      <c r="C441" t="s">
        <v>60</v>
      </c>
      <c r="D441" t="s">
        <v>182</v>
      </c>
      <c r="E441" t="s">
        <v>1528</v>
      </c>
      <c r="G441" t="s">
        <v>26</v>
      </c>
      <c r="H441" t="s">
        <v>14</v>
      </c>
    </row>
    <row r="442" spans="1:8" hidden="1" x14ac:dyDescent="0.2">
      <c r="A442" t="s">
        <v>181</v>
      </c>
      <c r="B442" t="s">
        <v>56</v>
      </c>
      <c r="C442" t="s">
        <v>60</v>
      </c>
      <c r="D442" t="s">
        <v>182</v>
      </c>
      <c r="E442" t="s">
        <v>1529</v>
      </c>
      <c r="G442" t="s">
        <v>26</v>
      </c>
      <c r="H442" t="s">
        <v>14</v>
      </c>
    </row>
    <row r="443" spans="1:8" hidden="1" x14ac:dyDescent="0.2">
      <c r="A443" t="s">
        <v>181</v>
      </c>
      <c r="B443" t="s">
        <v>56</v>
      </c>
      <c r="C443" t="s">
        <v>60</v>
      </c>
      <c r="D443" t="s">
        <v>182</v>
      </c>
      <c r="E443" t="s">
        <v>1530</v>
      </c>
      <c r="G443" t="s">
        <v>26</v>
      </c>
      <c r="H443" t="s">
        <v>14</v>
      </c>
    </row>
    <row r="444" spans="1:8" hidden="1" x14ac:dyDescent="0.2">
      <c r="A444" t="s">
        <v>181</v>
      </c>
      <c r="B444" t="s">
        <v>56</v>
      </c>
      <c r="C444" t="s">
        <v>60</v>
      </c>
      <c r="D444" t="s">
        <v>182</v>
      </c>
      <c r="E444" t="s">
        <v>1531</v>
      </c>
      <c r="G444" t="s">
        <v>26</v>
      </c>
      <c r="H444" t="s">
        <v>14</v>
      </c>
    </row>
    <row r="445" spans="1:8" hidden="1" x14ac:dyDescent="0.2">
      <c r="A445" t="s">
        <v>181</v>
      </c>
      <c r="B445" t="s">
        <v>56</v>
      </c>
      <c r="C445" t="s">
        <v>60</v>
      </c>
      <c r="D445" t="s">
        <v>182</v>
      </c>
      <c r="E445" t="s">
        <v>12</v>
      </c>
      <c r="F445">
        <v>5.9</v>
      </c>
      <c r="G445" t="s">
        <v>26</v>
      </c>
      <c r="H445" t="s">
        <v>50</v>
      </c>
    </row>
    <row r="446" spans="1:8" hidden="1" x14ac:dyDescent="0.2">
      <c r="A446" t="s">
        <v>181</v>
      </c>
      <c r="B446" t="s">
        <v>56</v>
      </c>
      <c r="C446" t="s">
        <v>60</v>
      </c>
      <c r="D446" t="s">
        <v>182</v>
      </c>
      <c r="E446" t="s">
        <v>21</v>
      </c>
      <c r="F446">
        <v>14.6</v>
      </c>
      <c r="G446" t="s">
        <v>26</v>
      </c>
      <c r="H446" t="s">
        <v>14</v>
      </c>
    </row>
    <row r="447" spans="1:8" hidden="1" x14ac:dyDescent="0.2">
      <c r="A447" t="s">
        <v>181</v>
      </c>
      <c r="B447" t="s">
        <v>56</v>
      </c>
      <c r="C447" t="s">
        <v>60</v>
      </c>
      <c r="D447" t="s">
        <v>182</v>
      </c>
      <c r="E447" t="s">
        <v>20</v>
      </c>
      <c r="F447">
        <v>11.7</v>
      </c>
      <c r="G447" t="s">
        <v>26</v>
      </c>
      <c r="H447" t="s">
        <v>14</v>
      </c>
    </row>
    <row r="448" spans="1:8" hidden="1" x14ac:dyDescent="0.2">
      <c r="A448" t="s">
        <v>181</v>
      </c>
      <c r="B448" t="s">
        <v>56</v>
      </c>
      <c r="C448" t="s">
        <v>60</v>
      </c>
      <c r="D448" t="s">
        <v>182</v>
      </c>
      <c r="E448" t="s">
        <v>19</v>
      </c>
      <c r="F448">
        <v>11.7</v>
      </c>
      <c r="G448" t="s">
        <v>26</v>
      </c>
      <c r="H448" t="s">
        <v>14</v>
      </c>
    </row>
    <row r="449" spans="1:8" hidden="1" x14ac:dyDescent="0.2">
      <c r="A449" t="s">
        <v>181</v>
      </c>
      <c r="B449" t="s">
        <v>56</v>
      </c>
      <c r="C449" t="s">
        <v>60</v>
      </c>
      <c r="D449" t="s">
        <v>182</v>
      </c>
      <c r="E449" t="s">
        <v>17</v>
      </c>
      <c r="F449">
        <v>14.6</v>
      </c>
      <c r="G449" t="s">
        <v>26</v>
      </c>
      <c r="H449" t="s">
        <v>14</v>
      </c>
    </row>
    <row r="450" spans="1:8" hidden="1" x14ac:dyDescent="0.2">
      <c r="A450" t="s">
        <v>183</v>
      </c>
      <c r="B450" t="s">
        <v>75</v>
      </c>
      <c r="C450" t="s">
        <v>82</v>
      </c>
      <c r="D450" t="s">
        <v>184</v>
      </c>
      <c r="E450" t="s">
        <v>22</v>
      </c>
      <c r="F450">
        <v>140</v>
      </c>
      <c r="G450" t="s">
        <v>26</v>
      </c>
      <c r="H450" t="s">
        <v>27</v>
      </c>
    </row>
    <row r="451" spans="1:8" hidden="1" x14ac:dyDescent="0.2">
      <c r="A451" t="s">
        <v>183</v>
      </c>
      <c r="B451" t="s">
        <v>75</v>
      </c>
      <c r="C451" t="s">
        <v>82</v>
      </c>
      <c r="D451" t="s">
        <v>184</v>
      </c>
      <c r="E451" t="s">
        <v>1528</v>
      </c>
      <c r="G451" t="s">
        <v>26</v>
      </c>
      <c r="H451" t="s">
        <v>27</v>
      </c>
    </row>
    <row r="452" spans="1:8" hidden="1" x14ac:dyDescent="0.2">
      <c r="A452" t="s">
        <v>183</v>
      </c>
      <c r="B452" t="s">
        <v>75</v>
      </c>
      <c r="C452" t="s">
        <v>82</v>
      </c>
      <c r="D452" t="s">
        <v>184</v>
      </c>
      <c r="E452" t="s">
        <v>1529</v>
      </c>
      <c r="G452" t="s">
        <v>26</v>
      </c>
      <c r="H452" t="s">
        <v>27</v>
      </c>
    </row>
    <row r="453" spans="1:8" hidden="1" x14ac:dyDescent="0.2">
      <c r="A453" t="s">
        <v>183</v>
      </c>
      <c r="B453" t="s">
        <v>75</v>
      </c>
      <c r="C453" t="s">
        <v>82</v>
      </c>
      <c r="D453" t="s">
        <v>184</v>
      </c>
      <c r="E453" t="s">
        <v>1530</v>
      </c>
      <c r="G453" t="s">
        <v>26</v>
      </c>
      <c r="H453" t="s">
        <v>27</v>
      </c>
    </row>
    <row r="454" spans="1:8" hidden="1" x14ac:dyDescent="0.2">
      <c r="A454" t="s">
        <v>183</v>
      </c>
      <c r="B454" t="s">
        <v>75</v>
      </c>
      <c r="C454" t="s">
        <v>82</v>
      </c>
      <c r="D454" t="s">
        <v>184</v>
      </c>
      <c r="E454" t="s">
        <v>1531</v>
      </c>
      <c r="G454" t="s">
        <v>26</v>
      </c>
      <c r="H454" t="s">
        <v>27</v>
      </c>
    </row>
    <row r="455" spans="1:8" hidden="1" x14ac:dyDescent="0.2">
      <c r="A455" t="s">
        <v>183</v>
      </c>
      <c r="B455" t="s">
        <v>75</v>
      </c>
      <c r="C455" t="s">
        <v>82</v>
      </c>
      <c r="D455" t="s">
        <v>184</v>
      </c>
      <c r="E455" t="s">
        <v>12</v>
      </c>
      <c r="F455">
        <v>28</v>
      </c>
      <c r="G455" t="s">
        <v>26</v>
      </c>
      <c r="H455" t="s">
        <v>18</v>
      </c>
    </row>
    <row r="456" spans="1:8" hidden="1" x14ac:dyDescent="0.2">
      <c r="A456" t="s">
        <v>183</v>
      </c>
      <c r="B456" t="s">
        <v>75</v>
      </c>
      <c r="C456" t="s">
        <v>82</v>
      </c>
      <c r="D456" t="s">
        <v>184</v>
      </c>
      <c r="E456" t="s">
        <v>21</v>
      </c>
      <c r="F456">
        <v>70</v>
      </c>
      <c r="G456" t="s">
        <v>26</v>
      </c>
      <c r="H456" t="s">
        <v>27</v>
      </c>
    </row>
    <row r="457" spans="1:8" hidden="1" x14ac:dyDescent="0.2">
      <c r="A457" t="s">
        <v>183</v>
      </c>
      <c r="B457" t="s">
        <v>75</v>
      </c>
      <c r="C457" t="s">
        <v>82</v>
      </c>
      <c r="D457" t="s">
        <v>184</v>
      </c>
      <c r="E457" t="s">
        <v>20</v>
      </c>
      <c r="F457">
        <v>56</v>
      </c>
      <c r="G457" t="s">
        <v>26</v>
      </c>
      <c r="H457" t="s">
        <v>27</v>
      </c>
    </row>
    <row r="458" spans="1:8" hidden="1" x14ac:dyDescent="0.2">
      <c r="A458" t="s">
        <v>183</v>
      </c>
      <c r="B458" t="s">
        <v>75</v>
      </c>
      <c r="C458" t="s">
        <v>82</v>
      </c>
      <c r="D458" t="s">
        <v>184</v>
      </c>
      <c r="E458" t="s">
        <v>19</v>
      </c>
      <c r="F458">
        <v>56</v>
      </c>
      <c r="G458" t="s">
        <v>26</v>
      </c>
      <c r="H458" t="s">
        <v>27</v>
      </c>
    </row>
    <row r="459" spans="1:8" hidden="1" x14ac:dyDescent="0.2">
      <c r="A459" t="s">
        <v>183</v>
      </c>
      <c r="B459" t="s">
        <v>75</v>
      </c>
      <c r="C459" t="s">
        <v>82</v>
      </c>
      <c r="D459" t="s">
        <v>184</v>
      </c>
      <c r="E459" t="s">
        <v>17</v>
      </c>
      <c r="F459">
        <v>70</v>
      </c>
      <c r="G459" t="s">
        <v>26</v>
      </c>
      <c r="H459" t="s">
        <v>27</v>
      </c>
    </row>
    <row r="460" spans="1:8" hidden="1" x14ac:dyDescent="0.2">
      <c r="A460" t="s">
        <v>185</v>
      </c>
      <c r="B460" t="s">
        <v>75</v>
      </c>
      <c r="C460" t="s">
        <v>80</v>
      </c>
      <c r="D460" t="s">
        <v>186</v>
      </c>
      <c r="E460" t="s">
        <v>22</v>
      </c>
      <c r="F460">
        <v>128</v>
      </c>
      <c r="G460" t="s">
        <v>31</v>
      </c>
      <c r="H460" t="s">
        <v>27</v>
      </c>
    </row>
    <row r="461" spans="1:8" hidden="1" x14ac:dyDescent="0.2">
      <c r="A461" t="s">
        <v>185</v>
      </c>
      <c r="B461" t="s">
        <v>75</v>
      </c>
      <c r="C461" t="s">
        <v>80</v>
      </c>
      <c r="D461" t="s">
        <v>186</v>
      </c>
      <c r="E461" t="s">
        <v>1528</v>
      </c>
      <c r="G461" t="s">
        <v>31</v>
      </c>
      <c r="H461" t="s">
        <v>27</v>
      </c>
    </row>
    <row r="462" spans="1:8" hidden="1" x14ac:dyDescent="0.2">
      <c r="A462" t="s">
        <v>185</v>
      </c>
      <c r="B462" t="s">
        <v>75</v>
      </c>
      <c r="C462" t="s">
        <v>80</v>
      </c>
      <c r="D462" t="s">
        <v>186</v>
      </c>
      <c r="E462" t="s">
        <v>1529</v>
      </c>
      <c r="G462" t="s">
        <v>31</v>
      </c>
      <c r="H462" t="s">
        <v>27</v>
      </c>
    </row>
    <row r="463" spans="1:8" hidden="1" x14ac:dyDescent="0.2">
      <c r="A463" t="s">
        <v>185</v>
      </c>
      <c r="B463" t="s">
        <v>75</v>
      </c>
      <c r="C463" t="s">
        <v>80</v>
      </c>
      <c r="D463" t="s">
        <v>186</v>
      </c>
      <c r="E463" t="s">
        <v>1530</v>
      </c>
      <c r="G463" t="s">
        <v>31</v>
      </c>
      <c r="H463" t="s">
        <v>27</v>
      </c>
    </row>
    <row r="464" spans="1:8" hidden="1" x14ac:dyDescent="0.2">
      <c r="A464" t="s">
        <v>185</v>
      </c>
      <c r="B464" t="s">
        <v>75</v>
      </c>
      <c r="C464" t="s">
        <v>80</v>
      </c>
      <c r="D464" t="s">
        <v>186</v>
      </c>
      <c r="E464" t="s">
        <v>1531</v>
      </c>
      <c r="G464" t="s">
        <v>31</v>
      </c>
      <c r="H464" t="s">
        <v>27</v>
      </c>
    </row>
    <row r="465" spans="1:8" hidden="1" x14ac:dyDescent="0.2">
      <c r="A465" t="s">
        <v>185</v>
      </c>
      <c r="B465" t="s">
        <v>75</v>
      </c>
      <c r="C465" t="s">
        <v>80</v>
      </c>
      <c r="D465" t="s">
        <v>186</v>
      </c>
      <c r="E465" t="s">
        <v>12</v>
      </c>
      <c r="F465">
        <v>25.6</v>
      </c>
      <c r="G465" t="s">
        <v>31</v>
      </c>
      <c r="H465" t="s">
        <v>18</v>
      </c>
    </row>
    <row r="466" spans="1:8" hidden="1" x14ac:dyDescent="0.2">
      <c r="A466" t="s">
        <v>185</v>
      </c>
      <c r="B466" t="s">
        <v>75</v>
      </c>
      <c r="C466" t="s">
        <v>80</v>
      </c>
      <c r="D466" t="s">
        <v>186</v>
      </c>
      <c r="E466" t="s">
        <v>21</v>
      </c>
      <c r="F466">
        <v>64</v>
      </c>
      <c r="G466" t="s">
        <v>31</v>
      </c>
      <c r="H466" t="s">
        <v>27</v>
      </c>
    </row>
    <row r="467" spans="1:8" hidden="1" x14ac:dyDescent="0.2">
      <c r="A467" t="s">
        <v>185</v>
      </c>
      <c r="B467" t="s">
        <v>75</v>
      </c>
      <c r="C467" t="s">
        <v>80</v>
      </c>
      <c r="D467" t="s">
        <v>186</v>
      </c>
      <c r="E467" t="s">
        <v>20</v>
      </c>
      <c r="F467">
        <v>51.2</v>
      </c>
      <c r="G467" t="s">
        <v>31</v>
      </c>
      <c r="H467" t="s">
        <v>27</v>
      </c>
    </row>
    <row r="468" spans="1:8" hidden="1" x14ac:dyDescent="0.2">
      <c r="A468" t="s">
        <v>185</v>
      </c>
      <c r="B468" t="s">
        <v>75</v>
      </c>
      <c r="C468" t="s">
        <v>80</v>
      </c>
      <c r="D468" t="s">
        <v>186</v>
      </c>
      <c r="E468" t="s">
        <v>19</v>
      </c>
      <c r="F468">
        <v>51.2</v>
      </c>
      <c r="G468" t="s">
        <v>31</v>
      </c>
      <c r="H468" t="s">
        <v>27</v>
      </c>
    </row>
    <row r="469" spans="1:8" hidden="1" x14ac:dyDescent="0.2">
      <c r="A469" t="s">
        <v>185</v>
      </c>
      <c r="B469" t="s">
        <v>75</v>
      </c>
      <c r="C469" t="s">
        <v>80</v>
      </c>
      <c r="D469" t="s">
        <v>186</v>
      </c>
      <c r="E469" t="s">
        <v>17</v>
      </c>
      <c r="F469">
        <v>64</v>
      </c>
      <c r="G469" t="s">
        <v>31</v>
      </c>
      <c r="H469" t="s">
        <v>27</v>
      </c>
    </row>
    <row r="470" spans="1:8" hidden="1" x14ac:dyDescent="0.2">
      <c r="A470" t="s">
        <v>187</v>
      </c>
      <c r="B470" t="s">
        <v>66</v>
      </c>
      <c r="C470" t="s">
        <v>67</v>
      </c>
      <c r="D470" t="s">
        <v>188</v>
      </c>
      <c r="E470" t="s">
        <v>22</v>
      </c>
      <c r="F470">
        <v>140</v>
      </c>
      <c r="G470" t="s">
        <v>26</v>
      </c>
      <c r="H470" t="s">
        <v>51</v>
      </c>
    </row>
    <row r="471" spans="1:8" hidden="1" x14ac:dyDescent="0.2">
      <c r="A471" t="s">
        <v>187</v>
      </c>
      <c r="B471" t="s">
        <v>66</v>
      </c>
      <c r="C471" t="s">
        <v>67</v>
      </c>
      <c r="D471" t="s">
        <v>188</v>
      </c>
      <c r="E471" t="s">
        <v>1528</v>
      </c>
      <c r="G471" t="s">
        <v>26</v>
      </c>
      <c r="H471" t="s">
        <v>51</v>
      </c>
    </row>
    <row r="472" spans="1:8" hidden="1" x14ac:dyDescent="0.2">
      <c r="A472" t="s">
        <v>187</v>
      </c>
      <c r="B472" t="s">
        <v>66</v>
      </c>
      <c r="C472" t="s">
        <v>67</v>
      </c>
      <c r="D472" t="s">
        <v>188</v>
      </c>
      <c r="E472" t="s">
        <v>1529</v>
      </c>
      <c r="G472" t="s">
        <v>26</v>
      </c>
      <c r="H472" t="s">
        <v>51</v>
      </c>
    </row>
    <row r="473" spans="1:8" hidden="1" x14ac:dyDescent="0.2">
      <c r="A473" t="s">
        <v>187</v>
      </c>
      <c r="B473" t="s">
        <v>66</v>
      </c>
      <c r="C473" t="s">
        <v>67</v>
      </c>
      <c r="D473" t="s">
        <v>188</v>
      </c>
      <c r="E473" t="s">
        <v>1530</v>
      </c>
      <c r="G473" t="s">
        <v>26</v>
      </c>
      <c r="H473" t="s">
        <v>51</v>
      </c>
    </row>
    <row r="474" spans="1:8" hidden="1" x14ac:dyDescent="0.2">
      <c r="A474" t="s">
        <v>187</v>
      </c>
      <c r="B474" t="s">
        <v>66</v>
      </c>
      <c r="C474" t="s">
        <v>67</v>
      </c>
      <c r="D474" t="s">
        <v>188</v>
      </c>
      <c r="E474" t="s">
        <v>1531</v>
      </c>
      <c r="G474" t="s">
        <v>26</v>
      </c>
      <c r="H474" t="s">
        <v>51</v>
      </c>
    </row>
    <row r="475" spans="1:8" hidden="1" x14ac:dyDescent="0.2">
      <c r="A475" t="s">
        <v>187</v>
      </c>
      <c r="B475" t="s">
        <v>66</v>
      </c>
      <c r="C475" t="s">
        <v>67</v>
      </c>
      <c r="D475" t="s">
        <v>188</v>
      </c>
      <c r="E475" t="s">
        <v>12</v>
      </c>
      <c r="F475">
        <v>28</v>
      </c>
      <c r="G475" t="s">
        <v>26</v>
      </c>
      <c r="H475" t="s">
        <v>27</v>
      </c>
    </row>
    <row r="476" spans="1:8" hidden="1" x14ac:dyDescent="0.2">
      <c r="A476" t="s">
        <v>187</v>
      </c>
      <c r="B476" t="s">
        <v>66</v>
      </c>
      <c r="C476" t="s">
        <v>67</v>
      </c>
      <c r="D476" t="s">
        <v>188</v>
      </c>
      <c r="E476" t="s">
        <v>21</v>
      </c>
      <c r="F476">
        <v>70</v>
      </c>
      <c r="G476" t="s">
        <v>26</v>
      </c>
      <c r="H476" t="s">
        <v>51</v>
      </c>
    </row>
    <row r="477" spans="1:8" hidden="1" x14ac:dyDescent="0.2">
      <c r="A477" t="s">
        <v>187</v>
      </c>
      <c r="B477" t="s">
        <v>66</v>
      </c>
      <c r="C477" t="s">
        <v>67</v>
      </c>
      <c r="D477" t="s">
        <v>188</v>
      </c>
      <c r="E477" t="s">
        <v>20</v>
      </c>
      <c r="F477">
        <v>56</v>
      </c>
      <c r="G477" t="s">
        <v>26</v>
      </c>
      <c r="H477" t="s">
        <v>51</v>
      </c>
    </row>
    <row r="478" spans="1:8" hidden="1" x14ac:dyDescent="0.2">
      <c r="A478" t="s">
        <v>187</v>
      </c>
      <c r="B478" t="s">
        <v>66</v>
      </c>
      <c r="C478" t="s">
        <v>67</v>
      </c>
      <c r="D478" t="s">
        <v>188</v>
      </c>
      <c r="E478" t="s">
        <v>19</v>
      </c>
      <c r="F478">
        <v>56</v>
      </c>
      <c r="G478" t="s">
        <v>26</v>
      </c>
      <c r="H478" t="s">
        <v>51</v>
      </c>
    </row>
    <row r="479" spans="1:8" hidden="1" x14ac:dyDescent="0.2">
      <c r="A479" t="s">
        <v>187</v>
      </c>
      <c r="B479" t="s">
        <v>66</v>
      </c>
      <c r="C479" t="s">
        <v>67</v>
      </c>
      <c r="D479" t="s">
        <v>188</v>
      </c>
      <c r="E479" t="s">
        <v>17</v>
      </c>
      <c r="F479">
        <v>70</v>
      </c>
      <c r="G479" t="s">
        <v>26</v>
      </c>
      <c r="H479" t="s">
        <v>51</v>
      </c>
    </row>
    <row r="480" spans="1:8" hidden="1" x14ac:dyDescent="0.2">
      <c r="A480" t="s">
        <v>189</v>
      </c>
      <c r="B480" t="s">
        <v>66</v>
      </c>
      <c r="C480" t="s">
        <v>71</v>
      </c>
      <c r="D480" t="s">
        <v>190</v>
      </c>
      <c r="E480" t="s">
        <v>22</v>
      </c>
      <c r="F480">
        <v>320</v>
      </c>
      <c r="G480" t="s">
        <v>26</v>
      </c>
      <c r="H480" t="s">
        <v>14</v>
      </c>
    </row>
    <row r="481" spans="1:8" hidden="1" x14ac:dyDescent="0.2">
      <c r="A481" t="s">
        <v>189</v>
      </c>
      <c r="B481" t="s">
        <v>66</v>
      </c>
      <c r="C481" t="s">
        <v>71</v>
      </c>
      <c r="D481" t="s">
        <v>190</v>
      </c>
      <c r="E481" t="s">
        <v>1528</v>
      </c>
      <c r="G481" t="s">
        <v>26</v>
      </c>
      <c r="H481" t="s">
        <v>14</v>
      </c>
    </row>
    <row r="482" spans="1:8" hidden="1" x14ac:dyDescent="0.2">
      <c r="A482" t="s">
        <v>189</v>
      </c>
      <c r="B482" t="s">
        <v>66</v>
      </c>
      <c r="C482" t="s">
        <v>71</v>
      </c>
      <c r="D482" t="s">
        <v>190</v>
      </c>
      <c r="E482" t="s">
        <v>1529</v>
      </c>
      <c r="G482" t="s">
        <v>26</v>
      </c>
      <c r="H482" t="s">
        <v>14</v>
      </c>
    </row>
    <row r="483" spans="1:8" hidden="1" x14ac:dyDescent="0.2">
      <c r="A483" t="s">
        <v>189</v>
      </c>
      <c r="B483" t="s">
        <v>66</v>
      </c>
      <c r="C483" t="s">
        <v>71</v>
      </c>
      <c r="D483" t="s">
        <v>190</v>
      </c>
      <c r="E483" t="s">
        <v>1530</v>
      </c>
      <c r="G483" t="s">
        <v>26</v>
      </c>
      <c r="H483" t="s">
        <v>14</v>
      </c>
    </row>
    <row r="484" spans="1:8" hidden="1" x14ac:dyDescent="0.2">
      <c r="A484" t="s">
        <v>189</v>
      </c>
      <c r="B484" t="s">
        <v>66</v>
      </c>
      <c r="C484" t="s">
        <v>71</v>
      </c>
      <c r="D484" t="s">
        <v>190</v>
      </c>
      <c r="E484" t="s">
        <v>1531</v>
      </c>
      <c r="G484" t="s">
        <v>26</v>
      </c>
      <c r="H484" t="s">
        <v>14</v>
      </c>
    </row>
    <row r="485" spans="1:8" hidden="1" x14ac:dyDescent="0.2">
      <c r="A485" t="s">
        <v>189</v>
      </c>
      <c r="B485" t="s">
        <v>66</v>
      </c>
      <c r="C485" t="s">
        <v>71</v>
      </c>
      <c r="D485" t="s">
        <v>190</v>
      </c>
      <c r="E485" t="s">
        <v>12</v>
      </c>
      <c r="F485">
        <v>64</v>
      </c>
      <c r="G485" t="s">
        <v>26</v>
      </c>
      <c r="H485" t="s">
        <v>50</v>
      </c>
    </row>
    <row r="486" spans="1:8" hidden="1" x14ac:dyDescent="0.2">
      <c r="A486" t="s">
        <v>189</v>
      </c>
      <c r="B486" t="s">
        <v>66</v>
      </c>
      <c r="C486" t="s">
        <v>71</v>
      </c>
      <c r="D486" t="s">
        <v>190</v>
      </c>
      <c r="E486" t="s">
        <v>21</v>
      </c>
      <c r="F486">
        <v>160</v>
      </c>
      <c r="G486" t="s">
        <v>26</v>
      </c>
      <c r="H486" t="s">
        <v>14</v>
      </c>
    </row>
    <row r="487" spans="1:8" hidden="1" x14ac:dyDescent="0.2">
      <c r="A487" t="s">
        <v>189</v>
      </c>
      <c r="B487" t="s">
        <v>66</v>
      </c>
      <c r="C487" t="s">
        <v>71</v>
      </c>
      <c r="D487" t="s">
        <v>190</v>
      </c>
      <c r="E487" t="s">
        <v>20</v>
      </c>
      <c r="F487">
        <v>128</v>
      </c>
      <c r="G487" t="s">
        <v>26</v>
      </c>
      <c r="H487" t="s">
        <v>14</v>
      </c>
    </row>
    <row r="488" spans="1:8" hidden="1" x14ac:dyDescent="0.2">
      <c r="A488" t="s">
        <v>189</v>
      </c>
      <c r="B488" t="s">
        <v>66</v>
      </c>
      <c r="C488" t="s">
        <v>71</v>
      </c>
      <c r="D488" t="s">
        <v>190</v>
      </c>
      <c r="E488" t="s">
        <v>19</v>
      </c>
      <c r="F488">
        <v>128</v>
      </c>
      <c r="G488" t="s">
        <v>26</v>
      </c>
      <c r="H488" t="s">
        <v>14</v>
      </c>
    </row>
    <row r="489" spans="1:8" hidden="1" x14ac:dyDescent="0.2">
      <c r="A489" t="s">
        <v>189</v>
      </c>
      <c r="B489" t="s">
        <v>66</v>
      </c>
      <c r="C489" t="s">
        <v>71</v>
      </c>
      <c r="D489" t="s">
        <v>190</v>
      </c>
      <c r="E489" t="s">
        <v>17</v>
      </c>
      <c r="F489">
        <v>160</v>
      </c>
      <c r="G489" t="s">
        <v>26</v>
      </c>
      <c r="H489" t="s">
        <v>14</v>
      </c>
    </row>
    <row r="490" spans="1:8" hidden="1" x14ac:dyDescent="0.2">
      <c r="A490" t="s">
        <v>191</v>
      </c>
      <c r="B490" t="s">
        <v>66</v>
      </c>
      <c r="C490" t="s">
        <v>69</v>
      </c>
      <c r="D490" t="s">
        <v>192</v>
      </c>
      <c r="E490" t="s">
        <v>22</v>
      </c>
      <c r="F490">
        <v>266.7</v>
      </c>
      <c r="G490" t="s">
        <v>26</v>
      </c>
      <c r="H490" t="s">
        <v>27</v>
      </c>
    </row>
    <row r="491" spans="1:8" hidden="1" x14ac:dyDescent="0.2">
      <c r="A491" t="s">
        <v>191</v>
      </c>
      <c r="B491" t="s">
        <v>66</v>
      </c>
      <c r="C491" t="s">
        <v>69</v>
      </c>
      <c r="D491" t="s">
        <v>192</v>
      </c>
      <c r="E491" t="s">
        <v>1528</v>
      </c>
      <c r="G491" t="s">
        <v>26</v>
      </c>
      <c r="H491" t="s">
        <v>27</v>
      </c>
    </row>
    <row r="492" spans="1:8" hidden="1" x14ac:dyDescent="0.2">
      <c r="A492" t="s">
        <v>191</v>
      </c>
      <c r="B492" t="s">
        <v>66</v>
      </c>
      <c r="C492" t="s">
        <v>69</v>
      </c>
      <c r="D492" t="s">
        <v>192</v>
      </c>
      <c r="E492" t="s">
        <v>1529</v>
      </c>
      <c r="G492" t="s">
        <v>26</v>
      </c>
      <c r="H492" t="s">
        <v>27</v>
      </c>
    </row>
    <row r="493" spans="1:8" hidden="1" x14ac:dyDescent="0.2">
      <c r="A493" t="s">
        <v>191</v>
      </c>
      <c r="B493" t="s">
        <v>66</v>
      </c>
      <c r="C493" t="s">
        <v>69</v>
      </c>
      <c r="D493" t="s">
        <v>192</v>
      </c>
      <c r="E493" t="s">
        <v>1530</v>
      </c>
      <c r="G493" t="s">
        <v>26</v>
      </c>
      <c r="H493" t="s">
        <v>27</v>
      </c>
    </row>
    <row r="494" spans="1:8" hidden="1" x14ac:dyDescent="0.2">
      <c r="A494" t="s">
        <v>191</v>
      </c>
      <c r="B494" t="s">
        <v>66</v>
      </c>
      <c r="C494" t="s">
        <v>69</v>
      </c>
      <c r="D494" t="s">
        <v>192</v>
      </c>
      <c r="E494" t="s">
        <v>1531</v>
      </c>
      <c r="G494" t="s">
        <v>26</v>
      </c>
      <c r="H494" t="s">
        <v>27</v>
      </c>
    </row>
    <row r="495" spans="1:8" x14ac:dyDescent="0.2">
      <c r="A495" t="s">
        <v>191</v>
      </c>
      <c r="B495" t="s">
        <v>66</v>
      </c>
      <c r="C495" t="s">
        <v>69</v>
      </c>
      <c r="D495" t="s">
        <v>192</v>
      </c>
      <c r="E495" t="s">
        <v>12</v>
      </c>
      <c r="F495">
        <v>53.3</v>
      </c>
      <c r="G495" t="s">
        <v>26</v>
      </c>
      <c r="H495" t="s">
        <v>18</v>
      </c>
    </row>
    <row r="496" spans="1:8" hidden="1" x14ac:dyDescent="0.2">
      <c r="A496" t="s">
        <v>191</v>
      </c>
      <c r="B496" t="s">
        <v>66</v>
      </c>
      <c r="C496" t="s">
        <v>69</v>
      </c>
      <c r="D496" t="s">
        <v>192</v>
      </c>
      <c r="E496" t="s">
        <v>21</v>
      </c>
      <c r="F496">
        <v>133.4</v>
      </c>
      <c r="G496" t="s">
        <v>26</v>
      </c>
      <c r="H496" t="s">
        <v>27</v>
      </c>
    </row>
    <row r="497" spans="1:8" hidden="1" x14ac:dyDescent="0.2">
      <c r="A497" t="s">
        <v>191</v>
      </c>
      <c r="B497" t="s">
        <v>66</v>
      </c>
      <c r="C497" t="s">
        <v>69</v>
      </c>
      <c r="D497" t="s">
        <v>192</v>
      </c>
      <c r="E497" t="s">
        <v>20</v>
      </c>
      <c r="F497">
        <v>106.7</v>
      </c>
      <c r="G497" t="s">
        <v>26</v>
      </c>
      <c r="H497" t="s">
        <v>27</v>
      </c>
    </row>
    <row r="498" spans="1:8" hidden="1" x14ac:dyDescent="0.2">
      <c r="A498" t="s">
        <v>191</v>
      </c>
      <c r="B498" t="s">
        <v>66</v>
      </c>
      <c r="C498" t="s">
        <v>69</v>
      </c>
      <c r="D498" t="s">
        <v>192</v>
      </c>
      <c r="E498" t="s">
        <v>19</v>
      </c>
      <c r="F498">
        <v>106.7</v>
      </c>
      <c r="G498" t="s">
        <v>26</v>
      </c>
      <c r="H498" t="s">
        <v>27</v>
      </c>
    </row>
    <row r="499" spans="1:8" hidden="1" x14ac:dyDescent="0.2">
      <c r="A499" t="s">
        <v>191</v>
      </c>
      <c r="B499" t="s">
        <v>66</v>
      </c>
      <c r="C499" t="s">
        <v>69</v>
      </c>
      <c r="D499" t="s">
        <v>192</v>
      </c>
      <c r="E499" t="s">
        <v>17</v>
      </c>
      <c r="F499">
        <v>133.4</v>
      </c>
      <c r="G499" t="s">
        <v>26</v>
      </c>
      <c r="H499" t="s">
        <v>27</v>
      </c>
    </row>
    <row r="500" spans="1:8" hidden="1" x14ac:dyDescent="0.2">
      <c r="A500" t="s">
        <v>193</v>
      </c>
      <c r="B500" t="s">
        <v>66</v>
      </c>
      <c r="C500" t="s">
        <v>74</v>
      </c>
      <c r="D500" t="s">
        <v>194</v>
      </c>
      <c r="E500" t="s">
        <v>22</v>
      </c>
      <c r="F500">
        <v>80</v>
      </c>
      <c r="G500" t="s">
        <v>26</v>
      </c>
      <c r="H500" t="s">
        <v>27</v>
      </c>
    </row>
    <row r="501" spans="1:8" hidden="1" x14ac:dyDescent="0.2">
      <c r="A501" t="s">
        <v>193</v>
      </c>
      <c r="B501" t="s">
        <v>66</v>
      </c>
      <c r="C501" t="s">
        <v>74</v>
      </c>
      <c r="D501" t="s">
        <v>194</v>
      </c>
      <c r="E501" t="s">
        <v>1528</v>
      </c>
      <c r="G501" t="s">
        <v>26</v>
      </c>
      <c r="H501" t="s">
        <v>27</v>
      </c>
    </row>
    <row r="502" spans="1:8" hidden="1" x14ac:dyDescent="0.2">
      <c r="A502" t="s">
        <v>193</v>
      </c>
      <c r="B502" t="s">
        <v>66</v>
      </c>
      <c r="C502" t="s">
        <v>74</v>
      </c>
      <c r="D502" t="s">
        <v>194</v>
      </c>
      <c r="E502" t="s">
        <v>1529</v>
      </c>
      <c r="G502" t="s">
        <v>26</v>
      </c>
      <c r="H502" t="s">
        <v>27</v>
      </c>
    </row>
    <row r="503" spans="1:8" hidden="1" x14ac:dyDescent="0.2">
      <c r="A503" t="s">
        <v>193</v>
      </c>
      <c r="B503" t="s">
        <v>66</v>
      </c>
      <c r="C503" t="s">
        <v>74</v>
      </c>
      <c r="D503" t="s">
        <v>194</v>
      </c>
      <c r="E503" t="s">
        <v>1530</v>
      </c>
      <c r="G503" t="s">
        <v>26</v>
      </c>
      <c r="H503" t="s">
        <v>27</v>
      </c>
    </row>
    <row r="504" spans="1:8" hidden="1" x14ac:dyDescent="0.2">
      <c r="A504" t="s">
        <v>193</v>
      </c>
      <c r="B504" t="s">
        <v>66</v>
      </c>
      <c r="C504" t="s">
        <v>74</v>
      </c>
      <c r="D504" t="s">
        <v>194</v>
      </c>
      <c r="E504" t="s">
        <v>1531</v>
      </c>
      <c r="G504" t="s">
        <v>26</v>
      </c>
      <c r="H504" t="s">
        <v>27</v>
      </c>
    </row>
    <row r="505" spans="1:8" x14ac:dyDescent="0.2">
      <c r="A505" t="s">
        <v>193</v>
      </c>
      <c r="B505" t="s">
        <v>66</v>
      </c>
      <c r="C505" t="s">
        <v>74</v>
      </c>
      <c r="D505" t="s">
        <v>194</v>
      </c>
      <c r="E505" t="s">
        <v>12</v>
      </c>
      <c r="F505">
        <v>16</v>
      </c>
      <c r="G505" t="s">
        <v>26</v>
      </c>
      <c r="H505" t="s">
        <v>18</v>
      </c>
    </row>
    <row r="506" spans="1:8" hidden="1" x14ac:dyDescent="0.2">
      <c r="A506" t="s">
        <v>193</v>
      </c>
      <c r="B506" t="s">
        <v>66</v>
      </c>
      <c r="C506" t="s">
        <v>74</v>
      </c>
      <c r="D506" t="s">
        <v>194</v>
      </c>
      <c r="E506" t="s">
        <v>21</v>
      </c>
      <c r="F506">
        <v>40</v>
      </c>
      <c r="G506" t="s">
        <v>26</v>
      </c>
      <c r="H506" t="s">
        <v>27</v>
      </c>
    </row>
    <row r="507" spans="1:8" hidden="1" x14ac:dyDescent="0.2">
      <c r="A507" t="s">
        <v>193</v>
      </c>
      <c r="B507" t="s">
        <v>66</v>
      </c>
      <c r="C507" t="s">
        <v>74</v>
      </c>
      <c r="D507" t="s">
        <v>194</v>
      </c>
      <c r="E507" t="s">
        <v>20</v>
      </c>
      <c r="F507">
        <v>32</v>
      </c>
      <c r="G507" t="s">
        <v>26</v>
      </c>
      <c r="H507" t="s">
        <v>27</v>
      </c>
    </row>
    <row r="508" spans="1:8" hidden="1" x14ac:dyDescent="0.2">
      <c r="A508" t="s">
        <v>193</v>
      </c>
      <c r="B508" t="s">
        <v>66</v>
      </c>
      <c r="C508" t="s">
        <v>74</v>
      </c>
      <c r="D508" t="s">
        <v>194</v>
      </c>
      <c r="E508" t="s">
        <v>19</v>
      </c>
      <c r="F508">
        <v>32</v>
      </c>
      <c r="G508" t="s">
        <v>26</v>
      </c>
      <c r="H508" t="s">
        <v>27</v>
      </c>
    </row>
    <row r="509" spans="1:8" hidden="1" x14ac:dyDescent="0.2">
      <c r="A509" t="s">
        <v>193</v>
      </c>
      <c r="B509" t="s">
        <v>66</v>
      </c>
      <c r="C509" t="s">
        <v>74</v>
      </c>
      <c r="D509" t="s">
        <v>194</v>
      </c>
      <c r="E509" t="s">
        <v>17</v>
      </c>
      <c r="F509">
        <v>40</v>
      </c>
      <c r="G509" t="s">
        <v>26</v>
      </c>
      <c r="H509" t="s">
        <v>27</v>
      </c>
    </row>
    <row r="510" spans="1:8" hidden="1" x14ac:dyDescent="0.2">
      <c r="A510" t="s">
        <v>195</v>
      </c>
      <c r="B510" t="s">
        <v>75</v>
      </c>
      <c r="C510" t="s">
        <v>85</v>
      </c>
      <c r="D510" t="s">
        <v>196</v>
      </c>
      <c r="E510" t="s">
        <v>22</v>
      </c>
      <c r="F510">
        <v>266.7</v>
      </c>
      <c r="G510" t="s">
        <v>26</v>
      </c>
      <c r="H510" t="s">
        <v>27</v>
      </c>
    </row>
    <row r="511" spans="1:8" hidden="1" x14ac:dyDescent="0.2">
      <c r="A511" t="s">
        <v>195</v>
      </c>
      <c r="B511" t="s">
        <v>75</v>
      </c>
      <c r="C511" t="s">
        <v>85</v>
      </c>
      <c r="D511" t="s">
        <v>196</v>
      </c>
      <c r="E511" t="s">
        <v>1528</v>
      </c>
      <c r="G511" t="s">
        <v>26</v>
      </c>
      <c r="H511" t="s">
        <v>27</v>
      </c>
    </row>
    <row r="512" spans="1:8" hidden="1" x14ac:dyDescent="0.2">
      <c r="A512" t="s">
        <v>195</v>
      </c>
      <c r="B512" t="s">
        <v>75</v>
      </c>
      <c r="C512" t="s">
        <v>85</v>
      </c>
      <c r="D512" t="s">
        <v>196</v>
      </c>
      <c r="E512" t="s">
        <v>1529</v>
      </c>
      <c r="G512" t="s">
        <v>26</v>
      </c>
      <c r="H512" t="s">
        <v>27</v>
      </c>
    </row>
    <row r="513" spans="1:8" hidden="1" x14ac:dyDescent="0.2">
      <c r="A513" t="s">
        <v>195</v>
      </c>
      <c r="B513" t="s">
        <v>75</v>
      </c>
      <c r="C513" t="s">
        <v>85</v>
      </c>
      <c r="D513" t="s">
        <v>196</v>
      </c>
      <c r="E513" t="s">
        <v>1530</v>
      </c>
      <c r="G513" t="s">
        <v>26</v>
      </c>
      <c r="H513" t="s">
        <v>27</v>
      </c>
    </row>
    <row r="514" spans="1:8" hidden="1" x14ac:dyDescent="0.2">
      <c r="A514" t="s">
        <v>195</v>
      </c>
      <c r="B514" t="s">
        <v>75</v>
      </c>
      <c r="C514" t="s">
        <v>85</v>
      </c>
      <c r="D514" t="s">
        <v>196</v>
      </c>
      <c r="E514" t="s">
        <v>1531</v>
      </c>
      <c r="G514" t="s">
        <v>26</v>
      </c>
      <c r="H514" t="s">
        <v>27</v>
      </c>
    </row>
    <row r="515" spans="1:8" hidden="1" x14ac:dyDescent="0.2">
      <c r="A515" t="s">
        <v>195</v>
      </c>
      <c r="B515" t="s">
        <v>75</v>
      </c>
      <c r="C515" t="s">
        <v>85</v>
      </c>
      <c r="D515" t="s">
        <v>196</v>
      </c>
      <c r="E515" t="s">
        <v>12</v>
      </c>
      <c r="F515">
        <v>53.3</v>
      </c>
      <c r="G515" t="s">
        <v>26</v>
      </c>
      <c r="H515" t="s">
        <v>18</v>
      </c>
    </row>
    <row r="516" spans="1:8" hidden="1" x14ac:dyDescent="0.2">
      <c r="A516" t="s">
        <v>195</v>
      </c>
      <c r="B516" t="s">
        <v>75</v>
      </c>
      <c r="C516" t="s">
        <v>85</v>
      </c>
      <c r="D516" t="s">
        <v>196</v>
      </c>
      <c r="E516" t="s">
        <v>21</v>
      </c>
      <c r="F516">
        <v>133.4</v>
      </c>
      <c r="G516" t="s">
        <v>26</v>
      </c>
      <c r="H516" t="s">
        <v>27</v>
      </c>
    </row>
    <row r="517" spans="1:8" hidden="1" x14ac:dyDescent="0.2">
      <c r="A517" t="s">
        <v>195</v>
      </c>
      <c r="B517" t="s">
        <v>75</v>
      </c>
      <c r="C517" t="s">
        <v>85</v>
      </c>
      <c r="D517" t="s">
        <v>196</v>
      </c>
      <c r="E517" t="s">
        <v>20</v>
      </c>
      <c r="F517">
        <v>106.7</v>
      </c>
      <c r="G517" t="s">
        <v>26</v>
      </c>
      <c r="H517" t="s">
        <v>27</v>
      </c>
    </row>
    <row r="518" spans="1:8" hidden="1" x14ac:dyDescent="0.2">
      <c r="A518" t="s">
        <v>195</v>
      </c>
      <c r="B518" t="s">
        <v>75</v>
      </c>
      <c r="C518" t="s">
        <v>85</v>
      </c>
      <c r="D518" t="s">
        <v>196</v>
      </c>
      <c r="E518" t="s">
        <v>19</v>
      </c>
      <c r="F518">
        <v>106.7</v>
      </c>
      <c r="G518" t="s">
        <v>26</v>
      </c>
      <c r="H518" t="s">
        <v>27</v>
      </c>
    </row>
    <row r="519" spans="1:8" hidden="1" x14ac:dyDescent="0.2">
      <c r="A519" t="s">
        <v>195</v>
      </c>
      <c r="B519" t="s">
        <v>75</v>
      </c>
      <c r="C519" t="s">
        <v>85</v>
      </c>
      <c r="D519" t="s">
        <v>196</v>
      </c>
      <c r="E519" t="s">
        <v>17</v>
      </c>
      <c r="F519">
        <v>133.4</v>
      </c>
      <c r="G519" t="s">
        <v>26</v>
      </c>
      <c r="H519" t="s">
        <v>27</v>
      </c>
    </row>
    <row r="520" spans="1:8" hidden="1" x14ac:dyDescent="0.2">
      <c r="A520" t="s">
        <v>197</v>
      </c>
      <c r="B520" t="s">
        <v>75</v>
      </c>
      <c r="C520" t="s">
        <v>76</v>
      </c>
      <c r="D520" t="s">
        <v>198</v>
      </c>
      <c r="E520" t="s">
        <v>22</v>
      </c>
      <c r="F520">
        <v>133.30000000000001</v>
      </c>
      <c r="G520" t="s">
        <v>31</v>
      </c>
      <c r="H520" t="s">
        <v>51</v>
      </c>
    </row>
    <row r="521" spans="1:8" hidden="1" x14ac:dyDescent="0.2">
      <c r="A521" t="s">
        <v>197</v>
      </c>
      <c r="B521" t="s">
        <v>75</v>
      </c>
      <c r="C521" t="s">
        <v>76</v>
      </c>
      <c r="D521" t="s">
        <v>198</v>
      </c>
      <c r="E521" t="s">
        <v>1528</v>
      </c>
      <c r="G521" t="s">
        <v>31</v>
      </c>
      <c r="H521" t="s">
        <v>51</v>
      </c>
    </row>
    <row r="522" spans="1:8" hidden="1" x14ac:dyDescent="0.2">
      <c r="A522" t="s">
        <v>197</v>
      </c>
      <c r="B522" t="s">
        <v>75</v>
      </c>
      <c r="C522" t="s">
        <v>76</v>
      </c>
      <c r="D522" t="s">
        <v>198</v>
      </c>
      <c r="E522" t="s">
        <v>1529</v>
      </c>
      <c r="G522" t="s">
        <v>31</v>
      </c>
      <c r="H522" t="s">
        <v>51</v>
      </c>
    </row>
    <row r="523" spans="1:8" hidden="1" x14ac:dyDescent="0.2">
      <c r="A523" t="s">
        <v>197</v>
      </c>
      <c r="B523" t="s">
        <v>75</v>
      </c>
      <c r="C523" t="s">
        <v>76</v>
      </c>
      <c r="D523" t="s">
        <v>198</v>
      </c>
      <c r="E523" t="s">
        <v>1530</v>
      </c>
      <c r="G523" t="s">
        <v>31</v>
      </c>
      <c r="H523" t="s">
        <v>51</v>
      </c>
    </row>
    <row r="524" spans="1:8" hidden="1" x14ac:dyDescent="0.2">
      <c r="A524" t="s">
        <v>197</v>
      </c>
      <c r="B524" t="s">
        <v>75</v>
      </c>
      <c r="C524" t="s">
        <v>76</v>
      </c>
      <c r="D524" t="s">
        <v>198</v>
      </c>
      <c r="E524" t="s">
        <v>1531</v>
      </c>
      <c r="G524" t="s">
        <v>31</v>
      </c>
      <c r="H524" t="s">
        <v>51</v>
      </c>
    </row>
    <row r="525" spans="1:8" hidden="1" x14ac:dyDescent="0.2">
      <c r="A525" t="s">
        <v>197</v>
      </c>
      <c r="B525" t="s">
        <v>75</v>
      </c>
      <c r="C525" t="s">
        <v>76</v>
      </c>
      <c r="D525" t="s">
        <v>198</v>
      </c>
      <c r="E525" t="s">
        <v>12</v>
      </c>
      <c r="F525">
        <v>26.7</v>
      </c>
      <c r="G525" t="s">
        <v>31</v>
      </c>
      <c r="H525" t="s">
        <v>27</v>
      </c>
    </row>
    <row r="526" spans="1:8" hidden="1" x14ac:dyDescent="0.2">
      <c r="A526" t="s">
        <v>197</v>
      </c>
      <c r="B526" t="s">
        <v>75</v>
      </c>
      <c r="C526" t="s">
        <v>76</v>
      </c>
      <c r="D526" t="s">
        <v>198</v>
      </c>
      <c r="E526" t="s">
        <v>21</v>
      </c>
      <c r="F526">
        <v>66.599999999999994</v>
      </c>
      <c r="G526" t="s">
        <v>31</v>
      </c>
      <c r="H526" t="s">
        <v>51</v>
      </c>
    </row>
    <row r="527" spans="1:8" hidden="1" x14ac:dyDescent="0.2">
      <c r="A527" t="s">
        <v>197</v>
      </c>
      <c r="B527" t="s">
        <v>75</v>
      </c>
      <c r="C527" t="s">
        <v>76</v>
      </c>
      <c r="D527" t="s">
        <v>198</v>
      </c>
      <c r="E527" t="s">
        <v>20</v>
      </c>
      <c r="F527">
        <v>53.3</v>
      </c>
      <c r="G527" t="s">
        <v>31</v>
      </c>
      <c r="H527" t="s">
        <v>51</v>
      </c>
    </row>
    <row r="528" spans="1:8" hidden="1" x14ac:dyDescent="0.2">
      <c r="A528" t="s">
        <v>197</v>
      </c>
      <c r="B528" t="s">
        <v>75</v>
      </c>
      <c r="C528" t="s">
        <v>76</v>
      </c>
      <c r="D528" t="s">
        <v>198</v>
      </c>
      <c r="E528" t="s">
        <v>19</v>
      </c>
      <c r="F528">
        <v>53.3</v>
      </c>
      <c r="G528" t="s">
        <v>31</v>
      </c>
      <c r="H528" t="s">
        <v>51</v>
      </c>
    </row>
    <row r="529" spans="1:8" hidden="1" x14ac:dyDescent="0.2">
      <c r="A529" t="s">
        <v>197</v>
      </c>
      <c r="B529" t="s">
        <v>75</v>
      </c>
      <c r="C529" t="s">
        <v>76</v>
      </c>
      <c r="D529" t="s">
        <v>198</v>
      </c>
      <c r="E529" t="s">
        <v>17</v>
      </c>
      <c r="F529">
        <v>66.599999999999994</v>
      </c>
      <c r="G529" t="s">
        <v>31</v>
      </c>
      <c r="H529" t="s">
        <v>51</v>
      </c>
    </row>
    <row r="530" spans="1:8" hidden="1" x14ac:dyDescent="0.2">
      <c r="A530" t="s">
        <v>201</v>
      </c>
      <c r="B530" t="s">
        <v>75</v>
      </c>
      <c r="C530" t="s">
        <v>78</v>
      </c>
      <c r="D530" t="s">
        <v>202</v>
      </c>
      <c r="E530" t="s">
        <v>22</v>
      </c>
      <c r="F530">
        <v>42.7</v>
      </c>
      <c r="G530" t="s">
        <v>31</v>
      </c>
      <c r="H530" t="s">
        <v>14</v>
      </c>
    </row>
    <row r="531" spans="1:8" hidden="1" x14ac:dyDescent="0.2">
      <c r="A531" t="s">
        <v>201</v>
      </c>
      <c r="B531" t="s">
        <v>75</v>
      </c>
      <c r="C531" t="s">
        <v>78</v>
      </c>
      <c r="D531" t="s">
        <v>202</v>
      </c>
      <c r="E531" t="s">
        <v>1528</v>
      </c>
      <c r="G531" t="s">
        <v>31</v>
      </c>
      <c r="H531" t="s">
        <v>14</v>
      </c>
    </row>
    <row r="532" spans="1:8" hidden="1" x14ac:dyDescent="0.2">
      <c r="A532" t="s">
        <v>201</v>
      </c>
      <c r="B532" t="s">
        <v>75</v>
      </c>
      <c r="C532" t="s">
        <v>78</v>
      </c>
      <c r="D532" t="s">
        <v>202</v>
      </c>
      <c r="E532" t="s">
        <v>1529</v>
      </c>
      <c r="G532" t="s">
        <v>31</v>
      </c>
      <c r="H532" t="s">
        <v>14</v>
      </c>
    </row>
    <row r="533" spans="1:8" hidden="1" x14ac:dyDescent="0.2">
      <c r="A533" t="s">
        <v>201</v>
      </c>
      <c r="B533" t="s">
        <v>75</v>
      </c>
      <c r="C533" t="s">
        <v>78</v>
      </c>
      <c r="D533" t="s">
        <v>202</v>
      </c>
      <c r="E533" t="s">
        <v>1530</v>
      </c>
      <c r="G533" t="s">
        <v>31</v>
      </c>
      <c r="H533" t="s">
        <v>14</v>
      </c>
    </row>
    <row r="534" spans="1:8" hidden="1" x14ac:dyDescent="0.2">
      <c r="A534" t="s">
        <v>201</v>
      </c>
      <c r="B534" t="s">
        <v>75</v>
      </c>
      <c r="C534" t="s">
        <v>78</v>
      </c>
      <c r="D534" t="s">
        <v>202</v>
      </c>
      <c r="E534" t="s">
        <v>1531</v>
      </c>
      <c r="G534" t="s">
        <v>31</v>
      </c>
      <c r="H534" t="s">
        <v>14</v>
      </c>
    </row>
    <row r="535" spans="1:8" hidden="1" x14ac:dyDescent="0.2">
      <c r="A535" t="s">
        <v>201</v>
      </c>
      <c r="B535" t="s">
        <v>75</v>
      </c>
      <c r="C535" t="s">
        <v>78</v>
      </c>
      <c r="D535" t="s">
        <v>202</v>
      </c>
      <c r="E535" t="s">
        <v>12</v>
      </c>
      <c r="F535">
        <v>8.5</v>
      </c>
      <c r="G535" t="s">
        <v>31</v>
      </c>
      <c r="H535" t="s">
        <v>50</v>
      </c>
    </row>
    <row r="536" spans="1:8" hidden="1" x14ac:dyDescent="0.2">
      <c r="A536" t="s">
        <v>201</v>
      </c>
      <c r="B536" t="s">
        <v>75</v>
      </c>
      <c r="C536" t="s">
        <v>78</v>
      </c>
      <c r="D536" t="s">
        <v>202</v>
      </c>
      <c r="E536" t="s">
        <v>21</v>
      </c>
      <c r="F536">
        <v>21.4</v>
      </c>
      <c r="G536" t="s">
        <v>31</v>
      </c>
      <c r="H536" t="s">
        <v>14</v>
      </c>
    </row>
    <row r="537" spans="1:8" hidden="1" x14ac:dyDescent="0.2">
      <c r="A537" t="s">
        <v>201</v>
      </c>
      <c r="B537" t="s">
        <v>75</v>
      </c>
      <c r="C537" t="s">
        <v>78</v>
      </c>
      <c r="D537" t="s">
        <v>202</v>
      </c>
      <c r="E537" t="s">
        <v>20</v>
      </c>
      <c r="F537">
        <v>17.100000000000001</v>
      </c>
      <c r="G537" t="s">
        <v>31</v>
      </c>
      <c r="H537" t="s">
        <v>14</v>
      </c>
    </row>
    <row r="538" spans="1:8" hidden="1" x14ac:dyDescent="0.2">
      <c r="A538" t="s">
        <v>201</v>
      </c>
      <c r="B538" t="s">
        <v>75</v>
      </c>
      <c r="C538" t="s">
        <v>78</v>
      </c>
      <c r="D538" t="s">
        <v>202</v>
      </c>
      <c r="E538" t="s">
        <v>19</v>
      </c>
      <c r="F538">
        <v>17.100000000000001</v>
      </c>
      <c r="G538" t="s">
        <v>31</v>
      </c>
      <c r="H538" t="s">
        <v>14</v>
      </c>
    </row>
    <row r="539" spans="1:8" hidden="1" x14ac:dyDescent="0.2">
      <c r="A539" t="s">
        <v>201</v>
      </c>
      <c r="B539" t="s">
        <v>75</v>
      </c>
      <c r="C539" t="s">
        <v>78</v>
      </c>
      <c r="D539" t="s">
        <v>202</v>
      </c>
      <c r="E539" t="s">
        <v>17</v>
      </c>
      <c r="F539">
        <v>21.4</v>
      </c>
      <c r="G539" t="s">
        <v>31</v>
      </c>
      <c r="H539" t="s">
        <v>14</v>
      </c>
    </row>
    <row r="540" spans="1:8" hidden="1" x14ac:dyDescent="0.2">
      <c r="A540" t="s">
        <v>1549</v>
      </c>
      <c r="D540" t="s">
        <v>1550</v>
      </c>
      <c r="E540" t="s">
        <v>22</v>
      </c>
      <c r="F540">
        <v>433.3</v>
      </c>
      <c r="G540" t="s">
        <v>31</v>
      </c>
      <c r="H540" t="s">
        <v>51</v>
      </c>
    </row>
    <row r="541" spans="1:8" hidden="1" x14ac:dyDescent="0.2">
      <c r="A541" t="s">
        <v>1549</v>
      </c>
      <c r="D541" t="s">
        <v>1550</v>
      </c>
      <c r="E541" t="s">
        <v>12</v>
      </c>
      <c r="F541">
        <v>86.7</v>
      </c>
      <c r="G541" t="s">
        <v>31</v>
      </c>
      <c r="H541" t="s">
        <v>27</v>
      </c>
    </row>
    <row r="542" spans="1:8" hidden="1" x14ac:dyDescent="0.2">
      <c r="A542" t="s">
        <v>1549</v>
      </c>
      <c r="D542" t="s">
        <v>1550</v>
      </c>
      <c r="E542" t="s">
        <v>21</v>
      </c>
      <c r="F542">
        <v>216.6</v>
      </c>
      <c r="G542" t="s">
        <v>31</v>
      </c>
      <c r="H542" t="s">
        <v>51</v>
      </c>
    </row>
    <row r="543" spans="1:8" hidden="1" x14ac:dyDescent="0.2">
      <c r="A543" t="s">
        <v>1549</v>
      </c>
      <c r="D543" t="s">
        <v>1550</v>
      </c>
      <c r="E543" t="s">
        <v>20</v>
      </c>
      <c r="F543">
        <v>173.3</v>
      </c>
      <c r="G543" t="s">
        <v>31</v>
      </c>
      <c r="H543" t="s">
        <v>51</v>
      </c>
    </row>
    <row r="544" spans="1:8" hidden="1" x14ac:dyDescent="0.2">
      <c r="A544" t="s">
        <v>1549</v>
      </c>
      <c r="D544" t="s">
        <v>1550</v>
      </c>
      <c r="E544" t="s">
        <v>19</v>
      </c>
      <c r="F544">
        <v>173.3</v>
      </c>
      <c r="G544" t="s">
        <v>31</v>
      </c>
      <c r="H544" t="s">
        <v>51</v>
      </c>
    </row>
    <row r="545" spans="1:8" hidden="1" x14ac:dyDescent="0.2">
      <c r="A545" t="s">
        <v>1549</v>
      </c>
      <c r="D545" t="s">
        <v>1550</v>
      </c>
      <c r="E545" t="s">
        <v>17</v>
      </c>
      <c r="F545">
        <v>216.6</v>
      </c>
      <c r="G545" t="s">
        <v>31</v>
      </c>
      <c r="H545" t="s">
        <v>51</v>
      </c>
    </row>
    <row r="546" spans="1:8" hidden="1" x14ac:dyDescent="0.2">
      <c r="A546" t="s">
        <v>1553</v>
      </c>
      <c r="D546" t="s">
        <v>1554</v>
      </c>
      <c r="E546" t="s">
        <v>22</v>
      </c>
      <c r="F546">
        <v>266.7</v>
      </c>
      <c r="G546" t="s">
        <v>31</v>
      </c>
      <c r="H546" t="s">
        <v>51</v>
      </c>
    </row>
    <row r="547" spans="1:8" hidden="1" x14ac:dyDescent="0.2">
      <c r="A547" t="s">
        <v>1553</v>
      </c>
      <c r="D547" t="s">
        <v>1554</v>
      </c>
      <c r="E547" t="s">
        <v>12</v>
      </c>
      <c r="F547">
        <v>53.3</v>
      </c>
      <c r="G547" t="s">
        <v>31</v>
      </c>
      <c r="H547" t="s">
        <v>27</v>
      </c>
    </row>
    <row r="548" spans="1:8" hidden="1" x14ac:dyDescent="0.2">
      <c r="A548" t="s">
        <v>1553</v>
      </c>
      <c r="D548" t="s">
        <v>1554</v>
      </c>
      <c r="E548" t="s">
        <v>21</v>
      </c>
      <c r="F548">
        <v>133.4</v>
      </c>
      <c r="G548" t="s">
        <v>31</v>
      </c>
      <c r="H548" t="s">
        <v>51</v>
      </c>
    </row>
    <row r="549" spans="1:8" hidden="1" x14ac:dyDescent="0.2">
      <c r="A549" t="s">
        <v>1553</v>
      </c>
      <c r="D549" t="s">
        <v>1554</v>
      </c>
      <c r="E549" t="s">
        <v>20</v>
      </c>
      <c r="F549">
        <v>106.7</v>
      </c>
      <c r="G549" t="s">
        <v>31</v>
      </c>
      <c r="H549" t="s">
        <v>51</v>
      </c>
    </row>
    <row r="550" spans="1:8" hidden="1" x14ac:dyDescent="0.2">
      <c r="A550" t="s">
        <v>1553</v>
      </c>
      <c r="D550" t="s">
        <v>1554</v>
      </c>
      <c r="E550" t="s">
        <v>19</v>
      </c>
      <c r="F550">
        <v>106.7</v>
      </c>
      <c r="G550" t="s">
        <v>31</v>
      </c>
      <c r="H550" t="s">
        <v>51</v>
      </c>
    </row>
    <row r="551" spans="1:8" hidden="1" x14ac:dyDescent="0.2">
      <c r="A551" t="s">
        <v>1553</v>
      </c>
      <c r="D551" t="s">
        <v>1554</v>
      </c>
      <c r="E551" t="s">
        <v>17</v>
      </c>
      <c r="F551">
        <v>133.4</v>
      </c>
      <c r="G551" t="s">
        <v>31</v>
      </c>
      <c r="H551" t="s">
        <v>51</v>
      </c>
    </row>
    <row r="552" spans="1:8" hidden="1" x14ac:dyDescent="0.2">
      <c r="A552" t="s">
        <v>203</v>
      </c>
      <c r="B552" t="s">
        <v>75</v>
      </c>
      <c r="C552" t="s">
        <v>78</v>
      </c>
      <c r="D552" t="s">
        <v>204</v>
      </c>
      <c r="E552" t="s">
        <v>22</v>
      </c>
      <c r="F552">
        <v>4266.7</v>
      </c>
      <c r="G552" t="s">
        <v>26</v>
      </c>
      <c r="H552" t="s">
        <v>27</v>
      </c>
    </row>
    <row r="553" spans="1:8" hidden="1" x14ac:dyDescent="0.2">
      <c r="A553" t="s">
        <v>203</v>
      </c>
      <c r="B553" t="s">
        <v>75</v>
      </c>
      <c r="C553" t="s">
        <v>78</v>
      </c>
      <c r="D553" t="s">
        <v>204</v>
      </c>
      <c r="E553" t="s">
        <v>1528</v>
      </c>
      <c r="G553" t="s">
        <v>26</v>
      </c>
      <c r="H553" t="s">
        <v>27</v>
      </c>
    </row>
    <row r="554" spans="1:8" hidden="1" x14ac:dyDescent="0.2">
      <c r="A554" t="s">
        <v>203</v>
      </c>
      <c r="B554" t="s">
        <v>75</v>
      </c>
      <c r="C554" t="s">
        <v>78</v>
      </c>
      <c r="D554" t="s">
        <v>204</v>
      </c>
      <c r="E554" t="s">
        <v>1529</v>
      </c>
      <c r="G554" t="s">
        <v>26</v>
      </c>
      <c r="H554" t="s">
        <v>27</v>
      </c>
    </row>
    <row r="555" spans="1:8" hidden="1" x14ac:dyDescent="0.2">
      <c r="A555" t="s">
        <v>203</v>
      </c>
      <c r="B555" t="s">
        <v>75</v>
      </c>
      <c r="C555" t="s">
        <v>78</v>
      </c>
      <c r="D555" t="s">
        <v>204</v>
      </c>
      <c r="E555" t="s">
        <v>1530</v>
      </c>
      <c r="G555" t="s">
        <v>26</v>
      </c>
      <c r="H555" t="s">
        <v>27</v>
      </c>
    </row>
    <row r="556" spans="1:8" hidden="1" x14ac:dyDescent="0.2">
      <c r="A556" t="s">
        <v>203</v>
      </c>
      <c r="B556" t="s">
        <v>75</v>
      </c>
      <c r="C556" t="s">
        <v>78</v>
      </c>
      <c r="D556" t="s">
        <v>204</v>
      </c>
      <c r="E556" t="s">
        <v>1531</v>
      </c>
      <c r="G556" t="s">
        <v>26</v>
      </c>
      <c r="H556" t="s">
        <v>27</v>
      </c>
    </row>
    <row r="557" spans="1:8" hidden="1" x14ac:dyDescent="0.2">
      <c r="A557" t="s">
        <v>203</v>
      </c>
      <c r="B557" t="s">
        <v>75</v>
      </c>
      <c r="C557" t="s">
        <v>78</v>
      </c>
      <c r="D557" t="s">
        <v>204</v>
      </c>
      <c r="E557" t="s">
        <v>12</v>
      </c>
      <c r="F557">
        <v>853.3</v>
      </c>
      <c r="G557" t="s">
        <v>26</v>
      </c>
      <c r="H557" t="s">
        <v>18</v>
      </c>
    </row>
    <row r="558" spans="1:8" hidden="1" x14ac:dyDescent="0.2">
      <c r="A558" t="s">
        <v>203</v>
      </c>
      <c r="B558" t="s">
        <v>75</v>
      </c>
      <c r="C558" t="s">
        <v>78</v>
      </c>
      <c r="D558" t="s">
        <v>204</v>
      </c>
      <c r="E558" t="s">
        <v>21</v>
      </c>
      <c r="F558">
        <v>2133.4</v>
      </c>
      <c r="G558" t="s">
        <v>26</v>
      </c>
      <c r="H558" t="s">
        <v>27</v>
      </c>
    </row>
    <row r="559" spans="1:8" hidden="1" x14ac:dyDescent="0.2">
      <c r="A559" t="s">
        <v>203</v>
      </c>
      <c r="B559" t="s">
        <v>75</v>
      </c>
      <c r="C559" t="s">
        <v>78</v>
      </c>
      <c r="D559" t="s">
        <v>204</v>
      </c>
      <c r="E559" t="s">
        <v>20</v>
      </c>
      <c r="F559">
        <v>1706.7</v>
      </c>
      <c r="G559" t="s">
        <v>26</v>
      </c>
      <c r="H559" t="s">
        <v>27</v>
      </c>
    </row>
    <row r="560" spans="1:8" hidden="1" x14ac:dyDescent="0.2">
      <c r="A560" t="s">
        <v>203</v>
      </c>
      <c r="B560" t="s">
        <v>75</v>
      </c>
      <c r="C560" t="s">
        <v>78</v>
      </c>
      <c r="D560" t="s">
        <v>204</v>
      </c>
      <c r="E560" t="s">
        <v>19</v>
      </c>
      <c r="F560">
        <v>1706.7</v>
      </c>
      <c r="G560" t="s">
        <v>26</v>
      </c>
      <c r="H560" t="s">
        <v>27</v>
      </c>
    </row>
    <row r="561" spans="1:8" hidden="1" x14ac:dyDescent="0.2">
      <c r="A561" t="s">
        <v>203</v>
      </c>
      <c r="B561" t="s">
        <v>75</v>
      </c>
      <c r="C561" t="s">
        <v>78</v>
      </c>
      <c r="D561" t="s">
        <v>204</v>
      </c>
      <c r="E561" t="s">
        <v>17</v>
      </c>
      <c r="F561">
        <v>2133.4</v>
      </c>
      <c r="G561" t="s">
        <v>26</v>
      </c>
      <c r="H561" t="s">
        <v>27</v>
      </c>
    </row>
    <row r="562" spans="1:8" hidden="1" x14ac:dyDescent="0.2">
      <c r="A562" t="s">
        <v>1557</v>
      </c>
      <c r="D562" t="s">
        <v>1558</v>
      </c>
      <c r="E562" t="s">
        <v>22</v>
      </c>
      <c r="F562">
        <v>0.3</v>
      </c>
      <c r="G562" t="s">
        <v>31</v>
      </c>
      <c r="H562" t="s">
        <v>51</v>
      </c>
    </row>
    <row r="563" spans="1:8" hidden="1" x14ac:dyDescent="0.2">
      <c r="A563" t="s">
        <v>1557</v>
      </c>
      <c r="D563" t="s">
        <v>1558</v>
      </c>
      <c r="E563" t="s">
        <v>12</v>
      </c>
      <c r="F563">
        <v>0.1</v>
      </c>
      <c r="G563" t="s">
        <v>31</v>
      </c>
      <c r="H563" t="s">
        <v>27</v>
      </c>
    </row>
    <row r="564" spans="1:8" hidden="1" x14ac:dyDescent="0.2">
      <c r="A564" t="s">
        <v>1557</v>
      </c>
      <c r="D564" t="s">
        <v>1558</v>
      </c>
      <c r="E564" t="s">
        <v>21</v>
      </c>
      <c r="F564">
        <v>0.2</v>
      </c>
      <c r="G564" t="s">
        <v>31</v>
      </c>
      <c r="H564" t="s">
        <v>51</v>
      </c>
    </row>
    <row r="565" spans="1:8" hidden="1" x14ac:dyDescent="0.2">
      <c r="A565" t="s">
        <v>1557</v>
      </c>
      <c r="D565" t="s">
        <v>1558</v>
      </c>
      <c r="E565" t="s">
        <v>20</v>
      </c>
      <c r="F565">
        <v>0.1</v>
      </c>
      <c r="G565" t="s">
        <v>31</v>
      </c>
      <c r="H565" t="s">
        <v>51</v>
      </c>
    </row>
    <row r="566" spans="1:8" hidden="1" x14ac:dyDescent="0.2">
      <c r="A566" t="s">
        <v>1557</v>
      </c>
      <c r="D566" t="s">
        <v>1558</v>
      </c>
      <c r="E566" t="s">
        <v>19</v>
      </c>
      <c r="F566">
        <v>0.1</v>
      </c>
      <c r="G566" t="s">
        <v>31</v>
      </c>
      <c r="H566" t="s">
        <v>51</v>
      </c>
    </row>
    <row r="567" spans="1:8" hidden="1" x14ac:dyDescent="0.2">
      <c r="A567" t="s">
        <v>1557</v>
      </c>
      <c r="D567" t="s">
        <v>1558</v>
      </c>
      <c r="E567" t="s">
        <v>17</v>
      </c>
      <c r="F567">
        <v>0.2</v>
      </c>
      <c r="G567" t="s">
        <v>31</v>
      </c>
      <c r="H567" t="s">
        <v>51</v>
      </c>
    </row>
    <row r="568" spans="1:8" hidden="1" x14ac:dyDescent="0.2">
      <c r="A568" t="s">
        <v>1561</v>
      </c>
      <c r="D568" t="s">
        <v>1562</v>
      </c>
      <c r="E568" t="s">
        <v>22</v>
      </c>
      <c r="F568">
        <v>800</v>
      </c>
      <c r="G568" t="s">
        <v>31</v>
      </c>
      <c r="H568" t="s">
        <v>51</v>
      </c>
    </row>
    <row r="569" spans="1:8" hidden="1" x14ac:dyDescent="0.2">
      <c r="A569" t="s">
        <v>1561</v>
      </c>
      <c r="D569" t="s">
        <v>1562</v>
      </c>
      <c r="E569" t="s">
        <v>12</v>
      </c>
      <c r="F569">
        <v>160</v>
      </c>
      <c r="G569" t="s">
        <v>31</v>
      </c>
      <c r="H569" t="s">
        <v>27</v>
      </c>
    </row>
    <row r="570" spans="1:8" hidden="1" x14ac:dyDescent="0.2">
      <c r="A570" t="s">
        <v>1561</v>
      </c>
      <c r="D570" t="s">
        <v>1562</v>
      </c>
      <c r="E570" t="s">
        <v>21</v>
      </c>
      <c r="F570">
        <v>400</v>
      </c>
      <c r="G570" t="s">
        <v>31</v>
      </c>
      <c r="H570" t="s">
        <v>51</v>
      </c>
    </row>
    <row r="571" spans="1:8" hidden="1" x14ac:dyDescent="0.2">
      <c r="A571" t="s">
        <v>1561</v>
      </c>
      <c r="D571" t="s">
        <v>1562</v>
      </c>
      <c r="E571" t="s">
        <v>20</v>
      </c>
      <c r="F571">
        <v>320</v>
      </c>
      <c r="G571" t="s">
        <v>31</v>
      </c>
      <c r="H571" t="s">
        <v>51</v>
      </c>
    </row>
    <row r="572" spans="1:8" hidden="1" x14ac:dyDescent="0.2">
      <c r="A572" t="s">
        <v>1561</v>
      </c>
      <c r="D572" t="s">
        <v>1562</v>
      </c>
      <c r="E572" t="s">
        <v>19</v>
      </c>
      <c r="F572">
        <v>320</v>
      </c>
      <c r="G572" t="s">
        <v>31</v>
      </c>
      <c r="H572" t="s">
        <v>51</v>
      </c>
    </row>
    <row r="573" spans="1:8" hidden="1" x14ac:dyDescent="0.2">
      <c r="A573" t="s">
        <v>1561</v>
      </c>
      <c r="D573" t="s">
        <v>1562</v>
      </c>
      <c r="E573" t="s">
        <v>17</v>
      </c>
      <c r="F573">
        <v>400</v>
      </c>
      <c r="G573" t="s">
        <v>31</v>
      </c>
      <c r="H573" t="s">
        <v>51</v>
      </c>
    </row>
    <row r="574" spans="1:8" hidden="1" x14ac:dyDescent="0.2">
      <c r="A574" t="s">
        <v>1564</v>
      </c>
      <c r="D574" t="s">
        <v>1565</v>
      </c>
      <c r="E574" t="s">
        <v>22</v>
      </c>
      <c r="F574">
        <v>533.29999999999995</v>
      </c>
      <c r="G574" t="s">
        <v>31</v>
      </c>
      <c r="H574" t="s">
        <v>51</v>
      </c>
    </row>
    <row r="575" spans="1:8" hidden="1" x14ac:dyDescent="0.2">
      <c r="A575" t="s">
        <v>1564</v>
      </c>
      <c r="D575" t="s">
        <v>1565</v>
      </c>
      <c r="E575" t="s">
        <v>12</v>
      </c>
      <c r="F575">
        <v>106.7</v>
      </c>
      <c r="G575" t="s">
        <v>31</v>
      </c>
      <c r="H575" t="s">
        <v>27</v>
      </c>
    </row>
    <row r="576" spans="1:8" hidden="1" x14ac:dyDescent="0.2">
      <c r="A576" t="s">
        <v>1564</v>
      </c>
      <c r="D576" t="s">
        <v>1565</v>
      </c>
      <c r="E576" t="s">
        <v>21</v>
      </c>
      <c r="F576">
        <v>266.60000000000002</v>
      </c>
      <c r="G576" t="s">
        <v>31</v>
      </c>
      <c r="H576" t="s">
        <v>51</v>
      </c>
    </row>
    <row r="577" spans="1:8" hidden="1" x14ac:dyDescent="0.2">
      <c r="A577" t="s">
        <v>1564</v>
      </c>
      <c r="D577" t="s">
        <v>1565</v>
      </c>
      <c r="E577" t="s">
        <v>20</v>
      </c>
      <c r="F577">
        <v>213.3</v>
      </c>
      <c r="G577" t="s">
        <v>31</v>
      </c>
      <c r="H577" t="s">
        <v>51</v>
      </c>
    </row>
    <row r="578" spans="1:8" hidden="1" x14ac:dyDescent="0.2">
      <c r="A578" t="s">
        <v>1564</v>
      </c>
      <c r="D578" t="s">
        <v>1565</v>
      </c>
      <c r="E578" t="s">
        <v>19</v>
      </c>
      <c r="F578">
        <v>213.3</v>
      </c>
      <c r="G578" t="s">
        <v>31</v>
      </c>
      <c r="H578" t="s">
        <v>51</v>
      </c>
    </row>
    <row r="579" spans="1:8" hidden="1" x14ac:dyDescent="0.2">
      <c r="A579" t="s">
        <v>1564</v>
      </c>
      <c r="D579" t="s">
        <v>1565</v>
      </c>
      <c r="E579" t="s">
        <v>17</v>
      </c>
      <c r="F579">
        <v>266.60000000000002</v>
      </c>
      <c r="G579" t="s">
        <v>31</v>
      </c>
      <c r="H579" t="s">
        <v>51</v>
      </c>
    </row>
    <row r="580" spans="1:8" hidden="1" x14ac:dyDescent="0.2">
      <c r="A580" t="s">
        <v>205</v>
      </c>
      <c r="D580" t="s">
        <v>206</v>
      </c>
      <c r="E580" t="s">
        <v>22</v>
      </c>
      <c r="F580">
        <v>466.7</v>
      </c>
      <c r="G580" t="s">
        <v>31</v>
      </c>
      <c r="H580" t="s">
        <v>18</v>
      </c>
    </row>
    <row r="581" spans="1:8" hidden="1" x14ac:dyDescent="0.2">
      <c r="A581" t="s">
        <v>205</v>
      </c>
      <c r="D581" t="s">
        <v>206</v>
      </c>
      <c r="E581" t="s">
        <v>1528</v>
      </c>
      <c r="G581" t="s">
        <v>31</v>
      </c>
      <c r="H581" t="s">
        <v>18</v>
      </c>
    </row>
    <row r="582" spans="1:8" hidden="1" x14ac:dyDescent="0.2">
      <c r="A582" t="s">
        <v>205</v>
      </c>
      <c r="D582" t="s">
        <v>206</v>
      </c>
      <c r="E582" t="s">
        <v>1529</v>
      </c>
      <c r="G582" t="s">
        <v>31</v>
      </c>
      <c r="H582" t="s">
        <v>18</v>
      </c>
    </row>
    <row r="583" spans="1:8" hidden="1" x14ac:dyDescent="0.2">
      <c r="A583" t="s">
        <v>205</v>
      </c>
      <c r="D583" t="s">
        <v>206</v>
      </c>
      <c r="E583" t="s">
        <v>1530</v>
      </c>
      <c r="G583" t="s">
        <v>31</v>
      </c>
      <c r="H583" t="s">
        <v>18</v>
      </c>
    </row>
    <row r="584" spans="1:8" hidden="1" x14ac:dyDescent="0.2">
      <c r="A584" t="s">
        <v>205</v>
      </c>
      <c r="D584" t="s">
        <v>206</v>
      </c>
      <c r="E584" t="s">
        <v>1531</v>
      </c>
      <c r="G584" t="s">
        <v>31</v>
      </c>
      <c r="H584" t="s">
        <v>18</v>
      </c>
    </row>
    <row r="585" spans="1:8" hidden="1" x14ac:dyDescent="0.2">
      <c r="A585" t="s">
        <v>205</v>
      </c>
      <c r="D585" t="s">
        <v>206</v>
      </c>
      <c r="E585" t="s">
        <v>12</v>
      </c>
      <c r="F585">
        <v>93.3</v>
      </c>
      <c r="G585" t="s">
        <v>31</v>
      </c>
      <c r="H585" t="s">
        <v>14</v>
      </c>
    </row>
    <row r="586" spans="1:8" hidden="1" x14ac:dyDescent="0.2">
      <c r="A586" t="s">
        <v>205</v>
      </c>
      <c r="D586" t="s">
        <v>206</v>
      </c>
      <c r="E586" t="s">
        <v>21</v>
      </c>
      <c r="F586">
        <v>233.4</v>
      </c>
      <c r="G586" t="s">
        <v>31</v>
      </c>
      <c r="H586" t="s">
        <v>18</v>
      </c>
    </row>
    <row r="587" spans="1:8" hidden="1" x14ac:dyDescent="0.2">
      <c r="A587" t="s">
        <v>205</v>
      </c>
      <c r="D587" t="s">
        <v>206</v>
      </c>
      <c r="E587" t="s">
        <v>20</v>
      </c>
      <c r="F587">
        <v>186.7</v>
      </c>
      <c r="G587" t="s">
        <v>31</v>
      </c>
      <c r="H587" t="s">
        <v>18</v>
      </c>
    </row>
    <row r="588" spans="1:8" hidden="1" x14ac:dyDescent="0.2">
      <c r="A588" t="s">
        <v>205</v>
      </c>
      <c r="D588" t="s">
        <v>206</v>
      </c>
      <c r="E588" t="s">
        <v>19</v>
      </c>
      <c r="F588">
        <v>186.7</v>
      </c>
      <c r="G588" t="s">
        <v>31</v>
      </c>
      <c r="H588" t="s">
        <v>18</v>
      </c>
    </row>
    <row r="589" spans="1:8" hidden="1" x14ac:dyDescent="0.2">
      <c r="A589" t="s">
        <v>205</v>
      </c>
      <c r="D589" t="s">
        <v>206</v>
      </c>
      <c r="E589" t="s">
        <v>17</v>
      </c>
      <c r="F589">
        <v>233.4</v>
      </c>
      <c r="G589" t="s">
        <v>31</v>
      </c>
      <c r="H589" t="s">
        <v>18</v>
      </c>
    </row>
    <row r="590" spans="1:8" hidden="1" x14ac:dyDescent="0.2">
      <c r="A590" t="s">
        <v>207</v>
      </c>
      <c r="B590" t="s">
        <v>75</v>
      </c>
      <c r="C590" t="s">
        <v>78</v>
      </c>
      <c r="D590" t="s">
        <v>208</v>
      </c>
      <c r="E590" t="s">
        <v>22</v>
      </c>
      <c r="F590">
        <v>266.7</v>
      </c>
      <c r="G590" t="s">
        <v>31</v>
      </c>
      <c r="H590" t="s">
        <v>51</v>
      </c>
    </row>
    <row r="591" spans="1:8" hidden="1" x14ac:dyDescent="0.2">
      <c r="A591" t="s">
        <v>207</v>
      </c>
      <c r="B591" t="s">
        <v>75</v>
      </c>
      <c r="C591" t="s">
        <v>78</v>
      </c>
      <c r="D591" t="s">
        <v>208</v>
      </c>
      <c r="E591" t="s">
        <v>1528</v>
      </c>
      <c r="G591" t="s">
        <v>31</v>
      </c>
      <c r="H591" t="s">
        <v>51</v>
      </c>
    </row>
    <row r="592" spans="1:8" hidden="1" x14ac:dyDescent="0.2">
      <c r="A592" t="s">
        <v>207</v>
      </c>
      <c r="B592" t="s">
        <v>75</v>
      </c>
      <c r="C592" t="s">
        <v>78</v>
      </c>
      <c r="D592" t="s">
        <v>208</v>
      </c>
      <c r="E592" t="s">
        <v>1529</v>
      </c>
      <c r="G592" t="s">
        <v>31</v>
      </c>
      <c r="H592" t="s">
        <v>51</v>
      </c>
    </row>
    <row r="593" spans="1:8" hidden="1" x14ac:dyDescent="0.2">
      <c r="A593" t="s">
        <v>207</v>
      </c>
      <c r="B593" t="s">
        <v>75</v>
      </c>
      <c r="C593" t="s">
        <v>78</v>
      </c>
      <c r="D593" t="s">
        <v>208</v>
      </c>
      <c r="E593" t="s">
        <v>1530</v>
      </c>
      <c r="G593" t="s">
        <v>31</v>
      </c>
      <c r="H593" t="s">
        <v>51</v>
      </c>
    </row>
    <row r="594" spans="1:8" hidden="1" x14ac:dyDescent="0.2">
      <c r="A594" t="s">
        <v>207</v>
      </c>
      <c r="B594" t="s">
        <v>75</v>
      </c>
      <c r="C594" t="s">
        <v>78</v>
      </c>
      <c r="D594" t="s">
        <v>208</v>
      </c>
      <c r="E594" t="s">
        <v>1531</v>
      </c>
      <c r="G594" t="s">
        <v>31</v>
      </c>
      <c r="H594" t="s">
        <v>51</v>
      </c>
    </row>
    <row r="595" spans="1:8" hidden="1" x14ac:dyDescent="0.2">
      <c r="A595" t="s">
        <v>207</v>
      </c>
      <c r="B595" t="s">
        <v>75</v>
      </c>
      <c r="C595" t="s">
        <v>78</v>
      </c>
      <c r="D595" t="s">
        <v>208</v>
      </c>
      <c r="E595" t="s">
        <v>12</v>
      </c>
      <c r="F595">
        <v>53.3</v>
      </c>
      <c r="G595" t="s">
        <v>31</v>
      </c>
      <c r="H595" t="s">
        <v>27</v>
      </c>
    </row>
    <row r="596" spans="1:8" hidden="1" x14ac:dyDescent="0.2">
      <c r="A596" t="s">
        <v>207</v>
      </c>
      <c r="B596" t="s">
        <v>75</v>
      </c>
      <c r="C596" t="s">
        <v>78</v>
      </c>
      <c r="D596" t="s">
        <v>208</v>
      </c>
      <c r="E596" t="s">
        <v>21</v>
      </c>
      <c r="F596">
        <v>133.4</v>
      </c>
      <c r="G596" t="s">
        <v>31</v>
      </c>
      <c r="H596" t="s">
        <v>51</v>
      </c>
    </row>
    <row r="597" spans="1:8" hidden="1" x14ac:dyDescent="0.2">
      <c r="A597" t="s">
        <v>207</v>
      </c>
      <c r="B597" t="s">
        <v>75</v>
      </c>
      <c r="C597" t="s">
        <v>78</v>
      </c>
      <c r="D597" t="s">
        <v>208</v>
      </c>
      <c r="E597" t="s">
        <v>20</v>
      </c>
      <c r="F597">
        <v>106.7</v>
      </c>
      <c r="G597" t="s">
        <v>31</v>
      </c>
      <c r="H597" t="s">
        <v>51</v>
      </c>
    </row>
    <row r="598" spans="1:8" hidden="1" x14ac:dyDescent="0.2">
      <c r="A598" t="s">
        <v>207</v>
      </c>
      <c r="B598" t="s">
        <v>75</v>
      </c>
      <c r="C598" t="s">
        <v>78</v>
      </c>
      <c r="D598" t="s">
        <v>208</v>
      </c>
      <c r="E598" t="s">
        <v>19</v>
      </c>
      <c r="F598">
        <v>106.7</v>
      </c>
      <c r="G598" t="s">
        <v>31</v>
      </c>
      <c r="H598" t="s">
        <v>51</v>
      </c>
    </row>
    <row r="599" spans="1:8" hidden="1" x14ac:dyDescent="0.2">
      <c r="A599" t="s">
        <v>207</v>
      </c>
      <c r="B599" t="s">
        <v>75</v>
      </c>
      <c r="C599" t="s">
        <v>78</v>
      </c>
      <c r="D599" t="s">
        <v>208</v>
      </c>
      <c r="E599" t="s">
        <v>17</v>
      </c>
      <c r="F599">
        <v>133.4</v>
      </c>
      <c r="G599" t="s">
        <v>31</v>
      </c>
      <c r="H599" t="s">
        <v>51</v>
      </c>
    </row>
    <row r="600" spans="1:8" hidden="1" x14ac:dyDescent="0.2">
      <c r="A600" t="s">
        <v>209</v>
      </c>
      <c r="B600" t="s">
        <v>75</v>
      </c>
      <c r="C600" t="s">
        <v>78</v>
      </c>
      <c r="D600" t="s">
        <v>210</v>
      </c>
      <c r="E600" t="s">
        <v>22</v>
      </c>
      <c r="F600">
        <v>266.7</v>
      </c>
      <c r="G600" t="s">
        <v>31</v>
      </c>
      <c r="H600" t="s">
        <v>51</v>
      </c>
    </row>
    <row r="601" spans="1:8" hidden="1" x14ac:dyDescent="0.2">
      <c r="A601" t="s">
        <v>209</v>
      </c>
      <c r="B601" t="s">
        <v>75</v>
      </c>
      <c r="C601" t="s">
        <v>78</v>
      </c>
      <c r="D601" t="s">
        <v>210</v>
      </c>
      <c r="E601" t="s">
        <v>1528</v>
      </c>
      <c r="G601" t="s">
        <v>31</v>
      </c>
      <c r="H601" t="s">
        <v>51</v>
      </c>
    </row>
    <row r="602" spans="1:8" hidden="1" x14ac:dyDescent="0.2">
      <c r="A602" t="s">
        <v>209</v>
      </c>
      <c r="B602" t="s">
        <v>75</v>
      </c>
      <c r="C602" t="s">
        <v>78</v>
      </c>
      <c r="D602" t="s">
        <v>210</v>
      </c>
      <c r="E602" t="s">
        <v>1529</v>
      </c>
      <c r="G602" t="s">
        <v>31</v>
      </c>
      <c r="H602" t="s">
        <v>51</v>
      </c>
    </row>
    <row r="603" spans="1:8" hidden="1" x14ac:dyDescent="0.2">
      <c r="A603" t="s">
        <v>209</v>
      </c>
      <c r="B603" t="s">
        <v>75</v>
      </c>
      <c r="C603" t="s">
        <v>78</v>
      </c>
      <c r="D603" t="s">
        <v>210</v>
      </c>
      <c r="E603" t="s">
        <v>1530</v>
      </c>
      <c r="G603" t="s">
        <v>31</v>
      </c>
      <c r="H603" t="s">
        <v>51</v>
      </c>
    </row>
    <row r="604" spans="1:8" hidden="1" x14ac:dyDescent="0.2">
      <c r="A604" t="s">
        <v>209</v>
      </c>
      <c r="B604" t="s">
        <v>75</v>
      </c>
      <c r="C604" t="s">
        <v>78</v>
      </c>
      <c r="D604" t="s">
        <v>210</v>
      </c>
      <c r="E604" t="s">
        <v>1531</v>
      </c>
      <c r="G604" t="s">
        <v>31</v>
      </c>
      <c r="H604" t="s">
        <v>51</v>
      </c>
    </row>
    <row r="605" spans="1:8" hidden="1" x14ac:dyDescent="0.2">
      <c r="A605" t="s">
        <v>209</v>
      </c>
      <c r="B605" t="s">
        <v>75</v>
      </c>
      <c r="C605" t="s">
        <v>78</v>
      </c>
      <c r="D605" t="s">
        <v>210</v>
      </c>
      <c r="E605" t="s">
        <v>12</v>
      </c>
      <c r="F605">
        <v>53.3</v>
      </c>
      <c r="G605" t="s">
        <v>31</v>
      </c>
      <c r="H605" t="s">
        <v>27</v>
      </c>
    </row>
    <row r="606" spans="1:8" hidden="1" x14ac:dyDescent="0.2">
      <c r="A606" t="s">
        <v>209</v>
      </c>
      <c r="B606" t="s">
        <v>75</v>
      </c>
      <c r="C606" t="s">
        <v>78</v>
      </c>
      <c r="D606" t="s">
        <v>210</v>
      </c>
      <c r="E606" t="s">
        <v>21</v>
      </c>
      <c r="F606">
        <v>133.4</v>
      </c>
      <c r="G606" t="s">
        <v>31</v>
      </c>
      <c r="H606" t="s">
        <v>51</v>
      </c>
    </row>
    <row r="607" spans="1:8" hidden="1" x14ac:dyDescent="0.2">
      <c r="A607" t="s">
        <v>209</v>
      </c>
      <c r="B607" t="s">
        <v>75</v>
      </c>
      <c r="C607" t="s">
        <v>78</v>
      </c>
      <c r="D607" t="s">
        <v>210</v>
      </c>
      <c r="E607" t="s">
        <v>20</v>
      </c>
      <c r="F607">
        <v>106.7</v>
      </c>
      <c r="G607" t="s">
        <v>31</v>
      </c>
      <c r="H607" t="s">
        <v>51</v>
      </c>
    </row>
    <row r="608" spans="1:8" hidden="1" x14ac:dyDescent="0.2">
      <c r="A608" t="s">
        <v>209</v>
      </c>
      <c r="B608" t="s">
        <v>75</v>
      </c>
      <c r="C608" t="s">
        <v>78</v>
      </c>
      <c r="D608" t="s">
        <v>210</v>
      </c>
      <c r="E608" t="s">
        <v>19</v>
      </c>
      <c r="F608">
        <v>106.7</v>
      </c>
      <c r="G608" t="s">
        <v>31</v>
      </c>
      <c r="H608" t="s">
        <v>51</v>
      </c>
    </row>
    <row r="609" spans="1:8" hidden="1" x14ac:dyDescent="0.2">
      <c r="A609" t="s">
        <v>209</v>
      </c>
      <c r="B609" t="s">
        <v>75</v>
      </c>
      <c r="C609" t="s">
        <v>78</v>
      </c>
      <c r="D609" t="s">
        <v>210</v>
      </c>
      <c r="E609" t="s">
        <v>17</v>
      </c>
      <c r="F609">
        <v>133.4</v>
      </c>
      <c r="G609" t="s">
        <v>31</v>
      </c>
      <c r="H609" t="s">
        <v>51</v>
      </c>
    </row>
    <row r="610" spans="1:8" hidden="1" x14ac:dyDescent="0.2">
      <c r="A610" t="s">
        <v>211</v>
      </c>
      <c r="B610" t="s">
        <v>75</v>
      </c>
      <c r="C610" t="s">
        <v>85</v>
      </c>
      <c r="D610" t="s">
        <v>212</v>
      </c>
      <c r="E610" t="s">
        <v>22</v>
      </c>
      <c r="F610">
        <v>106.7</v>
      </c>
      <c r="G610" t="s">
        <v>31</v>
      </c>
      <c r="H610" t="s">
        <v>27</v>
      </c>
    </row>
    <row r="611" spans="1:8" hidden="1" x14ac:dyDescent="0.2">
      <c r="A611" t="s">
        <v>211</v>
      </c>
      <c r="B611" t="s">
        <v>75</v>
      </c>
      <c r="C611" t="s">
        <v>85</v>
      </c>
      <c r="D611" t="s">
        <v>212</v>
      </c>
      <c r="E611" t="s">
        <v>1528</v>
      </c>
      <c r="G611" t="s">
        <v>31</v>
      </c>
      <c r="H611" t="s">
        <v>27</v>
      </c>
    </row>
    <row r="612" spans="1:8" hidden="1" x14ac:dyDescent="0.2">
      <c r="A612" t="s">
        <v>211</v>
      </c>
      <c r="B612" t="s">
        <v>75</v>
      </c>
      <c r="C612" t="s">
        <v>85</v>
      </c>
      <c r="D612" t="s">
        <v>212</v>
      </c>
      <c r="E612" t="s">
        <v>1529</v>
      </c>
      <c r="G612" t="s">
        <v>31</v>
      </c>
      <c r="H612" t="s">
        <v>27</v>
      </c>
    </row>
    <row r="613" spans="1:8" hidden="1" x14ac:dyDescent="0.2">
      <c r="A613" t="s">
        <v>211</v>
      </c>
      <c r="B613" t="s">
        <v>75</v>
      </c>
      <c r="C613" t="s">
        <v>85</v>
      </c>
      <c r="D613" t="s">
        <v>212</v>
      </c>
      <c r="E613" t="s">
        <v>1530</v>
      </c>
      <c r="G613" t="s">
        <v>31</v>
      </c>
      <c r="H613" t="s">
        <v>27</v>
      </c>
    </row>
    <row r="614" spans="1:8" hidden="1" x14ac:dyDescent="0.2">
      <c r="A614" t="s">
        <v>211</v>
      </c>
      <c r="B614" t="s">
        <v>75</v>
      </c>
      <c r="C614" t="s">
        <v>85</v>
      </c>
      <c r="D614" t="s">
        <v>212</v>
      </c>
      <c r="E614" t="s">
        <v>1531</v>
      </c>
      <c r="G614" t="s">
        <v>31</v>
      </c>
      <c r="H614" t="s">
        <v>27</v>
      </c>
    </row>
    <row r="615" spans="1:8" hidden="1" x14ac:dyDescent="0.2">
      <c r="A615" t="s">
        <v>211</v>
      </c>
      <c r="B615" t="s">
        <v>75</v>
      </c>
      <c r="C615" t="s">
        <v>85</v>
      </c>
      <c r="D615" t="s">
        <v>212</v>
      </c>
      <c r="E615" t="s">
        <v>12</v>
      </c>
      <c r="F615">
        <v>21.3</v>
      </c>
      <c r="G615" t="s">
        <v>31</v>
      </c>
      <c r="H615" t="s">
        <v>18</v>
      </c>
    </row>
    <row r="616" spans="1:8" hidden="1" x14ac:dyDescent="0.2">
      <c r="A616" t="s">
        <v>211</v>
      </c>
      <c r="B616" t="s">
        <v>75</v>
      </c>
      <c r="C616" t="s">
        <v>85</v>
      </c>
      <c r="D616" t="s">
        <v>212</v>
      </c>
      <c r="E616" t="s">
        <v>21</v>
      </c>
      <c r="F616">
        <v>53.4</v>
      </c>
      <c r="G616" t="s">
        <v>31</v>
      </c>
      <c r="H616" t="s">
        <v>27</v>
      </c>
    </row>
    <row r="617" spans="1:8" hidden="1" x14ac:dyDescent="0.2">
      <c r="A617" t="s">
        <v>211</v>
      </c>
      <c r="B617" t="s">
        <v>75</v>
      </c>
      <c r="C617" t="s">
        <v>85</v>
      </c>
      <c r="D617" t="s">
        <v>212</v>
      </c>
      <c r="E617" t="s">
        <v>20</v>
      </c>
      <c r="F617">
        <v>42.7</v>
      </c>
      <c r="G617" t="s">
        <v>31</v>
      </c>
      <c r="H617" t="s">
        <v>27</v>
      </c>
    </row>
    <row r="618" spans="1:8" hidden="1" x14ac:dyDescent="0.2">
      <c r="A618" t="s">
        <v>211</v>
      </c>
      <c r="B618" t="s">
        <v>75</v>
      </c>
      <c r="C618" t="s">
        <v>85</v>
      </c>
      <c r="D618" t="s">
        <v>212</v>
      </c>
      <c r="E618" t="s">
        <v>19</v>
      </c>
      <c r="F618">
        <v>42.7</v>
      </c>
      <c r="G618" t="s">
        <v>31</v>
      </c>
      <c r="H618" t="s">
        <v>27</v>
      </c>
    </row>
    <row r="619" spans="1:8" hidden="1" x14ac:dyDescent="0.2">
      <c r="A619" t="s">
        <v>211</v>
      </c>
      <c r="B619" t="s">
        <v>75</v>
      </c>
      <c r="C619" t="s">
        <v>85</v>
      </c>
      <c r="D619" t="s">
        <v>212</v>
      </c>
      <c r="E619" t="s">
        <v>17</v>
      </c>
      <c r="F619">
        <v>53.4</v>
      </c>
      <c r="G619" t="s">
        <v>31</v>
      </c>
      <c r="H619" t="s">
        <v>27</v>
      </c>
    </row>
    <row r="620" spans="1:8" hidden="1" x14ac:dyDescent="0.2">
      <c r="A620" t="s">
        <v>213</v>
      </c>
      <c r="B620" t="s">
        <v>75</v>
      </c>
      <c r="C620" t="s">
        <v>78</v>
      </c>
      <c r="D620" t="s">
        <v>214</v>
      </c>
      <c r="E620" t="s">
        <v>22</v>
      </c>
      <c r="F620">
        <v>140</v>
      </c>
      <c r="G620" t="s">
        <v>31</v>
      </c>
      <c r="H620" t="s">
        <v>51</v>
      </c>
    </row>
    <row r="621" spans="1:8" hidden="1" x14ac:dyDescent="0.2">
      <c r="A621" t="s">
        <v>213</v>
      </c>
      <c r="B621" t="s">
        <v>75</v>
      </c>
      <c r="C621" t="s">
        <v>78</v>
      </c>
      <c r="D621" t="s">
        <v>214</v>
      </c>
      <c r="E621" t="s">
        <v>1528</v>
      </c>
      <c r="G621" t="s">
        <v>31</v>
      </c>
      <c r="H621" t="s">
        <v>51</v>
      </c>
    </row>
    <row r="622" spans="1:8" hidden="1" x14ac:dyDescent="0.2">
      <c r="A622" t="s">
        <v>213</v>
      </c>
      <c r="B622" t="s">
        <v>75</v>
      </c>
      <c r="C622" t="s">
        <v>78</v>
      </c>
      <c r="D622" t="s">
        <v>214</v>
      </c>
      <c r="E622" t="s">
        <v>1529</v>
      </c>
      <c r="G622" t="s">
        <v>31</v>
      </c>
      <c r="H622" t="s">
        <v>51</v>
      </c>
    </row>
    <row r="623" spans="1:8" hidden="1" x14ac:dyDescent="0.2">
      <c r="A623" t="s">
        <v>213</v>
      </c>
      <c r="B623" t="s">
        <v>75</v>
      </c>
      <c r="C623" t="s">
        <v>78</v>
      </c>
      <c r="D623" t="s">
        <v>214</v>
      </c>
      <c r="E623" t="s">
        <v>1530</v>
      </c>
      <c r="G623" t="s">
        <v>31</v>
      </c>
      <c r="H623" t="s">
        <v>51</v>
      </c>
    </row>
    <row r="624" spans="1:8" hidden="1" x14ac:dyDescent="0.2">
      <c r="A624" t="s">
        <v>213</v>
      </c>
      <c r="B624" t="s">
        <v>75</v>
      </c>
      <c r="C624" t="s">
        <v>78</v>
      </c>
      <c r="D624" t="s">
        <v>214</v>
      </c>
      <c r="E624" t="s">
        <v>1531</v>
      </c>
      <c r="G624" t="s">
        <v>31</v>
      </c>
      <c r="H624" t="s">
        <v>51</v>
      </c>
    </row>
    <row r="625" spans="1:8" hidden="1" x14ac:dyDescent="0.2">
      <c r="A625" t="s">
        <v>213</v>
      </c>
      <c r="B625" t="s">
        <v>75</v>
      </c>
      <c r="C625" t="s">
        <v>78</v>
      </c>
      <c r="D625" t="s">
        <v>214</v>
      </c>
      <c r="E625" t="s">
        <v>12</v>
      </c>
      <c r="F625">
        <v>28</v>
      </c>
      <c r="G625" t="s">
        <v>31</v>
      </c>
      <c r="H625" t="s">
        <v>27</v>
      </c>
    </row>
    <row r="626" spans="1:8" hidden="1" x14ac:dyDescent="0.2">
      <c r="A626" t="s">
        <v>213</v>
      </c>
      <c r="B626" t="s">
        <v>75</v>
      </c>
      <c r="C626" t="s">
        <v>78</v>
      </c>
      <c r="D626" t="s">
        <v>214</v>
      </c>
      <c r="E626" t="s">
        <v>21</v>
      </c>
      <c r="F626">
        <v>70</v>
      </c>
      <c r="G626" t="s">
        <v>31</v>
      </c>
      <c r="H626" t="s">
        <v>51</v>
      </c>
    </row>
    <row r="627" spans="1:8" hidden="1" x14ac:dyDescent="0.2">
      <c r="A627" t="s">
        <v>213</v>
      </c>
      <c r="B627" t="s">
        <v>75</v>
      </c>
      <c r="C627" t="s">
        <v>78</v>
      </c>
      <c r="D627" t="s">
        <v>214</v>
      </c>
      <c r="E627" t="s">
        <v>20</v>
      </c>
      <c r="F627">
        <v>56</v>
      </c>
      <c r="G627" t="s">
        <v>31</v>
      </c>
      <c r="H627" t="s">
        <v>51</v>
      </c>
    </row>
    <row r="628" spans="1:8" hidden="1" x14ac:dyDescent="0.2">
      <c r="A628" t="s">
        <v>213</v>
      </c>
      <c r="B628" t="s">
        <v>75</v>
      </c>
      <c r="C628" t="s">
        <v>78</v>
      </c>
      <c r="D628" t="s">
        <v>214</v>
      </c>
      <c r="E628" t="s">
        <v>19</v>
      </c>
      <c r="F628">
        <v>56</v>
      </c>
      <c r="G628" t="s">
        <v>31</v>
      </c>
      <c r="H628" t="s">
        <v>51</v>
      </c>
    </row>
    <row r="629" spans="1:8" hidden="1" x14ac:dyDescent="0.2">
      <c r="A629" t="s">
        <v>213</v>
      </c>
      <c r="B629" t="s">
        <v>75</v>
      </c>
      <c r="C629" t="s">
        <v>78</v>
      </c>
      <c r="D629" t="s">
        <v>214</v>
      </c>
      <c r="E629" t="s">
        <v>17</v>
      </c>
      <c r="F629">
        <v>70</v>
      </c>
      <c r="G629" t="s">
        <v>31</v>
      </c>
      <c r="H629" t="s">
        <v>51</v>
      </c>
    </row>
    <row r="630" spans="1:8" hidden="1" x14ac:dyDescent="0.2">
      <c r="A630" t="s">
        <v>215</v>
      </c>
      <c r="B630" t="s">
        <v>75</v>
      </c>
      <c r="C630" t="s">
        <v>78</v>
      </c>
      <c r="D630" t="s">
        <v>216</v>
      </c>
      <c r="E630" t="s">
        <v>22</v>
      </c>
      <c r="F630">
        <v>140</v>
      </c>
      <c r="G630" t="s">
        <v>31</v>
      </c>
      <c r="H630" t="s">
        <v>51</v>
      </c>
    </row>
    <row r="631" spans="1:8" hidden="1" x14ac:dyDescent="0.2">
      <c r="A631" t="s">
        <v>215</v>
      </c>
      <c r="B631" t="s">
        <v>75</v>
      </c>
      <c r="C631" t="s">
        <v>78</v>
      </c>
      <c r="D631" t="s">
        <v>216</v>
      </c>
      <c r="E631" t="s">
        <v>1528</v>
      </c>
      <c r="G631" t="s">
        <v>31</v>
      </c>
      <c r="H631" t="s">
        <v>51</v>
      </c>
    </row>
    <row r="632" spans="1:8" hidden="1" x14ac:dyDescent="0.2">
      <c r="A632" t="s">
        <v>215</v>
      </c>
      <c r="B632" t="s">
        <v>75</v>
      </c>
      <c r="C632" t="s">
        <v>78</v>
      </c>
      <c r="D632" t="s">
        <v>216</v>
      </c>
      <c r="E632" t="s">
        <v>1529</v>
      </c>
      <c r="G632" t="s">
        <v>31</v>
      </c>
      <c r="H632" t="s">
        <v>51</v>
      </c>
    </row>
    <row r="633" spans="1:8" hidden="1" x14ac:dyDescent="0.2">
      <c r="A633" t="s">
        <v>215</v>
      </c>
      <c r="B633" t="s">
        <v>75</v>
      </c>
      <c r="C633" t="s">
        <v>78</v>
      </c>
      <c r="D633" t="s">
        <v>216</v>
      </c>
      <c r="E633" t="s">
        <v>1530</v>
      </c>
      <c r="G633" t="s">
        <v>31</v>
      </c>
      <c r="H633" t="s">
        <v>51</v>
      </c>
    </row>
    <row r="634" spans="1:8" hidden="1" x14ac:dyDescent="0.2">
      <c r="A634" t="s">
        <v>215</v>
      </c>
      <c r="B634" t="s">
        <v>75</v>
      </c>
      <c r="C634" t="s">
        <v>78</v>
      </c>
      <c r="D634" t="s">
        <v>216</v>
      </c>
      <c r="E634" t="s">
        <v>1531</v>
      </c>
      <c r="G634" t="s">
        <v>31</v>
      </c>
      <c r="H634" t="s">
        <v>51</v>
      </c>
    </row>
    <row r="635" spans="1:8" hidden="1" x14ac:dyDescent="0.2">
      <c r="A635" t="s">
        <v>215</v>
      </c>
      <c r="B635" t="s">
        <v>75</v>
      </c>
      <c r="C635" t="s">
        <v>78</v>
      </c>
      <c r="D635" t="s">
        <v>216</v>
      </c>
      <c r="E635" t="s">
        <v>12</v>
      </c>
      <c r="F635">
        <v>28</v>
      </c>
      <c r="G635" t="s">
        <v>31</v>
      </c>
      <c r="H635" t="s">
        <v>27</v>
      </c>
    </row>
    <row r="636" spans="1:8" hidden="1" x14ac:dyDescent="0.2">
      <c r="A636" t="s">
        <v>215</v>
      </c>
      <c r="B636" t="s">
        <v>75</v>
      </c>
      <c r="C636" t="s">
        <v>78</v>
      </c>
      <c r="D636" t="s">
        <v>216</v>
      </c>
      <c r="E636" t="s">
        <v>21</v>
      </c>
      <c r="F636">
        <v>70</v>
      </c>
      <c r="G636" t="s">
        <v>31</v>
      </c>
      <c r="H636" t="s">
        <v>51</v>
      </c>
    </row>
    <row r="637" spans="1:8" hidden="1" x14ac:dyDescent="0.2">
      <c r="A637" t="s">
        <v>215</v>
      </c>
      <c r="B637" t="s">
        <v>75</v>
      </c>
      <c r="C637" t="s">
        <v>78</v>
      </c>
      <c r="D637" t="s">
        <v>216</v>
      </c>
      <c r="E637" t="s">
        <v>20</v>
      </c>
      <c r="F637">
        <v>56</v>
      </c>
      <c r="G637" t="s">
        <v>31</v>
      </c>
      <c r="H637" t="s">
        <v>51</v>
      </c>
    </row>
    <row r="638" spans="1:8" hidden="1" x14ac:dyDescent="0.2">
      <c r="A638" t="s">
        <v>215</v>
      </c>
      <c r="B638" t="s">
        <v>75</v>
      </c>
      <c r="C638" t="s">
        <v>78</v>
      </c>
      <c r="D638" t="s">
        <v>216</v>
      </c>
      <c r="E638" t="s">
        <v>19</v>
      </c>
      <c r="F638">
        <v>56</v>
      </c>
      <c r="G638" t="s">
        <v>31</v>
      </c>
      <c r="H638" t="s">
        <v>51</v>
      </c>
    </row>
    <row r="639" spans="1:8" hidden="1" x14ac:dyDescent="0.2">
      <c r="A639" t="s">
        <v>215</v>
      </c>
      <c r="B639" t="s">
        <v>75</v>
      </c>
      <c r="C639" t="s">
        <v>78</v>
      </c>
      <c r="D639" t="s">
        <v>216</v>
      </c>
      <c r="E639" t="s">
        <v>17</v>
      </c>
      <c r="F639">
        <v>70</v>
      </c>
      <c r="G639" t="s">
        <v>31</v>
      </c>
      <c r="H639" t="s">
        <v>51</v>
      </c>
    </row>
    <row r="640" spans="1:8" hidden="1" x14ac:dyDescent="0.2">
      <c r="A640" t="s">
        <v>217</v>
      </c>
      <c r="B640" t="s">
        <v>75</v>
      </c>
      <c r="C640" t="s">
        <v>84</v>
      </c>
      <c r="D640" t="s">
        <v>218</v>
      </c>
      <c r="E640" t="s">
        <v>22</v>
      </c>
      <c r="F640">
        <v>140</v>
      </c>
      <c r="G640" t="s">
        <v>31</v>
      </c>
      <c r="H640" t="s">
        <v>51</v>
      </c>
    </row>
    <row r="641" spans="1:8" hidden="1" x14ac:dyDescent="0.2">
      <c r="A641" t="s">
        <v>217</v>
      </c>
      <c r="B641" t="s">
        <v>75</v>
      </c>
      <c r="C641" t="s">
        <v>84</v>
      </c>
      <c r="D641" t="s">
        <v>218</v>
      </c>
      <c r="E641" t="s">
        <v>1528</v>
      </c>
      <c r="G641" t="s">
        <v>31</v>
      </c>
      <c r="H641" t="s">
        <v>51</v>
      </c>
    </row>
    <row r="642" spans="1:8" hidden="1" x14ac:dyDescent="0.2">
      <c r="A642" t="s">
        <v>217</v>
      </c>
      <c r="B642" t="s">
        <v>75</v>
      </c>
      <c r="C642" t="s">
        <v>84</v>
      </c>
      <c r="D642" t="s">
        <v>218</v>
      </c>
      <c r="E642" t="s">
        <v>1529</v>
      </c>
      <c r="G642" t="s">
        <v>31</v>
      </c>
      <c r="H642" t="s">
        <v>51</v>
      </c>
    </row>
    <row r="643" spans="1:8" hidden="1" x14ac:dyDescent="0.2">
      <c r="A643" t="s">
        <v>217</v>
      </c>
      <c r="B643" t="s">
        <v>75</v>
      </c>
      <c r="C643" t="s">
        <v>84</v>
      </c>
      <c r="D643" t="s">
        <v>218</v>
      </c>
      <c r="E643" t="s">
        <v>1530</v>
      </c>
      <c r="G643" t="s">
        <v>31</v>
      </c>
      <c r="H643" t="s">
        <v>51</v>
      </c>
    </row>
    <row r="644" spans="1:8" hidden="1" x14ac:dyDescent="0.2">
      <c r="A644" t="s">
        <v>217</v>
      </c>
      <c r="B644" t="s">
        <v>75</v>
      </c>
      <c r="C644" t="s">
        <v>84</v>
      </c>
      <c r="D644" t="s">
        <v>218</v>
      </c>
      <c r="E644" t="s">
        <v>1531</v>
      </c>
      <c r="G644" t="s">
        <v>31</v>
      </c>
      <c r="H644" t="s">
        <v>51</v>
      </c>
    </row>
    <row r="645" spans="1:8" hidden="1" x14ac:dyDescent="0.2">
      <c r="A645" t="s">
        <v>217</v>
      </c>
      <c r="B645" t="s">
        <v>75</v>
      </c>
      <c r="C645" t="s">
        <v>84</v>
      </c>
      <c r="D645" t="s">
        <v>218</v>
      </c>
      <c r="E645" t="s">
        <v>12</v>
      </c>
      <c r="F645">
        <v>28</v>
      </c>
      <c r="G645" t="s">
        <v>31</v>
      </c>
      <c r="H645" t="s">
        <v>27</v>
      </c>
    </row>
    <row r="646" spans="1:8" hidden="1" x14ac:dyDescent="0.2">
      <c r="A646" t="s">
        <v>217</v>
      </c>
      <c r="B646" t="s">
        <v>75</v>
      </c>
      <c r="C646" t="s">
        <v>84</v>
      </c>
      <c r="D646" t="s">
        <v>218</v>
      </c>
      <c r="E646" t="s">
        <v>21</v>
      </c>
      <c r="F646">
        <v>70</v>
      </c>
      <c r="G646" t="s">
        <v>31</v>
      </c>
      <c r="H646" t="s">
        <v>51</v>
      </c>
    </row>
    <row r="647" spans="1:8" hidden="1" x14ac:dyDescent="0.2">
      <c r="A647" t="s">
        <v>217</v>
      </c>
      <c r="B647" t="s">
        <v>75</v>
      </c>
      <c r="C647" t="s">
        <v>84</v>
      </c>
      <c r="D647" t="s">
        <v>218</v>
      </c>
      <c r="E647" t="s">
        <v>20</v>
      </c>
      <c r="F647">
        <v>56</v>
      </c>
      <c r="G647" t="s">
        <v>31</v>
      </c>
      <c r="H647" t="s">
        <v>51</v>
      </c>
    </row>
    <row r="648" spans="1:8" hidden="1" x14ac:dyDescent="0.2">
      <c r="A648" t="s">
        <v>217</v>
      </c>
      <c r="B648" t="s">
        <v>75</v>
      </c>
      <c r="C648" t="s">
        <v>84</v>
      </c>
      <c r="D648" t="s">
        <v>218</v>
      </c>
      <c r="E648" t="s">
        <v>19</v>
      </c>
      <c r="F648">
        <v>56</v>
      </c>
      <c r="G648" t="s">
        <v>31</v>
      </c>
      <c r="H648" t="s">
        <v>51</v>
      </c>
    </row>
    <row r="649" spans="1:8" hidden="1" x14ac:dyDescent="0.2">
      <c r="A649" t="s">
        <v>217</v>
      </c>
      <c r="B649" t="s">
        <v>75</v>
      </c>
      <c r="C649" t="s">
        <v>84</v>
      </c>
      <c r="D649" t="s">
        <v>218</v>
      </c>
      <c r="E649" t="s">
        <v>17</v>
      </c>
      <c r="F649">
        <v>70</v>
      </c>
      <c r="G649" t="s">
        <v>31</v>
      </c>
      <c r="H649" t="s">
        <v>51</v>
      </c>
    </row>
    <row r="650" spans="1:8" hidden="1" x14ac:dyDescent="0.2">
      <c r="A650" t="s">
        <v>219</v>
      </c>
      <c r="B650" t="s">
        <v>75</v>
      </c>
      <c r="C650" t="s">
        <v>78</v>
      </c>
      <c r="D650" t="s">
        <v>220</v>
      </c>
      <c r="E650" t="s">
        <v>22</v>
      </c>
      <c r="F650">
        <v>140</v>
      </c>
      <c r="G650" t="s">
        <v>31</v>
      </c>
      <c r="H650" t="s">
        <v>14</v>
      </c>
    </row>
    <row r="651" spans="1:8" hidden="1" x14ac:dyDescent="0.2">
      <c r="A651" t="s">
        <v>219</v>
      </c>
      <c r="B651" t="s">
        <v>75</v>
      </c>
      <c r="C651" t="s">
        <v>78</v>
      </c>
      <c r="D651" t="s">
        <v>220</v>
      </c>
      <c r="E651" t="s">
        <v>1528</v>
      </c>
      <c r="G651" t="s">
        <v>31</v>
      </c>
      <c r="H651" t="s">
        <v>14</v>
      </c>
    </row>
    <row r="652" spans="1:8" hidden="1" x14ac:dyDescent="0.2">
      <c r="A652" t="s">
        <v>219</v>
      </c>
      <c r="B652" t="s">
        <v>75</v>
      </c>
      <c r="C652" t="s">
        <v>78</v>
      </c>
      <c r="D652" t="s">
        <v>220</v>
      </c>
      <c r="E652" t="s">
        <v>1529</v>
      </c>
      <c r="G652" t="s">
        <v>31</v>
      </c>
      <c r="H652" t="s">
        <v>14</v>
      </c>
    </row>
    <row r="653" spans="1:8" hidden="1" x14ac:dyDescent="0.2">
      <c r="A653" t="s">
        <v>219</v>
      </c>
      <c r="B653" t="s">
        <v>75</v>
      </c>
      <c r="C653" t="s">
        <v>78</v>
      </c>
      <c r="D653" t="s">
        <v>220</v>
      </c>
      <c r="E653" t="s">
        <v>1530</v>
      </c>
      <c r="G653" t="s">
        <v>31</v>
      </c>
      <c r="H653" t="s">
        <v>14</v>
      </c>
    </row>
    <row r="654" spans="1:8" hidden="1" x14ac:dyDescent="0.2">
      <c r="A654" t="s">
        <v>219</v>
      </c>
      <c r="B654" t="s">
        <v>75</v>
      </c>
      <c r="C654" t="s">
        <v>78</v>
      </c>
      <c r="D654" t="s">
        <v>220</v>
      </c>
      <c r="E654" t="s">
        <v>1531</v>
      </c>
      <c r="G654" t="s">
        <v>31</v>
      </c>
      <c r="H654" t="s">
        <v>14</v>
      </c>
    </row>
    <row r="655" spans="1:8" hidden="1" x14ac:dyDescent="0.2">
      <c r="A655" t="s">
        <v>219</v>
      </c>
      <c r="B655" t="s">
        <v>75</v>
      </c>
      <c r="C655" t="s">
        <v>78</v>
      </c>
      <c r="D655" t="s">
        <v>220</v>
      </c>
      <c r="E655" t="s">
        <v>12</v>
      </c>
      <c r="F655">
        <v>28</v>
      </c>
      <c r="G655" t="s">
        <v>31</v>
      </c>
      <c r="H655" t="s">
        <v>50</v>
      </c>
    </row>
    <row r="656" spans="1:8" hidden="1" x14ac:dyDescent="0.2">
      <c r="A656" t="s">
        <v>219</v>
      </c>
      <c r="B656" t="s">
        <v>75</v>
      </c>
      <c r="C656" t="s">
        <v>78</v>
      </c>
      <c r="D656" t="s">
        <v>220</v>
      </c>
      <c r="E656" t="s">
        <v>21</v>
      </c>
      <c r="F656">
        <v>70</v>
      </c>
      <c r="G656" t="s">
        <v>31</v>
      </c>
      <c r="H656" t="s">
        <v>14</v>
      </c>
    </row>
    <row r="657" spans="1:8" hidden="1" x14ac:dyDescent="0.2">
      <c r="A657" t="s">
        <v>219</v>
      </c>
      <c r="B657" t="s">
        <v>75</v>
      </c>
      <c r="C657" t="s">
        <v>78</v>
      </c>
      <c r="D657" t="s">
        <v>220</v>
      </c>
      <c r="E657" t="s">
        <v>20</v>
      </c>
      <c r="F657">
        <v>56</v>
      </c>
      <c r="G657" t="s">
        <v>31</v>
      </c>
      <c r="H657" t="s">
        <v>14</v>
      </c>
    </row>
    <row r="658" spans="1:8" hidden="1" x14ac:dyDescent="0.2">
      <c r="A658" t="s">
        <v>219</v>
      </c>
      <c r="B658" t="s">
        <v>75</v>
      </c>
      <c r="C658" t="s">
        <v>78</v>
      </c>
      <c r="D658" t="s">
        <v>220</v>
      </c>
      <c r="E658" t="s">
        <v>19</v>
      </c>
      <c r="F658">
        <v>56</v>
      </c>
      <c r="G658" t="s">
        <v>31</v>
      </c>
      <c r="H658" t="s">
        <v>14</v>
      </c>
    </row>
    <row r="659" spans="1:8" hidden="1" x14ac:dyDescent="0.2">
      <c r="A659" t="s">
        <v>219</v>
      </c>
      <c r="B659" t="s">
        <v>75</v>
      </c>
      <c r="C659" t="s">
        <v>78</v>
      </c>
      <c r="D659" t="s">
        <v>220</v>
      </c>
      <c r="E659" t="s">
        <v>17</v>
      </c>
      <c r="F659">
        <v>70</v>
      </c>
      <c r="G659" t="s">
        <v>31</v>
      </c>
      <c r="H659" t="s">
        <v>14</v>
      </c>
    </row>
    <row r="660" spans="1:8" hidden="1" x14ac:dyDescent="0.2">
      <c r="A660" t="s">
        <v>221</v>
      </c>
      <c r="B660" t="s">
        <v>75</v>
      </c>
      <c r="C660" t="s">
        <v>78</v>
      </c>
      <c r="D660" t="s">
        <v>222</v>
      </c>
      <c r="E660" t="s">
        <v>22</v>
      </c>
      <c r="F660">
        <v>46.7</v>
      </c>
      <c r="G660" t="s">
        <v>31</v>
      </c>
      <c r="H660" t="s">
        <v>51</v>
      </c>
    </row>
    <row r="661" spans="1:8" hidden="1" x14ac:dyDescent="0.2">
      <c r="A661" t="s">
        <v>221</v>
      </c>
      <c r="B661" t="s">
        <v>75</v>
      </c>
      <c r="C661" t="s">
        <v>78</v>
      </c>
      <c r="D661" t="s">
        <v>222</v>
      </c>
      <c r="E661" t="s">
        <v>1528</v>
      </c>
      <c r="G661" t="s">
        <v>31</v>
      </c>
      <c r="H661" t="s">
        <v>51</v>
      </c>
    </row>
    <row r="662" spans="1:8" hidden="1" x14ac:dyDescent="0.2">
      <c r="A662" t="s">
        <v>221</v>
      </c>
      <c r="B662" t="s">
        <v>75</v>
      </c>
      <c r="C662" t="s">
        <v>78</v>
      </c>
      <c r="D662" t="s">
        <v>222</v>
      </c>
      <c r="E662" t="s">
        <v>1529</v>
      </c>
      <c r="G662" t="s">
        <v>31</v>
      </c>
      <c r="H662" t="s">
        <v>51</v>
      </c>
    </row>
    <row r="663" spans="1:8" hidden="1" x14ac:dyDescent="0.2">
      <c r="A663" t="s">
        <v>221</v>
      </c>
      <c r="B663" t="s">
        <v>75</v>
      </c>
      <c r="C663" t="s">
        <v>78</v>
      </c>
      <c r="D663" t="s">
        <v>222</v>
      </c>
      <c r="E663" t="s">
        <v>1530</v>
      </c>
      <c r="G663" t="s">
        <v>31</v>
      </c>
      <c r="H663" t="s">
        <v>51</v>
      </c>
    </row>
    <row r="664" spans="1:8" hidden="1" x14ac:dyDescent="0.2">
      <c r="A664" t="s">
        <v>221</v>
      </c>
      <c r="B664" t="s">
        <v>75</v>
      </c>
      <c r="C664" t="s">
        <v>78</v>
      </c>
      <c r="D664" t="s">
        <v>222</v>
      </c>
      <c r="E664" t="s">
        <v>1531</v>
      </c>
      <c r="G664" t="s">
        <v>31</v>
      </c>
      <c r="H664" t="s">
        <v>51</v>
      </c>
    </row>
    <row r="665" spans="1:8" hidden="1" x14ac:dyDescent="0.2">
      <c r="A665" t="s">
        <v>221</v>
      </c>
      <c r="B665" t="s">
        <v>75</v>
      </c>
      <c r="C665" t="s">
        <v>78</v>
      </c>
      <c r="D665" t="s">
        <v>222</v>
      </c>
      <c r="E665" t="s">
        <v>12</v>
      </c>
      <c r="F665">
        <v>9.3000000000000007</v>
      </c>
      <c r="G665" t="s">
        <v>31</v>
      </c>
      <c r="H665" t="s">
        <v>27</v>
      </c>
    </row>
    <row r="666" spans="1:8" hidden="1" x14ac:dyDescent="0.2">
      <c r="A666" t="s">
        <v>221</v>
      </c>
      <c r="B666" t="s">
        <v>75</v>
      </c>
      <c r="C666" t="s">
        <v>78</v>
      </c>
      <c r="D666" t="s">
        <v>222</v>
      </c>
      <c r="E666" t="s">
        <v>21</v>
      </c>
      <c r="F666">
        <v>23.4</v>
      </c>
      <c r="G666" t="s">
        <v>31</v>
      </c>
      <c r="H666" t="s">
        <v>51</v>
      </c>
    </row>
    <row r="667" spans="1:8" hidden="1" x14ac:dyDescent="0.2">
      <c r="A667" t="s">
        <v>221</v>
      </c>
      <c r="B667" t="s">
        <v>75</v>
      </c>
      <c r="C667" t="s">
        <v>78</v>
      </c>
      <c r="D667" t="s">
        <v>222</v>
      </c>
      <c r="E667" t="s">
        <v>20</v>
      </c>
      <c r="F667">
        <v>18.7</v>
      </c>
      <c r="G667" t="s">
        <v>31</v>
      </c>
      <c r="H667" t="s">
        <v>51</v>
      </c>
    </row>
    <row r="668" spans="1:8" hidden="1" x14ac:dyDescent="0.2">
      <c r="A668" t="s">
        <v>221</v>
      </c>
      <c r="B668" t="s">
        <v>75</v>
      </c>
      <c r="C668" t="s">
        <v>78</v>
      </c>
      <c r="D668" t="s">
        <v>222</v>
      </c>
      <c r="E668" t="s">
        <v>19</v>
      </c>
      <c r="F668">
        <v>18.7</v>
      </c>
      <c r="G668" t="s">
        <v>31</v>
      </c>
      <c r="H668" t="s">
        <v>51</v>
      </c>
    </row>
    <row r="669" spans="1:8" hidden="1" x14ac:dyDescent="0.2">
      <c r="A669" t="s">
        <v>221</v>
      </c>
      <c r="B669" t="s">
        <v>75</v>
      </c>
      <c r="C669" t="s">
        <v>78</v>
      </c>
      <c r="D669" t="s">
        <v>222</v>
      </c>
      <c r="E669" t="s">
        <v>17</v>
      </c>
      <c r="F669">
        <v>23.4</v>
      </c>
      <c r="G669" t="s">
        <v>31</v>
      </c>
      <c r="H669" t="s">
        <v>51</v>
      </c>
    </row>
    <row r="670" spans="1:8" hidden="1" x14ac:dyDescent="0.2">
      <c r="A670" t="s">
        <v>223</v>
      </c>
      <c r="B670" t="s">
        <v>75</v>
      </c>
      <c r="C670" t="s">
        <v>78</v>
      </c>
      <c r="D670" t="s">
        <v>224</v>
      </c>
      <c r="E670" t="s">
        <v>22</v>
      </c>
      <c r="F670">
        <v>133.30000000000001</v>
      </c>
      <c r="G670" t="s">
        <v>31</v>
      </c>
      <c r="H670" t="s">
        <v>18</v>
      </c>
    </row>
    <row r="671" spans="1:8" hidden="1" x14ac:dyDescent="0.2">
      <c r="A671" t="s">
        <v>223</v>
      </c>
      <c r="B671" t="s">
        <v>75</v>
      </c>
      <c r="C671" t="s">
        <v>78</v>
      </c>
      <c r="D671" t="s">
        <v>224</v>
      </c>
      <c r="E671" t="s">
        <v>1528</v>
      </c>
      <c r="G671" t="s">
        <v>31</v>
      </c>
      <c r="H671" t="s">
        <v>18</v>
      </c>
    </row>
    <row r="672" spans="1:8" hidden="1" x14ac:dyDescent="0.2">
      <c r="A672" t="s">
        <v>223</v>
      </c>
      <c r="B672" t="s">
        <v>75</v>
      </c>
      <c r="C672" t="s">
        <v>78</v>
      </c>
      <c r="D672" t="s">
        <v>224</v>
      </c>
      <c r="E672" t="s">
        <v>1529</v>
      </c>
      <c r="G672" t="s">
        <v>31</v>
      </c>
      <c r="H672" t="s">
        <v>18</v>
      </c>
    </row>
    <row r="673" spans="1:8" hidden="1" x14ac:dyDescent="0.2">
      <c r="A673" t="s">
        <v>223</v>
      </c>
      <c r="B673" t="s">
        <v>75</v>
      </c>
      <c r="C673" t="s">
        <v>78</v>
      </c>
      <c r="D673" t="s">
        <v>224</v>
      </c>
      <c r="E673" t="s">
        <v>1530</v>
      </c>
      <c r="G673" t="s">
        <v>31</v>
      </c>
      <c r="H673" t="s">
        <v>18</v>
      </c>
    </row>
    <row r="674" spans="1:8" hidden="1" x14ac:dyDescent="0.2">
      <c r="A674" t="s">
        <v>223</v>
      </c>
      <c r="B674" t="s">
        <v>75</v>
      </c>
      <c r="C674" t="s">
        <v>78</v>
      </c>
      <c r="D674" t="s">
        <v>224</v>
      </c>
      <c r="E674" t="s">
        <v>1531</v>
      </c>
      <c r="G674" t="s">
        <v>31</v>
      </c>
      <c r="H674" t="s">
        <v>18</v>
      </c>
    </row>
    <row r="675" spans="1:8" hidden="1" x14ac:dyDescent="0.2">
      <c r="A675" t="s">
        <v>223</v>
      </c>
      <c r="B675" t="s">
        <v>75</v>
      </c>
      <c r="C675" t="s">
        <v>78</v>
      </c>
      <c r="D675" t="s">
        <v>224</v>
      </c>
      <c r="E675" t="s">
        <v>12</v>
      </c>
      <c r="F675">
        <v>26.7</v>
      </c>
      <c r="G675" t="s">
        <v>31</v>
      </c>
      <c r="H675" t="s">
        <v>14</v>
      </c>
    </row>
    <row r="676" spans="1:8" hidden="1" x14ac:dyDescent="0.2">
      <c r="A676" t="s">
        <v>223</v>
      </c>
      <c r="B676" t="s">
        <v>75</v>
      </c>
      <c r="C676" t="s">
        <v>78</v>
      </c>
      <c r="D676" t="s">
        <v>224</v>
      </c>
      <c r="E676" t="s">
        <v>21</v>
      </c>
      <c r="F676">
        <v>66.599999999999994</v>
      </c>
      <c r="G676" t="s">
        <v>31</v>
      </c>
      <c r="H676" t="s">
        <v>18</v>
      </c>
    </row>
    <row r="677" spans="1:8" hidden="1" x14ac:dyDescent="0.2">
      <c r="A677" t="s">
        <v>223</v>
      </c>
      <c r="B677" t="s">
        <v>75</v>
      </c>
      <c r="C677" t="s">
        <v>78</v>
      </c>
      <c r="D677" t="s">
        <v>224</v>
      </c>
      <c r="E677" t="s">
        <v>20</v>
      </c>
      <c r="F677">
        <v>53.3</v>
      </c>
      <c r="G677" t="s">
        <v>31</v>
      </c>
      <c r="H677" t="s">
        <v>18</v>
      </c>
    </row>
    <row r="678" spans="1:8" hidden="1" x14ac:dyDescent="0.2">
      <c r="A678" t="s">
        <v>223</v>
      </c>
      <c r="B678" t="s">
        <v>75</v>
      </c>
      <c r="C678" t="s">
        <v>78</v>
      </c>
      <c r="D678" t="s">
        <v>224</v>
      </c>
      <c r="E678" t="s">
        <v>19</v>
      </c>
      <c r="F678">
        <v>53.3</v>
      </c>
      <c r="G678" t="s">
        <v>31</v>
      </c>
      <c r="H678" t="s">
        <v>18</v>
      </c>
    </row>
    <row r="679" spans="1:8" hidden="1" x14ac:dyDescent="0.2">
      <c r="A679" t="s">
        <v>223</v>
      </c>
      <c r="B679" t="s">
        <v>75</v>
      </c>
      <c r="C679" t="s">
        <v>78</v>
      </c>
      <c r="D679" t="s">
        <v>224</v>
      </c>
      <c r="E679" t="s">
        <v>17</v>
      </c>
      <c r="F679">
        <v>66.599999999999994</v>
      </c>
      <c r="G679" t="s">
        <v>31</v>
      </c>
      <c r="H679" t="s">
        <v>18</v>
      </c>
    </row>
    <row r="680" spans="1:8" hidden="1" x14ac:dyDescent="0.2">
      <c r="A680" t="s">
        <v>225</v>
      </c>
      <c r="B680" t="s">
        <v>75</v>
      </c>
      <c r="C680" t="s">
        <v>76</v>
      </c>
      <c r="D680" t="s">
        <v>226</v>
      </c>
      <c r="E680" t="s">
        <v>22</v>
      </c>
      <c r="F680">
        <v>160</v>
      </c>
      <c r="G680" t="s">
        <v>31</v>
      </c>
      <c r="H680" t="s">
        <v>14</v>
      </c>
    </row>
    <row r="681" spans="1:8" hidden="1" x14ac:dyDescent="0.2">
      <c r="A681" t="s">
        <v>225</v>
      </c>
      <c r="B681" t="s">
        <v>75</v>
      </c>
      <c r="C681" t="s">
        <v>76</v>
      </c>
      <c r="D681" t="s">
        <v>226</v>
      </c>
      <c r="E681" t="s">
        <v>1528</v>
      </c>
      <c r="G681" t="s">
        <v>31</v>
      </c>
      <c r="H681" t="s">
        <v>14</v>
      </c>
    </row>
    <row r="682" spans="1:8" hidden="1" x14ac:dyDescent="0.2">
      <c r="A682" t="s">
        <v>225</v>
      </c>
      <c r="B682" t="s">
        <v>75</v>
      </c>
      <c r="C682" t="s">
        <v>76</v>
      </c>
      <c r="D682" t="s">
        <v>226</v>
      </c>
      <c r="E682" t="s">
        <v>1529</v>
      </c>
      <c r="G682" t="s">
        <v>31</v>
      </c>
      <c r="H682" t="s">
        <v>14</v>
      </c>
    </row>
    <row r="683" spans="1:8" hidden="1" x14ac:dyDescent="0.2">
      <c r="A683" t="s">
        <v>225</v>
      </c>
      <c r="B683" t="s">
        <v>75</v>
      </c>
      <c r="C683" t="s">
        <v>76</v>
      </c>
      <c r="D683" t="s">
        <v>226</v>
      </c>
      <c r="E683" t="s">
        <v>1530</v>
      </c>
      <c r="G683" t="s">
        <v>31</v>
      </c>
      <c r="H683" t="s">
        <v>14</v>
      </c>
    </row>
    <row r="684" spans="1:8" hidden="1" x14ac:dyDescent="0.2">
      <c r="A684" t="s">
        <v>225</v>
      </c>
      <c r="B684" t="s">
        <v>75</v>
      </c>
      <c r="C684" t="s">
        <v>76</v>
      </c>
      <c r="D684" t="s">
        <v>226</v>
      </c>
      <c r="E684" t="s">
        <v>1531</v>
      </c>
      <c r="G684" t="s">
        <v>31</v>
      </c>
      <c r="H684" t="s">
        <v>14</v>
      </c>
    </row>
    <row r="685" spans="1:8" hidden="1" x14ac:dyDescent="0.2">
      <c r="A685" t="s">
        <v>225</v>
      </c>
      <c r="B685" t="s">
        <v>75</v>
      </c>
      <c r="C685" t="s">
        <v>76</v>
      </c>
      <c r="D685" t="s">
        <v>226</v>
      </c>
      <c r="E685" t="s">
        <v>12</v>
      </c>
      <c r="F685">
        <v>32</v>
      </c>
      <c r="G685" t="s">
        <v>31</v>
      </c>
      <c r="H685" t="s">
        <v>50</v>
      </c>
    </row>
    <row r="686" spans="1:8" hidden="1" x14ac:dyDescent="0.2">
      <c r="A686" t="s">
        <v>225</v>
      </c>
      <c r="B686" t="s">
        <v>75</v>
      </c>
      <c r="C686" t="s">
        <v>76</v>
      </c>
      <c r="D686" t="s">
        <v>226</v>
      </c>
      <c r="E686" t="s">
        <v>21</v>
      </c>
      <c r="F686">
        <v>80</v>
      </c>
      <c r="G686" t="s">
        <v>31</v>
      </c>
      <c r="H686" t="s">
        <v>14</v>
      </c>
    </row>
    <row r="687" spans="1:8" hidden="1" x14ac:dyDescent="0.2">
      <c r="A687" t="s">
        <v>225</v>
      </c>
      <c r="B687" t="s">
        <v>75</v>
      </c>
      <c r="C687" t="s">
        <v>76</v>
      </c>
      <c r="D687" t="s">
        <v>226</v>
      </c>
      <c r="E687" t="s">
        <v>20</v>
      </c>
      <c r="F687">
        <v>64</v>
      </c>
      <c r="G687" t="s">
        <v>31</v>
      </c>
      <c r="H687" t="s">
        <v>14</v>
      </c>
    </row>
    <row r="688" spans="1:8" hidden="1" x14ac:dyDescent="0.2">
      <c r="A688" t="s">
        <v>225</v>
      </c>
      <c r="B688" t="s">
        <v>75</v>
      </c>
      <c r="C688" t="s">
        <v>76</v>
      </c>
      <c r="D688" t="s">
        <v>226</v>
      </c>
      <c r="E688" t="s">
        <v>19</v>
      </c>
      <c r="F688">
        <v>64</v>
      </c>
      <c r="G688" t="s">
        <v>31</v>
      </c>
      <c r="H688" t="s">
        <v>14</v>
      </c>
    </row>
    <row r="689" spans="1:8" hidden="1" x14ac:dyDescent="0.2">
      <c r="A689" t="s">
        <v>225</v>
      </c>
      <c r="B689" t="s">
        <v>75</v>
      </c>
      <c r="C689" t="s">
        <v>76</v>
      </c>
      <c r="D689" t="s">
        <v>226</v>
      </c>
      <c r="E689" t="s">
        <v>17</v>
      </c>
      <c r="F689">
        <v>80</v>
      </c>
      <c r="G689" t="s">
        <v>31</v>
      </c>
      <c r="H689" t="s">
        <v>14</v>
      </c>
    </row>
    <row r="690" spans="1:8" hidden="1" x14ac:dyDescent="0.2">
      <c r="A690" t="s">
        <v>227</v>
      </c>
      <c r="B690" t="s">
        <v>63</v>
      </c>
      <c r="C690" t="s">
        <v>64</v>
      </c>
      <c r="D690" t="s">
        <v>228</v>
      </c>
      <c r="E690" t="s">
        <v>22</v>
      </c>
      <c r="F690">
        <v>106.7</v>
      </c>
      <c r="G690" t="s">
        <v>26</v>
      </c>
      <c r="H690" t="s">
        <v>14</v>
      </c>
    </row>
    <row r="691" spans="1:8" hidden="1" x14ac:dyDescent="0.2">
      <c r="A691" t="s">
        <v>227</v>
      </c>
      <c r="B691" t="s">
        <v>63</v>
      </c>
      <c r="C691" t="s">
        <v>64</v>
      </c>
      <c r="D691" t="s">
        <v>228</v>
      </c>
      <c r="E691" t="s">
        <v>1528</v>
      </c>
      <c r="G691" t="s">
        <v>26</v>
      </c>
      <c r="H691" t="s">
        <v>14</v>
      </c>
    </row>
    <row r="692" spans="1:8" hidden="1" x14ac:dyDescent="0.2">
      <c r="A692" t="s">
        <v>227</v>
      </c>
      <c r="B692" t="s">
        <v>63</v>
      </c>
      <c r="C692" t="s">
        <v>64</v>
      </c>
      <c r="D692" t="s">
        <v>228</v>
      </c>
      <c r="E692" t="s">
        <v>1529</v>
      </c>
      <c r="G692" t="s">
        <v>26</v>
      </c>
      <c r="H692" t="s">
        <v>14</v>
      </c>
    </row>
    <row r="693" spans="1:8" hidden="1" x14ac:dyDescent="0.2">
      <c r="A693" t="s">
        <v>227</v>
      </c>
      <c r="B693" t="s">
        <v>63</v>
      </c>
      <c r="C693" t="s">
        <v>64</v>
      </c>
      <c r="D693" t="s">
        <v>228</v>
      </c>
      <c r="E693" t="s">
        <v>1530</v>
      </c>
      <c r="G693" t="s">
        <v>26</v>
      </c>
      <c r="H693" t="s">
        <v>14</v>
      </c>
    </row>
    <row r="694" spans="1:8" hidden="1" x14ac:dyDescent="0.2">
      <c r="A694" t="s">
        <v>227</v>
      </c>
      <c r="B694" t="s">
        <v>63</v>
      </c>
      <c r="C694" t="s">
        <v>64</v>
      </c>
      <c r="D694" t="s">
        <v>228</v>
      </c>
      <c r="E694" t="s">
        <v>1531</v>
      </c>
      <c r="G694" t="s">
        <v>26</v>
      </c>
      <c r="H694" t="s">
        <v>14</v>
      </c>
    </row>
    <row r="695" spans="1:8" hidden="1" x14ac:dyDescent="0.2">
      <c r="A695" t="s">
        <v>227</v>
      </c>
      <c r="B695" t="s">
        <v>63</v>
      </c>
      <c r="C695" t="s">
        <v>64</v>
      </c>
      <c r="D695" t="s">
        <v>228</v>
      </c>
      <c r="E695" t="s">
        <v>12</v>
      </c>
      <c r="F695">
        <v>21.3</v>
      </c>
      <c r="G695" t="s">
        <v>26</v>
      </c>
      <c r="H695" t="s">
        <v>50</v>
      </c>
    </row>
    <row r="696" spans="1:8" hidden="1" x14ac:dyDescent="0.2">
      <c r="A696" t="s">
        <v>227</v>
      </c>
      <c r="B696" t="s">
        <v>63</v>
      </c>
      <c r="C696" t="s">
        <v>64</v>
      </c>
      <c r="D696" t="s">
        <v>228</v>
      </c>
      <c r="E696" t="s">
        <v>21</v>
      </c>
      <c r="F696">
        <v>53.4</v>
      </c>
      <c r="G696" t="s">
        <v>26</v>
      </c>
      <c r="H696" t="s">
        <v>14</v>
      </c>
    </row>
    <row r="697" spans="1:8" hidden="1" x14ac:dyDescent="0.2">
      <c r="A697" t="s">
        <v>227</v>
      </c>
      <c r="B697" t="s">
        <v>63</v>
      </c>
      <c r="C697" t="s">
        <v>64</v>
      </c>
      <c r="D697" t="s">
        <v>228</v>
      </c>
      <c r="E697" t="s">
        <v>20</v>
      </c>
      <c r="F697">
        <v>42.7</v>
      </c>
      <c r="G697" t="s">
        <v>26</v>
      </c>
      <c r="H697" t="s">
        <v>14</v>
      </c>
    </row>
    <row r="698" spans="1:8" hidden="1" x14ac:dyDescent="0.2">
      <c r="A698" t="s">
        <v>227</v>
      </c>
      <c r="B698" t="s">
        <v>63</v>
      </c>
      <c r="C698" t="s">
        <v>64</v>
      </c>
      <c r="D698" t="s">
        <v>228</v>
      </c>
      <c r="E698" t="s">
        <v>19</v>
      </c>
      <c r="F698">
        <v>42.7</v>
      </c>
      <c r="G698" t="s">
        <v>26</v>
      </c>
      <c r="H698" t="s">
        <v>14</v>
      </c>
    </row>
    <row r="699" spans="1:8" hidden="1" x14ac:dyDescent="0.2">
      <c r="A699" t="s">
        <v>227</v>
      </c>
      <c r="B699" t="s">
        <v>63</v>
      </c>
      <c r="C699" t="s">
        <v>64</v>
      </c>
      <c r="D699" t="s">
        <v>228</v>
      </c>
      <c r="E699" t="s">
        <v>17</v>
      </c>
      <c r="F699">
        <v>53.4</v>
      </c>
      <c r="G699" t="s">
        <v>26</v>
      </c>
      <c r="H699" t="s">
        <v>14</v>
      </c>
    </row>
    <row r="700" spans="1:8" hidden="1" x14ac:dyDescent="0.2">
      <c r="A700" t="s">
        <v>229</v>
      </c>
      <c r="B700" t="s">
        <v>56</v>
      </c>
      <c r="C700" t="s">
        <v>58</v>
      </c>
      <c r="D700" t="s">
        <v>230</v>
      </c>
      <c r="E700" t="s">
        <v>22</v>
      </c>
      <c r="F700">
        <v>433.3</v>
      </c>
      <c r="G700" t="s">
        <v>26</v>
      </c>
      <c r="H700" t="s">
        <v>51</v>
      </c>
    </row>
    <row r="701" spans="1:8" hidden="1" x14ac:dyDescent="0.2">
      <c r="A701" t="s">
        <v>229</v>
      </c>
      <c r="B701" t="s">
        <v>56</v>
      </c>
      <c r="C701" t="s">
        <v>58</v>
      </c>
      <c r="D701" t="s">
        <v>230</v>
      </c>
      <c r="E701" t="s">
        <v>1528</v>
      </c>
      <c r="G701" t="s">
        <v>26</v>
      </c>
      <c r="H701" t="s">
        <v>51</v>
      </c>
    </row>
    <row r="702" spans="1:8" hidden="1" x14ac:dyDescent="0.2">
      <c r="A702" t="s">
        <v>229</v>
      </c>
      <c r="B702" t="s">
        <v>56</v>
      </c>
      <c r="C702" t="s">
        <v>58</v>
      </c>
      <c r="D702" t="s">
        <v>230</v>
      </c>
      <c r="E702" t="s">
        <v>1529</v>
      </c>
      <c r="G702" t="s">
        <v>26</v>
      </c>
      <c r="H702" t="s">
        <v>51</v>
      </c>
    </row>
    <row r="703" spans="1:8" hidden="1" x14ac:dyDescent="0.2">
      <c r="A703" t="s">
        <v>229</v>
      </c>
      <c r="B703" t="s">
        <v>56</v>
      </c>
      <c r="C703" t="s">
        <v>58</v>
      </c>
      <c r="D703" t="s">
        <v>230</v>
      </c>
      <c r="E703" t="s">
        <v>1530</v>
      </c>
      <c r="G703" t="s">
        <v>26</v>
      </c>
      <c r="H703" t="s">
        <v>51</v>
      </c>
    </row>
    <row r="704" spans="1:8" hidden="1" x14ac:dyDescent="0.2">
      <c r="A704" t="s">
        <v>229</v>
      </c>
      <c r="B704" t="s">
        <v>56</v>
      </c>
      <c r="C704" t="s">
        <v>58</v>
      </c>
      <c r="D704" t="s">
        <v>230</v>
      </c>
      <c r="E704" t="s">
        <v>1531</v>
      </c>
      <c r="G704" t="s">
        <v>26</v>
      </c>
      <c r="H704" t="s">
        <v>51</v>
      </c>
    </row>
    <row r="705" spans="1:8" hidden="1" x14ac:dyDescent="0.2">
      <c r="A705" t="s">
        <v>229</v>
      </c>
      <c r="B705" t="s">
        <v>56</v>
      </c>
      <c r="C705" t="s">
        <v>58</v>
      </c>
      <c r="D705" t="s">
        <v>230</v>
      </c>
      <c r="E705" t="s">
        <v>12</v>
      </c>
      <c r="F705">
        <v>86.7</v>
      </c>
      <c r="G705" t="s">
        <v>26</v>
      </c>
      <c r="H705" t="s">
        <v>27</v>
      </c>
    </row>
    <row r="706" spans="1:8" hidden="1" x14ac:dyDescent="0.2">
      <c r="A706" t="s">
        <v>229</v>
      </c>
      <c r="B706" t="s">
        <v>56</v>
      </c>
      <c r="C706" t="s">
        <v>58</v>
      </c>
      <c r="D706" t="s">
        <v>230</v>
      </c>
      <c r="E706" t="s">
        <v>21</v>
      </c>
      <c r="F706">
        <v>216.6</v>
      </c>
      <c r="G706" t="s">
        <v>26</v>
      </c>
      <c r="H706" t="s">
        <v>51</v>
      </c>
    </row>
    <row r="707" spans="1:8" hidden="1" x14ac:dyDescent="0.2">
      <c r="A707" t="s">
        <v>229</v>
      </c>
      <c r="B707" t="s">
        <v>56</v>
      </c>
      <c r="C707" t="s">
        <v>58</v>
      </c>
      <c r="D707" t="s">
        <v>230</v>
      </c>
      <c r="E707" t="s">
        <v>20</v>
      </c>
      <c r="F707">
        <v>173.3</v>
      </c>
      <c r="G707" t="s">
        <v>26</v>
      </c>
      <c r="H707" t="s">
        <v>51</v>
      </c>
    </row>
    <row r="708" spans="1:8" hidden="1" x14ac:dyDescent="0.2">
      <c r="A708" t="s">
        <v>229</v>
      </c>
      <c r="B708" t="s">
        <v>56</v>
      </c>
      <c r="C708" t="s">
        <v>58</v>
      </c>
      <c r="D708" t="s">
        <v>230</v>
      </c>
      <c r="E708" t="s">
        <v>19</v>
      </c>
      <c r="F708">
        <v>173.3</v>
      </c>
      <c r="G708" t="s">
        <v>26</v>
      </c>
      <c r="H708" t="s">
        <v>51</v>
      </c>
    </row>
    <row r="709" spans="1:8" hidden="1" x14ac:dyDescent="0.2">
      <c r="A709" t="s">
        <v>229</v>
      </c>
      <c r="B709" t="s">
        <v>56</v>
      </c>
      <c r="C709" t="s">
        <v>58</v>
      </c>
      <c r="D709" t="s">
        <v>230</v>
      </c>
      <c r="E709" t="s">
        <v>17</v>
      </c>
      <c r="F709">
        <v>216.6</v>
      </c>
      <c r="G709" t="s">
        <v>26</v>
      </c>
      <c r="H709" t="s">
        <v>51</v>
      </c>
    </row>
    <row r="710" spans="1:8" hidden="1" x14ac:dyDescent="0.2">
      <c r="A710" t="s">
        <v>231</v>
      </c>
      <c r="B710" t="s">
        <v>53</v>
      </c>
      <c r="C710" t="s">
        <v>55</v>
      </c>
      <c r="D710" t="s">
        <v>232</v>
      </c>
      <c r="E710" t="s">
        <v>22</v>
      </c>
      <c r="F710">
        <v>1333.3</v>
      </c>
      <c r="G710" t="s">
        <v>26</v>
      </c>
      <c r="H710" t="s">
        <v>51</v>
      </c>
    </row>
    <row r="711" spans="1:8" hidden="1" x14ac:dyDescent="0.2">
      <c r="A711" t="s">
        <v>231</v>
      </c>
      <c r="B711" t="s">
        <v>53</v>
      </c>
      <c r="C711" t="s">
        <v>55</v>
      </c>
      <c r="D711" t="s">
        <v>232</v>
      </c>
      <c r="E711" t="s">
        <v>1528</v>
      </c>
      <c r="G711" t="s">
        <v>26</v>
      </c>
      <c r="H711" t="s">
        <v>51</v>
      </c>
    </row>
    <row r="712" spans="1:8" hidden="1" x14ac:dyDescent="0.2">
      <c r="A712" t="s">
        <v>231</v>
      </c>
      <c r="B712" t="s">
        <v>53</v>
      </c>
      <c r="C712" t="s">
        <v>55</v>
      </c>
      <c r="D712" t="s">
        <v>232</v>
      </c>
      <c r="E712" t="s">
        <v>1529</v>
      </c>
      <c r="G712" t="s">
        <v>26</v>
      </c>
      <c r="H712" t="s">
        <v>51</v>
      </c>
    </row>
    <row r="713" spans="1:8" hidden="1" x14ac:dyDescent="0.2">
      <c r="A713" t="s">
        <v>231</v>
      </c>
      <c r="B713" t="s">
        <v>53</v>
      </c>
      <c r="C713" t="s">
        <v>55</v>
      </c>
      <c r="D713" t="s">
        <v>232</v>
      </c>
      <c r="E713" t="s">
        <v>1530</v>
      </c>
      <c r="G713" t="s">
        <v>26</v>
      </c>
      <c r="H713" t="s">
        <v>51</v>
      </c>
    </row>
    <row r="714" spans="1:8" hidden="1" x14ac:dyDescent="0.2">
      <c r="A714" t="s">
        <v>231</v>
      </c>
      <c r="B714" t="s">
        <v>53</v>
      </c>
      <c r="C714" t="s">
        <v>55</v>
      </c>
      <c r="D714" t="s">
        <v>232</v>
      </c>
      <c r="E714" t="s">
        <v>1531</v>
      </c>
      <c r="G714" t="s">
        <v>26</v>
      </c>
      <c r="H714" t="s">
        <v>51</v>
      </c>
    </row>
    <row r="715" spans="1:8" hidden="1" x14ac:dyDescent="0.2">
      <c r="A715" t="s">
        <v>231</v>
      </c>
      <c r="B715" t="s">
        <v>53</v>
      </c>
      <c r="C715" t="s">
        <v>55</v>
      </c>
      <c r="D715" t="s">
        <v>232</v>
      </c>
      <c r="E715" t="s">
        <v>12</v>
      </c>
      <c r="F715">
        <v>266.7</v>
      </c>
      <c r="G715" t="s">
        <v>26</v>
      </c>
      <c r="H715" t="s">
        <v>27</v>
      </c>
    </row>
    <row r="716" spans="1:8" hidden="1" x14ac:dyDescent="0.2">
      <c r="A716" t="s">
        <v>231</v>
      </c>
      <c r="B716" t="s">
        <v>53</v>
      </c>
      <c r="C716" t="s">
        <v>55</v>
      </c>
      <c r="D716" t="s">
        <v>232</v>
      </c>
      <c r="E716" t="s">
        <v>21</v>
      </c>
      <c r="F716">
        <v>666.6</v>
      </c>
      <c r="G716" t="s">
        <v>26</v>
      </c>
      <c r="H716" t="s">
        <v>51</v>
      </c>
    </row>
    <row r="717" spans="1:8" hidden="1" x14ac:dyDescent="0.2">
      <c r="A717" t="s">
        <v>231</v>
      </c>
      <c r="B717" t="s">
        <v>53</v>
      </c>
      <c r="C717" t="s">
        <v>55</v>
      </c>
      <c r="D717" t="s">
        <v>232</v>
      </c>
      <c r="E717" t="s">
        <v>20</v>
      </c>
      <c r="F717">
        <v>533.29999999999995</v>
      </c>
      <c r="G717" t="s">
        <v>26</v>
      </c>
      <c r="H717" t="s">
        <v>51</v>
      </c>
    </row>
    <row r="718" spans="1:8" hidden="1" x14ac:dyDescent="0.2">
      <c r="A718" t="s">
        <v>231</v>
      </c>
      <c r="B718" t="s">
        <v>53</v>
      </c>
      <c r="C718" t="s">
        <v>55</v>
      </c>
      <c r="D718" t="s">
        <v>232</v>
      </c>
      <c r="E718" t="s">
        <v>19</v>
      </c>
      <c r="F718">
        <v>533.29999999999995</v>
      </c>
      <c r="G718" t="s">
        <v>26</v>
      </c>
      <c r="H718" t="s">
        <v>51</v>
      </c>
    </row>
    <row r="719" spans="1:8" hidden="1" x14ac:dyDescent="0.2">
      <c r="A719" t="s">
        <v>231</v>
      </c>
      <c r="B719" t="s">
        <v>53</v>
      </c>
      <c r="C719" t="s">
        <v>55</v>
      </c>
      <c r="D719" t="s">
        <v>232</v>
      </c>
      <c r="E719" t="s">
        <v>17</v>
      </c>
      <c r="F719">
        <v>666.6</v>
      </c>
      <c r="G719" t="s">
        <v>26</v>
      </c>
      <c r="H719" t="s">
        <v>51</v>
      </c>
    </row>
    <row r="720" spans="1:8" hidden="1" x14ac:dyDescent="0.2">
      <c r="A720" t="s">
        <v>233</v>
      </c>
      <c r="D720" t="s">
        <v>234</v>
      </c>
      <c r="E720" t="s">
        <v>22</v>
      </c>
      <c r="F720">
        <v>213.3</v>
      </c>
      <c r="G720" t="s">
        <v>31</v>
      </c>
      <c r="H720" t="s">
        <v>18</v>
      </c>
    </row>
    <row r="721" spans="1:8" hidden="1" x14ac:dyDescent="0.2">
      <c r="A721" t="s">
        <v>233</v>
      </c>
      <c r="D721" t="s">
        <v>234</v>
      </c>
      <c r="E721" t="s">
        <v>1528</v>
      </c>
      <c r="G721" t="s">
        <v>31</v>
      </c>
      <c r="H721" t="s">
        <v>18</v>
      </c>
    </row>
    <row r="722" spans="1:8" hidden="1" x14ac:dyDescent="0.2">
      <c r="A722" t="s">
        <v>233</v>
      </c>
      <c r="D722" t="s">
        <v>234</v>
      </c>
      <c r="E722" t="s">
        <v>1529</v>
      </c>
      <c r="G722" t="s">
        <v>31</v>
      </c>
      <c r="H722" t="s">
        <v>18</v>
      </c>
    </row>
    <row r="723" spans="1:8" hidden="1" x14ac:dyDescent="0.2">
      <c r="A723" t="s">
        <v>233</v>
      </c>
      <c r="D723" t="s">
        <v>234</v>
      </c>
      <c r="E723" t="s">
        <v>1530</v>
      </c>
      <c r="G723" t="s">
        <v>31</v>
      </c>
      <c r="H723" t="s">
        <v>18</v>
      </c>
    </row>
    <row r="724" spans="1:8" hidden="1" x14ac:dyDescent="0.2">
      <c r="A724" t="s">
        <v>233</v>
      </c>
      <c r="D724" t="s">
        <v>234</v>
      </c>
      <c r="E724" t="s">
        <v>1531</v>
      </c>
      <c r="G724" t="s">
        <v>31</v>
      </c>
      <c r="H724" t="s">
        <v>18</v>
      </c>
    </row>
    <row r="725" spans="1:8" hidden="1" x14ac:dyDescent="0.2">
      <c r="A725" t="s">
        <v>233</v>
      </c>
      <c r="D725" t="s">
        <v>234</v>
      </c>
      <c r="E725" t="s">
        <v>12</v>
      </c>
      <c r="F725">
        <v>42.7</v>
      </c>
      <c r="G725" t="s">
        <v>31</v>
      </c>
      <c r="H725" t="s">
        <v>14</v>
      </c>
    </row>
    <row r="726" spans="1:8" hidden="1" x14ac:dyDescent="0.2">
      <c r="A726" t="s">
        <v>233</v>
      </c>
      <c r="D726" t="s">
        <v>234</v>
      </c>
      <c r="E726" t="s">
        <v>21</v>
      </c>
      <c r="F726">
        <v>106.6</v>
      </c>
      <c r="G726" t="s">
        <v>31</v>
      </c>
      <c r="H726" t="s">
        <v>18</v>
      </c>
    </row>
    <row r="727" spans="1:8" hidden="1" x14ac:dyDescent="0.2">
      <c r="A727" t="s">
        <v>233</v>
      </c>
      <c r="D727" t="s">
        <v>234</v>
      </c>
      <c r="E727" t="s">
        <v>20</v>
      </c>
      <c r="F727">
        <v>85.3</v>
      </c>
      <c r="G727" t="s">
        <v>31</v>
      </c>
      <c r="H727" t="s">
        <v>18</v>
      </c>
    </row>
    <row r="728" spans="1:8" hidden="1" x14ac:dyDescent="0.2">
      <c r="A728" t="s">
        <v>233</v>
      </c>
      <c r="D728" t="s">
        <v>234</v>
      </c>
      <c r="E728" t="s">
        <v>19</v>
      </c>
      <c r="F728">
        <v>85.3</v>
      </c>
      <c r="G728" t="s">
        <v>31</v>
      </c>
      <c r="H728" t="s">
        <v>18</v>
      </c>
    </row>
    <row r="729" spans="1:8" hidden="1" x14ac:dyDescent="0.2">
      <c r="A729" t="s">
        <v>233</v>
      </c>
      <c r="D729" t="s">
        <v>234</v>
      </c>
      <c r="E729" t="s">
        <v>17</v>
      </c>
      <c r="F729">
        <v>106.6</v>
      </c>
      <c r="G729" t="s">
        <v>31</v>
      </c>
      <c r="H729" t="s">
        <v>18</v>
      </c>
    </row>
    <row r="730" spans="1:8" hidden="1" x14ac:dyDescent="0.2">
      <c r="A730" t="s">
        <v>235</v>
      </c>
      <c r="B730" t="s">
        <v>63</v>
      </c>
      <c r="C730" t="s">
        <v>64</v>
      </c>
      <c r="D730" t="s">
        <v>236</v>
      </c>
      <c r="E730" t="s">
        <v>22</v>
      </c>
      <c r="F730">
        <v>160</v>
      </c>
      <c r="G730" t="s">
        <v>26</v>
      </c>
      <c r="H730" t="s">
        <v>14</v>
      </c>
    </row>
    <row r="731" spans="1:8" hidden="1" x14ac:dyDescent="0.2">
      <c r="A731" t="s">
        <v>235</v>
      </c>
      <c r="B731" t="s">
        <v>63</v>
      </c>
      <c r="C731" t="s">
        <v>64</v>
      </c>
      <c r="D731" t="s">
        <v>236</v>
      </c>
      <c r="E731" t="s">
        <v>1528</v>
      </c>
      <c r="G731" t="s">
        <v>26</v>
      </c>
      <c r="H731" t="s">
        <v>14</v>
      </c>
    </row>
    <row r="732" spans="1:8" hidden="1" x14ac:dyDescent="0.2">
      <c r="A732" t="s">
        <v>235</v>
      </c>
      <c r="B732" t="s">
        <v>63</v>
      </c>
      <c r="C732" t="s">
        <v>64</v>
      </c>
      <c r="D732" t="s">
        <v>236</v>
      </c>
      <c r="E732" t="s">
        <v>1529</v>
      </c>
      <c r="G732" t="s">
        <v>26</v>
      </c>
      <c r="H732" t="s">
        <v>14</v>
      </c>
    </row>
    <row r="733" spans="1:8" hidden="1" x14ac:dyDescent="0.2">
      <c r="A733" t="s">
        <v>235</v>
      </c>
      <c r="B733" t="s">
        <v>63</v>
      </c>
      <c r="C733" t="s">
        <v>64</v>
      </c>
      <c r="D733" t="s">
        <v>236</v>
      </c>
      <c r="E733" t="s">
        <v>1530</v>
      </c>
      <c r="G733" t="s">
        <v>26</v>
      </c>
      <c r="H733" t="s">
        <v>14</v>
      </c>
    </row>
    <row r="734" spans="1:8" hidden="1" x14ac:dyDescent="0.2">
      <c r="A734" t="s">
        <v>235</v>
      </c>
      <c r="B734" t="s">
        <v>63</v>
      </c>
      <c r="C734" t="s">
        <v>64</v>
      </c>
      <c r="D734" t="s">
        <v>236</v>
      </c>
      <c r="E734" t="s">
        <v>1531</v>
      </c>
      <c r="G734" t="s">
        <v>26</v>
      </c>
      <c r="H734" t="s">
        <v>14</v>
      </c>
    </row>
    <row r="735" spans="1:8" hidden="1" x14ac:dyDescent="0.2">
      <c r="A735" t="s">
        <v>235</v>
      </c>
      <c r="B735" t="s">
        <v>63</v>
      </c>
      <c r="C735" t="s">
        <v>64</v>
      </c>
      <c r="D735" t="s">
        <v>236</v>
      </c>
      <c r="E735" t="s">
        <v>12</v>
      </c>
      <c r="F735">
        <v>32</v>
      </c>
      <c r="G735" t="s">
        <v>26</v>
      </c>
      <c r="H735" t="s">
        <v>50</v>
      </c>
    </row>
    <row r="736" spans="1:8" hidden="1" x14ac:dyDescent="0.2">
      <c r="A736" t="s">
        <v>235</v>
      </c>
      <c r="B736" t="s">
        <v>63</v>
      </c>
      <c r="C736" t="s">
        <v>64</v>
      </c>
      <c r="D736" t="s">
        <v>236</v>
      </c>
      <c r="E736" t="s">
        <v>21</v>
      </c>
      <c r="F736">
        <v>80</v>
      </c>
      <c r="G736" t="s">
        <v>26</v>
      </c>
      <c r="H736" t="s">
        <v>14</v>
      </c>
    </row>
    <row r="737" spans="1:8" hidden="1" x14ac:dyDescent="0.2">
      <c r="A737" t="s">
        <v>235</v>
      </c>
      <c r="B737" t="s">
        <v>63</v>
      </c>
      <c r="C737" t="s">
        <v>64</v>
      </c>
      <c r="D737" t="s">
        <v>236</v>
      </c>
      <c r="E737" t="s">
        <v>20</v>
      </c>
      <c r="F737">
        <v>64</v>
      </c>
      <c r="G737" t="s">
        <v>26</v>
      </c>
      <c r="H737" t="s">
        <v>14</v>
      </c>
    </row>
    <row r="738" spans="1:8" hidden="1" x14ac:dyDescent="0.2">
      <c r="A738" t="s">
        <v>235</v>
      </c>
      <c r="B738" t="s">
        <v>63</v>
      </c>
      <c r="C738" t="s">
        <v>64</v>
      </c>
      <c r="D738" t="s">
        <v>236</v>
      </c>
      <c r="E738" t="s">
        <v>19</v>
      </c>
      <c r="F738">
        <v>64</v>
      </c>
      <c r="G738" t="s">
        <v>26</v>
      </c>
      <c r="H738" t="s">
        <v>14</v>
      </c>
    </row>
    <row r="739" spans="1:8" hidden="1" x14ac:dyDescent="0.2">
      <c r="A739" t="s">
        <v>235</v>
      </c>
      <c r="B739" t="s">
        <v>63</v>
      </c>
      <c r="C739" t="s">
        <v>64</v>
      </c>
      <c r="D739" t="s">
        <v>236</v>
      </c>
      <c r="E739" t="s">
        <v>17</v>
      </c>
      <c r="F739">
        <v>80</v>
      </c>
      <c r="G739" t="s">
        <v>26</v>
      </c>
      <c r="H739" t="s">
        <v>14</v>
      </c>
    </row>
    <row r="740" spans="1:8" hidden="1" x14ac:dyDescent="0.2">
      <c r="A740" t="s">
        <v>237</v>
      </c>
      <c r="B740" t="s">
        <v>66</v>
      </c>
      <c r="C740" t="s">
        <v>70</v>
      </c>
      <c r="D740" t="s">
        <v>238</v>
      </c>
      <c r="E740" t="s">
        <v>22</v>
      </c>
      <c r="F740">
        <v>20</v>
      </c>
      <c r="G740" t="s">
        <v>26</v>
      </c>
      <c r="H740" t="s">
        <v>14</v>
      </c>
    </row>
    <row r="741" spans="1:8" hidden="1" x14ac:dyDescent="0.2">
      <c r="A741" t="s">
        <v>237</v>
      </c>
      <c r="B741" t="s">
        <v>66</v>
      </c>
      <c r="C741" t="s">
        <v>70</v>
      </c>
      <c r="D741" t="s">
        <v>238</v>
      </c>
      <c r="E741" t="s">
        <v>1528</v>
      </c>
      <c r="G741" t="s">
        <v>26</v>
      </c>
      <c r="H741" t="s">
        <v>14</v>
      </c>
    </row>
    <row r="742" spans="1:8" hidden="1" x14ac:dyDescent="0.2">
      <c r="A742" t="s">
        <v>237</v>
      </c>
      <c r="B742" t="s">
        <v>66</v>
      </c>
      <c r="C742" t="s">
        <v>70</v>
      </c>
      <c r="D742" t="s">
        <v>238</v>
      </c>
      <c r="E742" t="s">
        <v>1529</v>
      </c>
      <c r="G742" t="s">
        <v>26</v>
      </c>
      <c r="H742" t="s">
        <v>14</v>
      </c>
    </row>
    <row r="743" spans="1:8" hidden="1" x14ac:dyDescent="0.2">
      <c r="A743" t="s">
        <v>237</v>
      </c>
      <c r="B743" t="s">
        <v>66</v>
      </c>
      <c r="C743" t="s">
        <v>70</v>
      </c>
      <c r="D743" t="s">
        <v>238</v>
      </c>
      <c r="E743" t="s">
        <v>1530</v>
      </c>
      <c r="G743" t="s">
        <v>26</v>
      </c>
      <c r="H743" t="s">
        <v>14</v>
      </c>
    </row>
    <row r="744" spans="1:8" hidden="1" x14ac:dyDescent="0.2">
      <c r="A744" t="s">
        <v>237</v>
      </c>
      <c r="B744" t="s">
        <v>66</v>
      </c>
      <c r="C744" t="s">
        <v>70</v>
      </c>
      <c r="D744" t="s">
        <v>238</v>
      </c>
      <c r="E744" t="s">
        <v>1531</v>
      </c>
      <c r="G744" t="s">
        <v>26</v>
      </c>
      <c r="H744" t="s">
        <v>14</v>
      </c>
    </row>
    <row r="745" spans="1:8" hidden="1" x14ac:dyDescent="0.2">
      <c r="A745" t="s">
        <v>237</v>
      </c>
      <c r="B745" t="s">
        <v>66</v>
      </c>
      <c r="C745" t="s">
        <v>70</v>
      </c>
      <c r="D745" t="s">
        <v>238</v>
      </c>
      <c r="E745" t="s">
        <v>12</v>
      </c>
      <c r="F745">
        <v>4</v>
      </c>
      <c r="G745" t="s">
        <v>26</v>
      </c>
      <c r="H745" t="s">
        <v>50</v>
      </c>
    </row>
    <row r="746" spans="1:8" hidden="1" x14ac:dyDescent="0.2">
      <c r="A746" t="s">
        <v>237</v>
      </c>
      <c r="B746" t="s">
        <v>66</v>
      </c>
      <c r="C746" t="s">
        <v>70</v>
      </c>
      <c r="D746" t="s">
        <v>238</v>
      </c>
      <c r="E746" t="s">
        <v>21</v>
      </c>
      <c r="F746">
        <v>10</v>
      </c>
      <c r="G746" t="s">
        <v>26</v>
      </c>
      <c r="H746" t="s">
        <v>14</v>
      </c>
    </row>
    <row r="747" spans="1:8" hidden="1" x14ac:dyDescent="0.2">
      <c r="A747" t="s">
        <v>237</v>
      </c>
      <c r="B747" t="s">
        <v>66</v>
      </c>
      <c r="C747" t="s">
        <v>70</v>
      </c>
      <c r="D747" t="s">
        <v>238</v>
      </c>
      <c r="E747" t="s">
        <v>20</v>
      </c>
      <c r="F747">
        <v>8</v>
      </c>
      <c r="G747" t="s">
        <v>26</v>
      </c>
      <c r="H747" t="s">
        <v>14</v>
      </c>
    </row>
    <row r="748" spans="1:8" hidden="1" x14ac:dyDescent="0.2">
      <c r="A748" t="s">
        <v>237</v>
      </c>
      <c r="B748" t="s">
        <v>66</v>
      </c>
      <c r="C748" t="s">
        <v>70</v>
      </c>
      <c r="D748" t="s">
        <v>238</v>
      </c>
      <c r="E748" t="s">
        <v>19</v>
      </c>
      <c r="F748">
        <v>8</v>
      </c>
      <c r="G748" t="s">
        <v>26</v>
      </c>
      <c r="H748" t="s">
        <v>14</v>
      </c>
    </row>
    <row r="749" spans="1:8" hidden="1" x14ac:dyDescent="0.2">
      <c r="A749" t="s">
        <v>237</v>
      </c>
      <c r="B749" t="s">
        <v>66</v>
      </c>
      <c r="C749" t="s">
        <v>70</v>
      </c>
      <c r="D749" t="s">
        <v>238</v>
      </c>
      <c r="E749" t="s">
        <v>17</v>
      </c>
      <c r="F749">
        <v>10</v>
      </c>
      <c r="G749" t="s">
        <v>26</v>
      </c>
      <c r="H749" t="s">
        <v>14</v>
      </c>
    </row>
    <row r="750" spans="1:8" hidden="1" x14ac:dyDescent="0.2">
      <c r="A750" t="s">
        <v>239</v>
      </c>
      <c r="B750" t="s">
        <v>66</v>
      </c>
      <c r="C750" t="s">
        <v>70</v>
      </c>
      <c r="D750" t="s">
        <v>240</v>
      </c>
      <c r="E750" t="s">
        <v>22</v>
      </c>
      <c r="F750">
        <v>127.3</v>
      </c>
      <c r="G750" t="s">
        <v>26</v>
      </c>
      <c r="H750" t="s">
        <v>14</v>
      </c>
    </row>
    <row r="751" spans="1:8" hidden="1" x14ac:dyDescent="0.2">
      <c r="A751" t="s">
        <v>239</v>
      </c>
      <c r="B751" t="s">
        <v>66</v>
      </c>
      <c r="C751" t="s">
        <v>70</v>
      </c>
      <c r="D751" t="s">
        <v>240</v>
      </c>
      <c r="E751" t="s">
        <v>1528</v>
      </c>
      <c r="G751" t="s">
        <v>26</v>
      </c>
      <c r="H751" t="s">
        <v>14</v>
      </c>
    </row>
    <row r="752" spans="1:8" hidden="1" x14ac:dyDescent="0.2">
      <c r="A752" t="s">
        <v>239</v>
      </c>
      <c r="B752" t="s">
        <v>66</v>
      </c>
      <c r="C752" t="s">
        <v>70</v>
      </c>
      <c r="D752" t="s">
        <v>240</v>
      </c>
      <c r="E752" t="s">
        <v>1529</v>
      </c>
      <c r="G752" t="s">
        <v>26</v>
      </c>
      <c r="H752" t="s">
        <v>14</v>
      </c>
    </row>
    <row r="753" spans="1:8" hidden="1" x14ac:dyDescent="0.2">
      <c r="A753" t="s">
        <v>239</v>
      </c>
      <c r="B753" t="s">
        <v>66</v>
      </c>
      <c r="C753" t="s">
        <v>70</v>
      </c>
      <c r="D753" t="s">
        <v>240</v>
      </c>
      <c r="E753" t="s">
        <v>1530</v>
      </c>
      <c r="G753" t="s">
        <v>26</v>
      </c>
      <c r="H753" t="s">
        <v>14</v>
      </c>
    </row>
    <row r="754" spans="1:8" hidden="1" x14ac:dyDescent="0.2">
      <c r="A754" t="s">
        <v>239</v>
      </c>
      <c r="B754" t="s">
        <v>66</v>
      </c>
      <c r="C754" t="s">
        <v>70</v>
      </c>
      <c r="D754" t="s">
        <v>240</v>
      </c>
      <c r="E754" t="s">
        <v>1531</v>
      </c>
      <c r="G754" t="s">
        <v>26</v>
      </c>
      <c r="H754" t="s">
        <v>14</v>
      </c>
    </row>
    <row r="755" spans="1:8" hidden="1" x14ac:dyDescent="0.2">
      <c r="A755" t="s">
        <v>239</v>
      </c>
      <c r="B755" t="s">
        <v>66</v>
      </c>
      <c r="C755" t="s">
        <v>70</v>
      </c>
      <c r="D755" t="s">
        <v>240</v>
      </c>
      <c r="E755" t="s">
        <v>12</v>
      </c>
      <c r="F755">
        <v>25.5</v>
      </c>
      <c r="G755" t="s">
        <v>26</v>
      </c>
      <c r="H755" t="s">
        <v>50</v>
      </c>
    </row>
    <row r="756" spans="1:8" hidden="1" x14ac:dyDescent="0.2">
      <c r="A756" t="s">
        <v>239</v>
      </c>
      <c r="B756" t="s">
        <v>66</v>
      </c>
      <c r="C756" t="s">
        <v>70</v>
      </c>
      <c r="D756" t="s">
        <v>240</v>
      </c>
      <c r="E756" t="s">
        <v>21</v>
      </c>
      <c r="F756">
        <v>63.6</v>
      </c>
      <c r="G756" t="s">
        <v>26</v>
      </c>
      <c r="H756" t="s">
        <v>14</v>
      </c>
    </row>
    <row r="757" spans="1:8" hidden="1" x14ac:dyDescent="0.2">
      <c r="A757" t="s">
        <v>239</v>
      </c>
      <c r="B757" t="s">
        <v>66</v>
      </c>
      <c r="C757" t="s">
        <v>70</v>
      </c>
      <c r="D757" t="s">
        <v>240</v>
      </c>
      <c r="E757" t="s">
        <v>20</v>
      </c>
      <c r="F757">
        <v>50.9</v>
      </c>
      <c r="G757" t="s">
        <v>26</v>
      </c>
      <c r="H757" t="s">
        <v>14</v>
      </c>
    </row>
    <row r="758" spans="1:8" hidden="1" x14ac:dyDescent="0.2">
      <c r="A758" t="s">
        <v>239</v>
      </c>
      <c r="B758" t="s">
        <v>66</v>
      </c>
      <c r="C758" t="s">
        <v>70</v>
      </c>
      <c r="D758" t="s">
        <v>240</v>
      </c>
      <c r="E758" t="s">
        <v>19</v>
      </c>
      <c r="F758">
        <v>50.9</v>
      </c>
      <c r="G758" t="s">
        <v>26</v>
      </c>
      <c r="H758" t="s">
        <v>14</v>
      </c>
    </row>
    <row r="759" spans="1:8" hidden="1" x14ac:dyDescent="0.2">
      <c r="A759" t="s">
        <v>239</v>
      </c>
      <c r="B759" t="s">
        <v>66</v>
      </c>
      <c r="C759" t="s">
        <v>70</v>
      </c>
      <c r="D759" t="s">
        <v>240</v>
      </c>
      <c r="E759" t="s">
        <v>17</v>
      </c>
      <c r="F759">
        <v>63.6</v>
      </c>
      <c r="G759" t="s">
        <v>26</v>
      </c>
      <c r="H759" t="s">
        <v>14</v>
      </c>
    </row>
    <row r="760" spans="1:8" hidden="1" x14ac:dyDescent="0.2">
      <c r="A760" t="s">
        <v>241</v>
      </c>
      <c r="B760" t="s">
        <v>66</v>
      </c>
      <c r="C760" t="s">
        <v>70</v>
      </c>
      <c r="D760" t="s">
        <v>242</v>
      </c>
      <c r="E760" t="s">
        <v>22</v>
      </c>
      <c r="F760">
        <v>240.7</v>
      </c>
      <c r="G760" t="s">
        <v>26</v>
      </c>
      <c r="H760" t="s">
        <v>14</v>
      </c>
    </row>
    <row r="761" spans="1:8" hidden="1" x14ac:dyDescent="0.2">
      <c r="A761" t="s">
        <v>241</v>
      </c>
      <c r="B761" t="s">
        <v>66</v>
      </c>
      <c r="C761" t="s">
        <v>70</v>
      </c>
      <c r="D761" t="s">
        <v>242</v>
      </c>
      <c r="E761" t="s">
        <v>1528</v>
      </c>
      <c r="G761" t="s">
        <v>26</v>
      </c>
      <c r="H761" t="s">
        <v>14</v>
      </c>
    </row>
    <row r="762" spans="1:8" hidden="1" x14ac:dyDescent="0.2">
      <c r="A762" t="s">
        <v>241</v>
      </c>
      <c r="B762" t="s">
        <v>66</v>
      </c>
      <c r="C762" t="s">
        <v>70</v>
      </c>
      <c r="D762" t="s">
        <v>242</v>
      </c>
      <c r="E762" t="s">
        <v>1529</v>
      </c>
      <c r="G762" t="s">
        <v>26</v>
      </c>
      <c r="H762" t="s">
        <v>14</v>
      </c>
    </row>
    <row r="763" spans="1:8" hidden="1" x14ac:dyDescent="0.2">
      <c r="A763" t="s">
        <v>241</v>
      </c>
      <c r="B763" t="s">
        <v>66</v>
      </c>
      <c r="C763" t="s">
        <v>70</v>
      </c>
      <c r="D763" t="s">
        <v>242</v>
      </c>
      <c r="E763" t="s">
        <v>1530</v>
      </c>
      <c r="G763" t="s">
        <v>26</v>
      </c>
      <c r="H763" t="s">
        <v>14</v>
      </c>
    </row>
    <row r="764" spans="1:8" hidden="1" x14ac:dyDescent="0.2">
      <c r="A764" t="s">
        <v>241</v>
      </c>
      <c r="B764" t="s">
        <v>66</v>
      </c>
      <c r="C764" t="s">
        <v>70</v>
      </c>
      <c r="D764" t="s">
        <v>242</v>
      </c>
      <c r="E764" t="s">
        <v>1531</v>
      </c>
      <c r="G764" t="s">
        <v>26</v>
      </c>
      <c r="H764" t="s">
        <v>14</v>
      </c>
    </row>
    <row r="765" spans="1:8" hidden="1" x14ac:dyDescent="0.2">
      <c r="A765" t="s">
        <v>241</v>
      </c>
      <c r="B765" t="s">
        <v>66</v>
      </c>
      <c r="C765" t="s">
        <v>70</v>
      </c>
      <c r="D765" t="s">
        <v>242</v>
      </c>
      <c r="E765" t="s">
        <v>12</v>
      </c>
      <c r="F765">
        <v>48.1</v>
      </c>
      <c r="G765" t="s">
        <v>26</v>
      </c>
      <c r="H765" t="s">
        <v>50</v>
      </c>
    </row>
    <row r="766" spans="1:8" hidden="1" x14ac:dyDescent="0.2">
      <c r="A766" t="s">
        <v>241</v>
      </c>
      <c r="B766" t="s">
        <v>66</v>
      </c>
      <c r="C766" t="s">
        <v>70</v>
      </c>
      <c r="D766" t="s">
        <v>242</v>
      </c>
      <c r="E766" t="s">
        <v>21</v>
      </c>
      <c r="F766">
        <v>120.4</v>
      </c>
      <c r="G766" t="s">
        <v>26</v>
      </c>
      <c r="H766" t="s">
        <v>14</v>
      </c>
    </row>
    <row r="767" spans="1:8" hidden="1" x14ac:dyDescent="0.2">
      <c r="A767" t="s">
        <v>241</v>
      </c>
      <c r="B767" t="s">
        <v>66</v>
      </c>
      <c r="C767" t="s">
        <v>70</v>
      </c>
      <c r="D767" t="s">
        <v>242</v>
      </c>
      <c r="E767" t="s">
        <v>20</v>
      </c>
      <c r="F767">
        <v>96.3</v>
      </c>
      <c r="G767" t="s">
        <v>26</v>
      </c>
      <c r="H767" t="s">
        <v>14</v>
      </c>
    </row>
    <row r="768" spans="1:8" hidden="1" x14ac:dyDescent="0.2">
      <c r="A768" t="s">
        <v>241</v>
      </c>
      <c r="B768" t="s">
        <v>66</v>
      </c>
      <c r="C768" t="s">
        <v>70</v>
      </c>
      <c r="D768" t="s">
        <v>242</v>
      </c>
      <c r="E768" t="s">
        <v>19</v>
      </c>
      <c r="F768">
        <v>96.3</v>
      </c>
      <c r="G768" t="s">
        <v>26</v>
      </c>
      <c r="H768" t="s">
        <v>14</v>
      </c>
    </row>
    <row r="769" spans="1:8" hidden="1" x14ac:dyDescent="0.2">
      <c r="A769" t="s">
        <v>241</v>
      </c>
      <c r="B769" t="s">
        <v>66</v>
      </c>
      <c r="C769" t="s">
        <v>70</v>
      </c>
      <c r="D769" t="s">
        <v>242</v>
      </c>
      <c r="E769" t="s">
        <v>17</v>
      </c>
      <c r="F769">
        <v>120.4</v>
      </c>
      <c r="G769" t="s">
        <v>26</v>
      </c>
      <c r="H769" t="s">
        <v>14</v>
      </c>
    </row>
    <row r="770" spans="1:8" hidden="1" x14ac:dyDescent="0.2">
      <c r="A770" t="s">
        <v>243</v>
      </c>
      <c r="B770" t="s">
        <v>56</v>
      </c>
      <c r="C770" t="s">
        <v>60</v>
      </c>
      <c r="D770" t="s">
        <v>244</v>
      </c>
      <c r="E770" t="s">
        <v>22</v>
      </c>
      <c r="F770">
        <v>106.7</v>
      </c>
      <c r="G770" t="s">
        <v>26</v>
      </c>
      <c r="H770" t="s">
        <v>14</v>
      </c>
    </row>
    <row r="771" spans="1:8" hidden="1" x14ac:dyDescent="0.2">
      <c r="A771" t="s">
        <v>243</v>
      </c>
      <c r="B771" t="s">
        <v>56</v>
      </c>
      <c r="C771" t="s">
        <v>60</v>
      </c>
      <c r="D771" t="s">
        <v>244</v>
      </c>
      <c r="E771" t="s">
        <v>1528</v>
      </c>
      <c r="G771" t="s">
        <v>26</v>
      </c>
      <c r="H771" t="s">
        <v>14</v>
      </c>
    </row>
    <row r="772" spans="1:8" hidden="1" x14ac:dyDescent="0.2">
      <c r="A772" t="s">
        <v>243</v>
      </c>
      <c r="B772" t="s">
        <v>56</v>
      </c>
      <c r="C772" t="s">
        <v>60</v>
      </c>
      <c r="D772" t="s">
        <v>244</v>
      </c>
      <c r="E772" t="s">
        <v>1529</v>
      </c>
      <c r="G772" t="s">
        <v>26</v>
      </c>
      <c r="H772" t="s">
        <v>14</v>
      </c>
    </row>
    <row r="773" spans="1:8" hidden="1" x14ac:dyDescent="0.2">
      <c r="A773" t="s">
        <v>243</v>
      </c>
      <c r="B773" t="s">
        <v>56</v>
      </c>
      <c r="C773" t="s">
        <v>60</v>
      </c>
      <c r="D773" t="s">
        <v>244</v>
      </c>
      <c r="E773" t="s">
        <v>1530</v>
      </c>
      <c r="G773" t="s">
        <v>26</v>
      </c>
      <c r="H773" t="s">
        <v>14</v>
      </c>
    </row>
    <row r="774" spans="1:8" hidden="1" x14ac:dyDescent="0.2">
      <c r="A774" t="s">
        <v>243</v>
      </c>
      <c r="B774" t="s">
        <v>56</v>
      </c>
      <c r="C774" t="s">
        <v>60</v>
      </c>
      <c r="D774" t="s">
        <v>244</v>
      </c>
      <c r="E774" t="s">
        <v>1531</v>
      </c>
      <c r="G774" t="s">
        <v>26</v>
      </c>
      <c r="H774" t="s">
        <v>14</v>
      </c>
    </row>
    <row r="775" spans="1:8" hidden="1" x14ac:dyDescent="0.2">
      <c r="A775" t="s">
        <v>243</v>
      </c>
      <c r="B775" t="s">
        <v>56</v>
      </c>
      <c r="C775" t="s">
        <v>60</v>
      </c>
      <c r="D775" t="s">
        <v>244</v>
      </c>
      <c r="E775" t="s">
        <v>12</v>
      </c>
      <c r="F775">
        <v>21.3</v>
      </c>
      <c r="G775" t="s">
        <v>26</v>
      </c>
      <c r="H775" t="s">
        <v>50</v>
      </c>
    </row>
    <row r="776" spans="1:8" hidden="1" x14ac:dyDescent="0.2">
      <c r="A776" t="s">
        <v>243</v>
      </c>
      <c r="B776" t="s">
        <v>56</v>
      </c>
      <c r="C776" t="s">
        <v>60</v>
      </c>
      <c r="D776" t="s">
        <v>244</v>
      </c>
      <c r="E776" t="s">
        <v>21</v>
      </c>
      <c r="F776">
        <v>53.4</v>
      </c>
      <c r="G776" t="s">
        <v>26</v>
      </c>
      <c r="H776" t="s">
        <v>14</v>
      </c>
    </row>
    <row r="777" spans="1:8" hidden="1" x14ac:dyDescent="0.2">
      <c r="A777" t="s">
        <v>243</v>
      </c>
      <c r="B777" t="s">
        <v>56</v>
      </c>
      <c r="C777" t="s">
        <v>60</v>
      </c>
      <c r="D777" t="s">
        <v>244</v>
      </c>
      <c r="E777" t="s">
        <v>20</v>
      </c>
      <c r="F777">
        <v>42.7</v>
      </c>
      <c r="G777" t="s">
        <v>26</v>
      </c>
      <c r="H777" t="s">
        <v>14</v>
      </c>
    </row>
    <row r="778" spans="1:8" hidden="1" x14ac:dyDescent="0.2">
      <c r="A778" t="s">
        <v>243</v>
      </c>
      <c r="B778" t="s">
        <v>56</v>
      </c>
      <c r="C778" t="s">
        <v>60</v>
      </c>
      <c r="D778" t="s">
        <v>244</v>
      </c>
      <c r="E778" t="s">
        <v>19</v>
      </c>
      <c r="F778">
        <v>42.7</v>
      </c>
      <c r="G778" t="s">
        <v>26</v>
      </c>
      <c r="H778" t="s">
        <v>14</v>
      </c>
    </row>
    <row r="779" spans="1:8" hidden="1" x14ac:dyDescent="0.2">
      <c r="A779" t="s">
        <v>243</v>
      </c>
      <c r="B779" t="s">
        <v>56</v>
      </c>
      <c r="C779" t="s">
        <v>60</v>
      </c>
      <c r="D779" t="s">
        <v>244</v>
      </c>
      <c r="E779" t="s">
        <v>17</v>
      </c>
      <c r="F779">
        <v>53.4</v>
      </c>
      <c r="G779" t="s">
        <v>26</v>
      </c>
      <c r="H779" t="s">
        <v>14</v>
      </c>
    </row>
    <row r="780" spans="1:8" hidden="1" x14ac:dyDescent="0.2">
      <c r="A780" t="s">
        <v>245</v>
      </c>
      <c r="B780" t="s">
        <v>56</v>
      </c>
      <c r="C780" t="s">
        <v>60</v>
      </c>
      <c r="D780" t="s">
        <v>246</v>
      </c>
      <c r="E780" t="s">
        <v>22</v>
      </c>
      <c r="F780">
        <v>112</v>
      </c>
      <c r="G780" t="s">
        <v>26</v>
      </c>
      <c r="H780" t="s">
        <v>14</v>
      </c>
    </row>
    <row r="781" spans="1:8" hidden="1" x14ac:dyDescent="0.2">
      <c r="A781" t="s">
        <v>245</v>
      </c>
      <c r="B781" t="s">
        <v>56</v>
      </c>
      <c r="C781" t="s">
        <v>60</v>
      </c>
      <c r="D781" t="s">
        <v>246</v>
      </c>
      <c r="E781" t="s">
        <v>1528</v>
      </c>
      <c r="G781" t="s">
        <v>26</v>
      </c>
      <c r="H781" t="s">
        <v>14</v>
      </c>
    </row>
    <row r="782" spans="1:8" hidden="1" x14ac:dyDescent="0.2">
      <c r="A782" t="s">
        <v>245</v>
      </c>
      <c r="B782" t="s">
        <v>56</v>
      </c>
      <c r="C782" t="s">
        <v>60</v>
      </c>
      <c r="D782" t="s">
        <v>246</v>
      </c>
      <c r="E782" t="s">
        <v>1529</v>
      </c>
      <c r="G782" t="s">
        <v>26</v>
      </c>
      <c r="H782" t="s">
        <v>14</v>
      </c>
    </row>
    <row r="783" spans="1:8" hidden="1" x14ac:dyDescent="0.2">
      <c r="A783" t="s">
        <v>245</v>
      </c>
      <c r="B783" t="s">
        <v>56</v>
      </c>
      <c r="C783" t="s">
        <v>60</v>
      </c>
      <c r="D783" t="s">
        <v>246</v>
      </c>
      <c r="E783" t="s">
        <v>1530</v>
      </c>
      <c r="G783" t="s">
        <v>26</v>
      </c>
      <c r="H783" t="s">
        <v>14</v>
      </c>
    </row>
    <row r="784" spans="1:8" hidden="1" x14ac:dyDescent="0.2">
      <c r="A784" t="s">
        <v>245</v>
      </c>
      <c r="B784" t="s">
        <v>56</v>
      </c>
      <c r="C784" t="s">
        <v>60</v>
      </c>
      <c r="D784" t="s">
        <v>246</v>
      </c>
      <c r="E784" t="s">
        <v>1531</v>
      </c>
      <c r="G784" t="s">
        <v>26</v>
      </c>
      <c r="H784" t="s">
        <v>14</v>
      </c>
    </row>
    <row r="785" spans="1:8" hidden="1" x14ac:dyDescent="0.2">
      <c r="A785" t="s">
        <v>245</v>
      </c>
      <c r="B785" t="s">
        <v>56</v>
      </c>
      <c r="C785" t="s">
        <v>60</v>
      </c>
      <c r="D785" t="s">
        <v>246</v>
      </c>
      <c r="E785" t="s">
        <v>12</v>
      </c>
      <c r="F785">
        <v>22.4</v>
      </c>
      <c r="G785" t="s">
        <v>26</v>
      </c>
      <c r="H785" t="s">
        <v>50</v>
      </c>
    </row>
    <row r="786" spans="1:8" hidden="1" x14ac:dyDescent="0.2">
      <c r="A786" t="s">
        <v>245</v>
      </c>
      <c r="B786" t="s">
        <v>56</v>
      </c>
      <c r="C786" t="s">
        <v>60</v>
      </c>
      <c r="D786" t="s">
        <v>246</v>
      </c>
      <c r="E786" t="s">
        <v>21</v>
      </c>
      <c r="F786">
        <v>56</v>
      </c>
      <c r="G786" t="s">
        <v>26</v>
      </c>
      <c r="H786" t="s">
        <v>14</v>
      </c>
    </row>
    <row r="787" spans="1:8" hidden="1" x14ac:dyDescent="0.2">
      <c r="A787" t="s">
        <v>245</v>
      </c>
      <c r="B787" t="s">
        <v>56</v>
      </c>
      <c r="C787" t="s">
        <v>60</v>
      </c>
      <c r="D787" t="s">
        <v>246</v>
      </c>
      <c r="E787" t="s">
        <v>20</v>
      </c>
      <c r="F787">
        <v>44.8</v>
      </c>
      <c r="G787" t="s">
        <v>26</v>
      </c>
      <c r="H787" t="s">
        <v>14</v>
      </c>
    </row>
    <row r="788" spans="1:8" hidden="1" x14ac:dyDescent="0.2">
      <c r="A788" t="s">
        <v>245</v>
      </c>
      <c r="B788" t="s">
        <v>56</v>
      </c>
      <c r="C788" t="s">
        <v>60</v>
      </c>
      <c r="D788" t="s">
        <v>246</v>
      </c>
      <c r="E788" t="s">
        <v>19</v>
      </c>
      <c r="F788">
        <v>44.8</v>
      </c>
      <c r="G788" t="s">
        <v>26</v>
      </c>
      <c r="H788" t="s">
        <v>14</v>
      </c>
    </row>
    <row r="789" spans="1:8" hidden="1" x14ac:dyDescent="0.2">
      <c r="A789" t="s">
        <v>245</v>
      </c>
      <c r="B789" t="s">
        <v>56</v>
      </c>
      <c r="C789" t="s">
        <v>60</v>
      </c>
      <c r="D789" t="s">
        <v>246</v>
      </c>
      <c r="E789" t="s">
        <v>17</v>
      </c>
      <c r="F789">
        <v>56</v>
      </c>
      <c r="G789" t="s">
        <v>26</v>
      </c>
      <c r="H789" t="s">
        <v>14</v>
      </c>
    </row>
    <row r="790" spans="1:8" hidden="1" x14ac:dyDescent="0.2">
      <c r="A790" t="s">
        <v>247</v>
      </c>
      <c r="B790" t="s">
        <v>75</v>
      </c>
      <c r="C790" t="s">
        <v>77</v>
      </c>
      <c r="D790" t="s">
        <v>248</v>
      </c>
      <c r="E790" t="s">
        <v>22</v>
      </c>
      <c r="F790">
        <v>50.7</v>
      </c>
      <c r="G790" t="s">
        <v>26</v>
      </c>
      <c r="H790" t="s">
        <v>14</v>
      </c>
    </row>
    <row r="791" spans="1:8" hidden="1" x14ac:dyDescent="0.2">
      <c r="A791" t="s">
        <v>247</v>
      </c>
      <c r="B791" t="s">
        <v>75</v>
      </c>
      <c r="C791" t="s">
        <v>77</v>
      </c>
      <c r="D791" t="s">
        <v>248</v>
      </c>
      <c r="E791" t="s">
        <v>1528</v>
      </c>
      <c r="G791" t="s">
        <v>26</v>
      </c>
      <c r="H791" t="s">
        <v>14</v>
      </c>
    </row>
    <row r="792" spans="1:8" hidden="1" x14ac:dyDescent="0.2">
      <c r="A792" t="s">
        <v>247</v>
      </c>
      <c r="B792" t="s">
        <v>75</v>
      </c>
      <c r="C792" t="s">
        <v>77</v>
      </c>
      <c r="D792" t="s">
        <v>248</v>
      </c>
      <c r="E792" t="s">
        <v>1529</v>
      </c>
      <c r="G792" t="s">
        <v>26</v>
      </c>
      <c r="H792" t="s">
        <v>14</v>
      </c>
    </row>
    <row r="793" spans="1:8" hidden="1" x14ac:dyDescent="0.2">
      <c r="A793" t="s">
        <v>247</v>
      </c>
      <c r="B793" t="s">
        <v>75</v>
      </c>
      <c r="C793" t="s">
        <v>77</v>
      </c>
      <c r="D793" t="s">
        <v>248</v>
      </c>
      <c r="E793" t="s">
        <v>1530</v>
      </c>
      <c r="G793" t="s">
        <v>26</v>
      </c>
      <c r="H793" t="s">
        <v>14</v>
      </c>
    </row>
    <row r="794" spans="1:8" hidden="1" x14ac:dyDescent="0.2">
      <c r="A794" t="s">
        <v>247</v>
      </c>
      <c r="B794" t="s">
        <v>75</v>
      </c>
      <c r="C794" t="s">
        <v>77</v>
      </c>
      <c r="D794" t="s">
        <v>248</v>
      </c>
      <c r="E794" t="s">
        <v>1531</v>
      </c>
      <c r="G794" t="s">
        <v>26</v>
      </c>
      <c r="H794" t="s">
        <v>14</v>
      </c>
    </row>
    <row r="795" spans="1:8" hidden="1" x14ac:dyDescent="0.2">
      <c r="A795" t="s">
        <v>247</v>
      </c>
      <c r="B795" t="s">
        <v>75</v>
      </c>
      <c r="C795" t="s">
        <v>77</v>
      </c>
      <c r="D795" t="s">
        <v>248</v>
      </c>
      <c r="E795" t="s">
        <v>12</v>
      </c>
      <c r="F795">
        <v>10.1</v>
      </c>
      <c r="G795" t="s">
        <v>26</v>
      </c>
      <c r="H795" t="s">
        <v>50</v>
      </c>
    </row>
    <row r="796" spans="1:8" hidden="1" x14ac:dyDescent="0.2">
      <c r="A796" t="s">
        <v>247</v>
      </c>
      <c r="B796" t="s">
        <v>75</v>
      </c>
      <c r="C796" t="s">
        <v>77</v>
      </c>
      <c r="D796" t="s">
        <v>248</v>
      </c>
      <c r="E796" t="s">
        <v>21</v>
      </c>
      <c r="F796">
        <v>25.4</v>
      </c>
      <c r="G796" t="s">
        <v>26</v>
      </c>
      <c r="H796" t="s">
        <v>14</v>
      </c>
    </row>
    <row r="797" spans="1:8" hidden="1" x14ac:dyDescent="0.2">
      <c r="A797" t="s">
        <v>247</v>
      </c>
      <c r="B797" t="s">
        <v>75</v>
      </c>
      <c r="C797" t="s">
        <v>77</v>
      </c>
      <c r="D797" t="s">
        <v>248</v>
      </c>
      <c r="E797" t="s">
        <v>20</v>
      </c>
      <c r="F797">
        <v>20.3</v>
      </c>
      <c r="G797" t="s">
        <v>26</v>
      </c>
      <c r="H797" t="s">
        <v>14</v>
      </c>
    </row>
    <row r="798" spans="1:8" hidden="1" x14ac:dyDescent="0.2">
      <c r="A798" t="s">
        <v>247</v>
      </c>
      <c r="B798" t="s">
        <v>75</v>
      </c>
      <c r="C798" t="s">
        <v>77</v>
      </c>
      <c r="D798" t="s">
        <v>248</v>
      </c>
      <c r="E798" t="s">
        <v>19</v>
      </c>
      <c r="F798">
        <v>20.3</v>
      </c>
      <c r="G798" t="s">
        <v>26</v>
      </c>
      <c r="H798" t="s">
        <v>14</v>
      </c>
    </row>
    <row r="799" spans="1:8" hidden="1" x14ac:dyDescent="0.2">
      <c r="A799" t="s">
        <v>247</v>
      </c>
      <c r="B799" t="s">
        <v>75</v>
      </c>
      <c r="C799" t="s">
        <v>77</v>
      </c>
      <c r="D799" t="s">
        <v>248</v>
      </c>
      <c r="E799" t="s">
        <v>17</v>
      </c>
      <c r="F799">
        <v>25.4</v>
      </c>
      <c r="G799" t="s">
        <v>26</v>
      </c>
      <c r="H799" t="s">
        <v>14</v>
      </c>
    </row>
    <row r="800" spans="1:8" hidden="1" x14ac:dyDescent="0.2">
      <c r="A800" t="s">
        <v>249</v>
      </c>
      <c r="B800" t="s">
        <v>75</v>
      </c>
      <c r="C800" t="s">
        <v>80</v>
      </c>
      <c r="D800" t="s">
        <v>250</v>
      </c>
      <c r="E800" t="s">
        <v>22</v>
      </c>
      <c r="F800">
        <v>64</v>
      </c>
      <c r="G800" t="s">
        <v>26</v>
      </c>
      <c r="H800" t="s">
        <v>14</v>
      </c>
    </row>
    <row r="801" spans="1:8" hidden="1" x14ac:dyDescent="0.2">
      <c r="A801" t="s">
        <v>249</v>
      </c>
      <c r="B801" t="s">
        <v>75</v>
      </c>
      <c r="C801" t="s">
        <v>80</v>
      </c>
      <c r="D801" t="s">
        <v>250</v>
      </c>
      <c r="E801" t="s">
        <v>1528</v>
      </c>
      <c r="G801" t="s">
        <v>26</v>
      </c>
      <c r="H801" t="s">
        <v>14</v>
      </c>
    </row>
    <row r="802" spans="1:8" hidden="1" x14ac:dyDescent="0.2">
      <c r="A802" t="s">
        <v>249</v>
      </c>
      <c r="B802" t="s">
        <v>75</v>
      </c>
      <c r="C802" t="s">
        <v>80</v>
      </c>
      <c r="D802" t="s">
        <v>250</v>
      </c>
      <c r="E802" t="s">
        <v>1529</v>
      </c>
      <c r="G802" t="s">
        <v>26</v>
      </c>
      <c r="H802" t="s">
        <v>14</v>
      </c>
    </row>
    <row r="803" spans="1:8" hidden="1" x14ac:dyDescent="0.2">
      <c r="A803" t="s">
        <v>249</v>
      </c>
      <c r="B803" t="s">
        <v>75</v>
      </c>
      <c r="C803" t="s">
        <v>80</v>
      </c>
      <c r="D803" t="s">
        <v>250</v>
      </c>
      <c r="E803" t="s">
        <v>1530</v>
      </c>
      <c r="G803" t="s">
        <v>26</v>
      </c>
      <c r="H803" t="s">
        <v>14</v>
      </c>
    </row>
    <row r="804" spans="1:8" hidden="1" x14ac:dyDescent="0.2">
      <c r="A804" t="s">
        <v>249</v>
      </c>
      <c r="B804" t="s">
        <v>75</v>
      </c>
      <c r="C804" t="s">
        <v>80</v>
      </c>
      <c r="D804" t="s">
        <v>250</v>
      </c>
      <c r="E804" t="s">
        <v>1531</v>
      </c>
      <c r="G804" t="s">
        <v>26</v>
      </c>
      <c r="H804" t="s">
        <v>14</v>
      </c>
    </row>
    <row r="805" spans="1:8" hidden="1" x14ac:dyDescent="0.2">
      <c r="A805" t="s">
        <v>249</v>
      </c>
      <c r="B805" t="s">
        <v>75</v>
      </c>
      <c r="C805" t="s">
        <v>80</v>
      </c>
      <c r="D805" t="s">
        <v>250</v>
      </c>
      <c r="E805" t="s">
        <v>12</v>
      </c>
      <c r="F805">
        <v>12.8</v>
      </c>
      <c r="G805" t="s">
        <v>26</v>
      </c>
      <c r="H805" t="s">
        <v>50</v>
      </c>
    </row>
    <row r="806" spans="1:8" hidden="1" x14ac:dyDescent="0.2">
      <c r="A806" t="s">
        <v>249</v>
      </c>
      <c r="B806" t="s">
        <v>75</v>
      </c>
      <c r="C806" t="s">
        <v>80</v>
      </c>
      <c r="D806" t="s">
        <v>250</v>
      </c>
      <c r="E806" t="s">
        <v>21</v>
      </c>
      <c r="F806">
        <v>32</v>
      </c>
      <c r="G806" t="s">
        <v>26</v>
      </c>
      <c r="H806" t="s">
        <v>14</v>
      </c>
    </row>
    <row r="807" spans="1:8" hidden="1" x14ac:dyDescent="0.2">
      <c r="A807" t="s">
        <v>249</v>
      </c>
      <c r="B807" t="s">
        <v>75</v>
      </c>
      <c r="C807" t="s">
        <v>80</v>
      </c>
      <c r="D807" t="s">
        <v>250</v>
      </c>
      <c r="E807" t="s">
        <v>20</v>
      </c>
      <c r="F807">
        <v>25.6</v>
      </c>
      <c r="G807" t="s">
        <v>26</v>
      </c>
      <c r="H807" t="s">
        <v>14</v>
      </c>
    </row>
    <row r="808" spans="1:8" hidden="1" x14ac:dyDescent="0.2">
      <c r="A808" t="s">
        <v>249</v>
      </c>
      <c r="B808" t="s">
        <v>75</v>
      </c>
      <c r="C808" t="s">
        <v>80</v>
      </c>
      <c r="D808" t="s">
        <v>250</v>
      </c>
      <c r="E808" t="s">
        <v>19</v>
      </c>
      <c r="F808">
        <v>25.6</v>
      </c>
      <c r="G808" t="s">
        <v>26</v>
      </c>
      <c r="H808" t="s">
        <v>14</v>
      </c>
    </row>
    <row r="809" spans="1:8" hidden="1" x14ac:dyDescent="0.2">
      <c r="A809" t="s">
        <v>249</v>
      </c>
      <c r="B809" t="s">
        <v>75</v>
      </c>
      <c r="C809" t="s">
        <v>80</v>
      </c>
      <c r="D809" t="s">
        <v>250</v>
      </c>
      <c r="E809" t="s">
        <v>17</v>
      </c>
      <c r="F809">
        <v>32</v>
      </c>
      <c r="G809" t="s">
        <v>26</v>
      </c>
      <c r="H809" t="s">
        <v>14</v>
      </c>
    </row>
    <row r="810" spans="1:8" hidden="1" x14ac:dyDescent="0.2">
      <c r="A810" t="s">
        <v>251</v>
      </c>
      <c r="B810" t="s">
        <v>75</v>
      </c>
      <c r="C810" t="s">
        <v>82</v>
      </c>
      <c r="D810" t="s">
        <v>252</v>
      </c>
      <c r="E810" t="s">
        <v>22</v>
      </c>
      <c r="F810">
        <v>186.7</v>
      </c>
      <c r="G810" t="s">
        <v>26</v>
      </c>
      <c r="H810" t="s">
        <v>14</v>
      </c>
    </row>
    <row r="811" spans="1:8" hidden="1" x14ac:dyDescent="0.2">
      <c r="A811" t="s">
        <v>251</v>
      </c>
      <c r="B811" t="s">
        <v>75</v>
      </c>
      <c r="C811" t="s">
        <v>82</v>
      </c>
      <c r="D811" t="s">
        <v>252</v>
      </c>
      <c r="E811" t="s">
        <v>1528</v>
      </c>
      <c r="G811" t="s">
        <v>26</v>
      </c>
      <c r="H811" t="s">
        <v>14</v>
      </c>
    </row>
    <row r="812" spans="1:8" hidden="1" x14ac:dyDescent="0.2">
      <c r="A812" t="s">
        <v>251</v>
      </c>
      <c r="B812" t="s">
        <v>75</v>
      </c>
      <c r="C812" t="s">
        <v>82</v>
      </c>
      <c r="D812" t="s">
        <v>252</v>
      </c>
      <c r="E812" t="s">
        <v>1529</v>
      </c>
      <c r="G812" t="s">
        <v>26</v>
      </c>
      <c r="H812" t="s">
        <v>14</v>
      </c>
    </row>
    <row r="813" spans="1:8" hidden="1" x14ac:dyDescent="0.2">
      <c r="A813" t="s">
        <v>251</v>
      </c>
      <c r="B813" t="s">
        <v>75</v>
      </c>
      <c r="C813" t="s">
        <v>82</v>
      </c>
      <c r="D813" t="s">
        <v>252</v>
      </c>
      <c r="E813" t="s">
        <v>1530</v>
      </c>
      <c r="G813" t="s">
        <v>26</v>
      </c>
      <c r="H813" t="s">
        <v>14</v>
      </c>
    </row>
    <row r="814" spans="1:8" hidden="1" x14ac:dyDescent="0.2">
      <c r="A814" t="s">
        <v>251</v>
      </c>
      <c r="B814" t="s">
        <v>75</v>
      </c>
      <c r="C814" t="s">
        <v>82</v>
      </c>
      <c r="D814" t="s">
        <v>252</v>
      </c>
      <c r="E814" t="s">
        <v>1531</v>
      </c>
      <c r="G814" t="s">
        <v>26</v>
      </c>
      <c r="H814" t="s">
        <v>14</v>
      </c>
    </row>
    <row r="815" spans="1:8" hidden="1" x14ac:dyDescent="0.2">
      <c r="A815" t="s">
        <v>251</v>
      </c>
      <c r="B815" t="s">
        <v>75</v>
      </c>
      <c r="C815" t="s">
        <v>82</v>
      </c>
      <c r="D815" t="s">
        <v>252</v>
      </c>
      <c r="E815" t="s">
        <v>12</v>
      </c>
      <c r="F815">
        <v>37.299999999999997</v>
      </c>
      <c r="G815" t="s">
        <v>26</v>
      </c>
      <c r="H815" t="s">
        <v>50</v>
      </c>
    </row>
    <row r="816" spans="1:8" hidden="1" x14ac:dyDescent="0.2">
      <c r="A816" t="s">
        <v>251</v>
      </c>
      <c r="B816" t="s">
        <v>75</v>
      </c>
      <c r="C816" t="s">
        <v>82</v>
      </c>
      <c r="D816" t="s">
        <v>252</v>
      </c>
      <c r="E816" t="s">
        <v>21</v>
      </c>
      <c r="F816">
        <v>93.4</v>
      </c>
      <c r="G816" t="s">
        <v>26</v>
      </c>
      <c r="H816" t="s">
        <v>14</v>
      </c>
    </row>
    <row r="817" spans="1:8" hidden="1" x14ac:dyDescent="0.2">
      <c r="A817" t="s">
        <v>251</v>
      </c>
      <c r="B817" t="s">
        <v>75</v>
      </c>
      <c r="C817" t="s">
        <v>82</v>
      </c>
      <c r="D817" t="s">
        <v>252</v>
      </c>
      <c r="E817" t="s">
        <v>20</v>
      </c>
      <c r="F817">
        <v>74.7</v>
      </c>
      <c r="G817" t="s">
        <v>26</v>
      </c>
      <c r="H817" t="s">
        <v>14</v>
      </c>
    </row>
    <row r="818" spans="1:8" hidden="1" x14ac:dyDescent="0.2">
      <c r="A818" t="s">
        <v>251</v>
      </c>
      <c r="B818" t="s">
        <v>75</v>
      </c>
      <c r="C818" t="s">
        <v>82</v>
      </c>
      <c r="D818" t="s">
        <v>252</v>
      </c>
      <c r="E818" t="s">
        <v>19</v>
      </c>
      <c r="F818">
        <v>74.7</v>
      </c>
      <c r="G818" t="s">
        <v>26</v>
      </c>
      <c r="H818" t="s">
        <v>14</v>
      </c>
    </row>
    <row r="819" spans="1:8" hidden="1" x14ac:dyDescent="0.2">
      <c r="A819" t="s">
        <v>251</v>
      </c>
      <c r="B819" t="s">
        <v>75</v>
      </c>
      <c r="C819" t="s">
        <v>82</v>
      </c>
      <c r="D819" t="s">
        <v>252</v>
      </c>
      <c r="E819" t="s">
        <v>17</v>
      </c>
      <c r="F819">
        <v>93.4</v>
      </c>
      <c r="G819" t="s">
        <v>26</v>
      </c>
      <c r="H819" t="s">
        <v>14</v>
      </c>
    </row>
    <row r="820" spans="1:8" hidden="1" x14ac:dyDescent="0.2">
      <c r="A820" t="s">
        <v>253</v>
      </c>
      <c r="B820" t="s">
        <v>56</v>
      </c>
      <c r="C820" t="s">
        <v>60</v>
      </c>
      <c r="D820" t="s">
        <v>254</v>
      </c>
      <c r="E820" t="s">
        <v>22</v>
      </c>
      <c r="F820">
        <v>213.3</v>
      </c>
      <c r="G820" t="s">
        <v>26</v>
      </c>
      <c r="H820" t="s">
        <v>14</v>
      </c>
    </row>
    <row r="821" spans="1:8" hidden="1" x14ac:dyDescent="0.2">
      <c r="A821" t="s">
        <v>253</v>
      </c>
      <c r="B821" t="s">
        <v>56</v>
      </c>
      <c r="C821" t="s">
        <v>60</v>
      </c>
      <c r="D821" t="s">
        <v>254</v>
      </c>
      <c r="E821" t="s">
        <v>1528</v>
      </c>
      <c r="G821" t="s">
        <v>26</v>
      </c>
      <c r="H821" t="s">
        <v>14</v>
      </c>
    </row>
    <row r="822" spans="1:8" hidden="1" x14ac:dyDescent="0.2">
      <c r="A822" t="s">
        <v>253</v>
      </c>
      <c r="B822" t="s">
        <v>56</v>
      </c>
      <c r="C822" t="s">
        <v>60</v>
      </c>
      <c r="D822" t="s">
        <v>254</v>
      </c>
      <c r="E822" t="s">
        <v>1529</v>
      </c>
      <c r="G822" t="s">
        <v>26</v>
      </c>
      <c r="H822" t="s">
        <v>14</v>
      </c>
    </row>
    <row r="823" spans="1:8" hidden="1" x14ac:dyDescent="0.2">
      <c r="A823" t="s">
        <v>253</v>
      </c>
      <c r="B823" t="s">
        <v>56</v>
      </c>
      <c r="C823" t="s">
        <v>60</v>
      </c>
      <c r="D823" t="s">
        <v>254</v>
      </c>
      <c r="E823" t="s">
        <v>1530</v>
      </c>
      <c r="G823" t="s">
        <v>26</v>
      </c>
      <c r="H823" t="s">
        <v>14</v>
      </c>
    </row>
    <row r="824" spans="1:8" hidden="1" x14ac:dyDescent="0.2">
      <c r="A824" t="s">
        <v>253</v>
      </c>
      <c r="B824" t="s">
        <v>56</v>
      </c>
      <c r="C824" t="s">
        <v>60</v>
      </c>
      <c r="D824" t="s">
        <v>254</v>
      </c>
      <c r="E824" t="s">
        <v>1531</v>
      </c>
      <c r="G824" t="s">
        <v>26</v>
      </c>
      <c r="H824" t="s">
        <v>14</v>
      </c>
    </row>
    <row r="825" spans="1:8" hidden="1" x14ac:dyDescent="0.2">
      <c r="A825" t="s">
        <v>253</v>
      </c>
      <c r="B825" t="s">
        <v>56</v>
      </c>
      <c r="C825" t="s">
        <v>60</v>
      </c>
      <c r="D825" t="s">
        <v>254</v>
      </c>
      <c r="E825" t="s">
        <v>12</v>
      </c>
      <c r="F825">
        <v>42.7</v>
      </c>
      <c r="G825" t="s">
        <v>26</v>
      </c>
      <c r="H825" t="s">
        <v>50</v>
      </c>
    </row>
    <row r="826" spans="1:8" hidden="1" x14ac:dyDescent="0.2">
      <c r="A826" t="s">
        <v>253</v>
      </c>
      <c r="B826" t="s">
        <v>56</v>
      </c>
      <c r="C826" t="s">
        <v>60</v>
      </c>
      <c r="D826" t="s">
        <v>254</v>
      </c>
      <c r="E826" t="s">
        <v>21</v>
      </c>
      <c r="F826">
        <v>106.6</v>
      </c>
      <c r="G826" t="s">
        <v>26</v>
      </c>
      <c r="H826" t="s">
        <v>14</v>
      </c>
    </row>
    <row r="827" spans="1:8" hidden="1" x14ac:dyDescent="0.2">
      <c r="A827" t="s">
        <v>253</v>
      </c>
      <c r="B827" t="s">
        <v>56</v>
      </c>
      <c r="C827" t="s">
        <v>60</v>
      </c>
      <c r="D827" t="s">
        <v>254</v>
      </c>
      <c r="E827" t="s">
        <v>20</v>
      </c>
      <c r="F827">
        <v>85.3</v>
      </c>
      <c r="G827" t="s">
        <v>26</v>
      </c>
      <c r="H827" t="s">
        <v>14</v>
      </c>
    </row>
    <row r="828" spans="1:8" hidden="1" x14ac:dyDescent="0.2">
      <c r="A828" t="s">
        <v>253</v>
      </c>
      <c r="B828" t="s">
        <v>56</v>
      </c>
      <c r="C828" t="s">
        <v>60</v>
      </c>
      <c r="D828" t="s">
        <v>254</v>
      </c>
      <c r="E828" t="s">
        <v>19</v>
      </c>
      <c r="F828">
        <v>85.3</v>
      </c>
      <c r="G828" t="s">
        <v>26</v>
      </c>
      <c r="H828" t="s">
        <v>14</v>
      </c>
    </row>
    <row r="829" spans="1:8" hidden="1" x14ac:dyDescent="0.2">
      <c r="A829" t="s">
        <v>253</v>
      </c>
      <c r="B829" t="s">
        <v>56</v>
      </c>
      <c r="C829" t="s">
        <v>60</v>
      </c>
      <c r="D829" t="s">
        <v>254</v>
      </c>
      <c r="E829" t="s">
        <v>17</v>
      </c>
      <c r="F829">
        <v>106.6</v>
      </c>
      <c r="G829" t="s">
        <v>26</v>
      </c>
      <c r="H829" t="s">
        <v>14</v>
      </c>
    </row>
    <row r="830" spans="1:8" hidden="1" x14ac:dyDescent="0.2">
      <c r="A830" t="s">
        <v>255</v>
      </c>
      <c r="B830" t="s">
        <v>63</v>
      </c>
      <c r="C830" t="s">
        <v>64</v>
      </c>
      <c r="D830" t="s">
        <v>256</v>
      </c>
      <c r="E830" t="s">
        <v>22</v>
      </c>
      <c r="F830">
        <v>80</v>
      </c>
      <c r="G830" t="s">
        <v>26</v>
      </c>
      <c r="H830" t="s">
        <v>14</v>
      </c>
    </row>
    <row r="831" spans="1:8" hidden="1" x14ac:dyDescent="0.2">
      <c r="A831" t="s">
        <v>255</v>
      </c>
      <c r="B831" t="s">
        <v>63</v>
      </c>
      <c r="C831" t="s">
        <v>64</v>
      </c>
      <c r="D831" t="s">
        <v>256</v>
      </c>
      <c r="E831" t="s">
        <v>1528</v>
      </c>
      <c r="G831" t="s">
        <v>26</v>
      </c>
      <c r="H831" t="s">
        <v>14</v>
      </c>
    </row>
    <row r="832" spans="1:8" hidden="1" x14ac:dyDescent="0.2">
      <c r="A832" t="s">
        <v>255</v>
      </c>
      <c r="B832" t="s">
        <v>63</v>
      </c>
      <c r="C832" t="s">
        <v>64</v>
      </c>
      <c r="D832" t="s">
        <v>256</v>
      </c>
      <c r="E832" t="s">
        <v>1529</v>
      </c>
      <c r="G832" t="s">
        <v>26</v>
      </c>
      <c r="H832" t="s">
        <v>14</v>
      </c>
    </row>
    <row r="833" spans="1:8" hidden="1" x14ac:dyDescent="0.2">
      <c r="A833" t="s">
        <v>255</v>
      </c>
      <c r="B833" t="s">
        <v>63</v>
      </c>
      <c r="C833" t="s">
        <v>64</v>
      </c>
      <c r="D833" t="s">
        <v>256</v>
      </c>
      <c r="E833" t="s">
        <v>1530</v>
      </c>
      <c r="G833" t="s">
        <v>26</v>
      </c>
      <c r="H833" t="s">
        <v>14</v>
      </c>
    </row>
    <row r="834" spans="1:8" hidden="1" x14ac:dyDescent="0.2">
      <c r="A834" t="s">
        <v>255</v>
      </c>
      <c r="B834" t="s">
        <v>63</v>
      </c>
      <c r="C834" t="s">
        <v>64</v>
      </c>
      <c r="D834" t="s">
        <v>256</v>
      </c>
      <c r="E834" t="s">
        <v>1531</v>
      </c>
      <c r="G834" t="s">
        <v>26</v>
      </c>
      <c r="H834" t="s">
        <v>14</v>
      </c>
    </row>
    <row r="835" spans="1:8" hidden="1" x14ac:dyDescent="0.2">
      <c r="A835" t="s">
        <v>255</v>
      </c>
      <c r="B835" t="s">
        <v>63</v>
      </c>
      <c r="C835" t="s">
        <v>64</v>
      </c>
      <c r="D835" t="s">
        <v>256</v>
      </c>
      <c r="E835" t="s">
        <v>12</v>
      </c>
      <c r="F835">
        <v>16</v>
      </c>
      <c r="G835" t="s">
        <v>26</v>
      </c>
      <c r="H835" t="s">
        <v>50</v>
      </c>
    </row>
    <row r="836" spans="1:8" hidden="1" x14ac:dyDescent="0.2">
      <c r="A836" t="s">
        <v>255</v>
      </c>
      <c r="B836" t="s">
        <v>63</v>
      </c>
      <c r="C836" t="s">
        <v>64</v>
      </c>
      <c r="D836" t="s">
        <v>256</v>
      </c>
      <c r="E836" t="s">
        <v>21</v>
      </c>
      <c r="F836">
        <v>40</v>
      </c>
      <c r="G836" t="s">
        <v>26</v>
      </c>
      <c r="H836" t="s">
        <v>14</v>
      </c>
    </row>
    <row r="837" spans="1:8" hidden="1" x14ac:dyDescent="0.2">
      <c r="A837" t="s">
        <v>255</v>
      </c>
      <c r="B837" t="s">
        <v>63</v>
      </c>
      <c r="C837" t="s">
        <v>64</v>
      </c>
      <c r="D837" t="s">
        <v>256</v>
      </c>
      <c r="E837" t="s">
        <v>20</v>
      </c>
      <c r="F837">
        <v>32</v>
      </c>
      <c r="G837" t="s">
        <v>26</v>
      </c>
      <c r="H837" t="s">
        <v>14</v>
      </c>
    </row>
    <row r="838" spans="1:8" hidden="1" x14ac:dyDescent="0.2">
      <c r="A838" t="s">
        <v>255</v>
      </c>
      <c r="B838" t="s">
        <v>63</v>
      </c>
      <c r="C838" t="s">
        <v>64</v>
      </c>
      <c r="D838" t="s">
        <v>256</v>
      </c>
      <c r="E838" t="s">
        <v>19</v>
      </c>
      <c r="F838">
        <v>32</v>
      </c>
      <c r="G838" t="s">
        <v>26</v>
      </c>
      <c r="H838" t="s">
        <v>14</v>
      </c>
    </row>
    <row r="839" spans="1:8" hidden="1" x14ac:dyDescent="0.2">
      <c r="A839" t="s">
        <v>255</v>
      </c>
      <c r="B839" t="s">
        <v>63</v>
      </c>
      <c r="C839" t="s">
        <v>64</v>
      </c>
      <c r="D839" t="s">
        <v>256</v>
      </c>
      <c r="E839" t="s">
        <v>17</v>
      </c>
      <c r="F839">
        <v>40</v>
      </c>
      <c r="G839" t="s">
        <v>26</v>
      </c>
      <c r="H839" t="s">
        <v>14</v>
      </c>
    </row>
    <row r="840" spans="1:8" hidden="1" x14ac:dyDescent="0.2">
      <c r="A840" t="s">
        <v>257</v>
      </c>
      <c r="B840" t="s">
        <v>56</v>
      </c>
      <c r="C840" t="s">
        <v>60</v>
      </c>
      <c r="D840" t="s">
        <v>258</v>
      </c>
      <c r="E840" t="s">
        <v>22</v>
      </c>
      <c r="F840">
        <v>10.7</v>
      </c>
      <c r="G840" t="s">
        <v>31</v>
      </c>
      <c r="H840" t="s">
        <v>50</v>
      </c>
    </row>
    <row r="841" spans="1:8" hidden="1" x14ac:dyDescent="0.2">
      <c r="A841" t="s">
        <v>257</v>
      </c>
      <c r="B841" t="s">
        <v>56</v>
      </c>
      <c r="C841" t="s">
        <v>60</v>
      </c>
      <c r="D841" t="s">
        <v>258</v>
      </c>
      <c r="E841" t="s">
        <v>1528</v>
      </c>
      <c r="G841" t="s">
        <v>31</v>
      </c>
      <c r="H841" t="s">
        <v>50</v>
      </c>
    </row>
    <row r="842" spans="1:8" hidden="1" x14ac:dyDescent="0.2">
      <c r="A842" t="s">
        <v>257</v>
      </c>
      <c r="B842" t="s">
        <v>56</v>
      </c>
      <c r="C842" t="s">
        <v>60</v>
      </c>
      <c r="D842" t="s">
        <v>258</v>
      </c>
      <c r="E842" t="s">
        <v>1529</v>
      </c>
      <c r="G842" t="s">
        <v>31</v>
      </c>
      <c r="H842" t="s">
        <v>50</v>
      </c>
    </row>
    <row r="843" spans="1:8" hidden="1" x14ac:dyDescent="0.2">
      <c r="A843" t="s">
        <v>257</v>
      </c>
      <c r="B843" t="s">
        <v>56</v>
      </c>
      <c r="C843" t="s">
        <v>60</v>
      </c>
      <c r="D843" t="s">
        <v>258</v>
      </c>
      <c r="E843" t="s">
        <v>1530</v>
      </c>
      <c r="G843" t="s">
        <v>31</v>
      </c>
      <c r="H843" t="s">
        <v>50</v>
      </c>
    </row>
    <row r="844" spans="1:8" hidden="1" x14ac:dyDescent="0.2">
      <c r="A844" t="s">
        <v>257</v>
      </c>
      <c r="B844" t="s">
        <v>56</v>
      </c>
      <c r="C844" t="s">
        <v>60</v>
      </c>
      <c r="D844" t="s">
        <v>258</v>
      </c>
      <c r="E844" t="s">
        <v>1531</v>
      </c>
      <c r="G844" t="s">
        <v>31</v>
      </c>
      <c r="H844" t="s">
        <v>50</v>
      </c>
    </row>
    <row r="845" spans="1:8" hidden="1" x14ac:dyDescent="0.2">
      <c r="A845" t="s">
        <v>257</v>
      </c>
      <c r="B845" t="s">
        <v>56</v>
      </c>
      <c r="C845" t="s">
        <v>60</v>
      </c>
      <c r="D845" t="s">
        <v>258</v>
      </c>
      <c r="E845" t="s">
        <v>21</v>
      </c>
      <c r="F845">
        <v>5.4</v>
      </c>
      <c r="G845" t="s">
        <v>31</v>
      </c>
      <c r="H845" t="s">
        <v>50</v>
      </c>
    </row>
    <row r="846" spans="1:8" hidden="1" x14ac:dyDescent="0.2">
      <c r="A846" t="s">
        <v>257</v>
      </c>
      <c r="B846" t="s">
        <v>56</v>
      </c>
      <c r="C846" t="s">
        <v>60</v>
      </c>
      <c r="D846" t="s">
        <v>258</v>
      </c>
      <c r="E846" t="s">
        <v>20</v>
      </c>
      <c r="F846">
        <v>4.3</v>
      </c>
      <c r="G846" t="s">
        <v>31</v>
      </c>
      <c r="H846" t="s">
        <v>50</v>
      </c>
    </row>
    <row r="847" spans="1:8" hidden="1" x14ac:dyDescent="0.2">
      <c r="A847" t="s">
        <v>257</v>
      </c>
      <c r="B847" t="s">
        <v>56</v>
      </c>
      <c r="C847" t="s">
        <v>60</v>
      </c>
      <c r="D847" t="s">
        <v>258</v>
      </c>
      <c r="E847" t="s">
        <v>19</v>
      </c>
      <c r="F847">
        <v>4.3</v>
      </c>
      <c r="G847" t="s">
        <v>31</v>
      </c>
      <c r="H847" t="s">
        <v>50</v>
      </c>
    </row>
    <row r="848" spans="1:8" hidden="1" x14ac:dyDescent="0.2">
      <c r="A848" t="s">
        <v>257</v>
      </c>
      <c r="B848" t="s">
        <v>56</v>
      </c>
      <c r="C848" t="s">
        <v>60</v>
      </c>
      <c r="D848" t="s">
        <v>258</v>
      </c>
      <c r="E848" t="s">
        <v>17</v>
      </c>
      <c r="F848">
        <v>5.4</v>
      </c>
      <c r="G848" t="s">
        <v>31</v>
      </c>
      <c r="H848" t="s">
        <v>50</v>
      </c>
    </row>
    <row r="849" spans="1:8" hidden="1" x14ac:dyDescent="0.2">
      <c r="A849" t="s">
        <v>259</v>
      </c>
      <c r="B849" t="s">
        <v>66</v>
      </c>
      <c r="C849" t="s">
        <v>74</v>
      </c>
      <c r="D849" t="s">
        <v>260</v>
      </c>
      <c r="E849" t="s">
        <v>22</v>
      </c>
      <c r="F849">
        <v>133.30000000000001</v>
      </c>
      <c r="G849" t="s">
        <v>31</v>
      </c>
      <c r="H849" t="s">
        <v>27</v>
      </c>
    </row>
    <row r="850" spans="1:8" hidden="1" x14ac:dyDescent="0.2">
      <c r="A850" t="s">
        <v>259</v>
      </c>
      <c r="B850" t="s">
        <v>66</v>
      </c>
      <c r="C850" t="s">
        <v>74</v>
      </c>
      <c r="D850" t="s">
        <v>260</v>
      </c>
      <c r="E850" t="s">
        <v>1528</v>
      </c>
      <c r="G850" t="s">
        <v>31</v>
      </c>
      <c r="H850" t="s">
        <v>27</v>
      </c>
    </row>
    <row r="851" spans="1:8" hidden="1" x14ac:dyDescent="0.2">
      <c r="A851" t="s">
        <v>259</v>
      </c>
      <c r="B851" t="s">
        <v>66</v>
      </c>
      <c r="C851" t="s">
        <v>74</v>
      </c>
      <c r="D851" t="s">
        <v>260</v>
      </c>
      <c r="E851" t="s">
        <v>1529</v>
      </c>
      <c r="G851" t="s">
        <v>31</v>
      </c>
      <c r="H851" t="s">
        <v>27</v>
      </c>
    </row>
    <row r="852" spans="1:8" hidden="1" x14ac:dyDescent="0.2">
      <c r="A852" t="s">
        <v>259</v>
      </c>
      <c r="B852" t="s">
        <v>66</v>
      </c>
      <c r="C852" t="s">
        <v>74</v>
      </c>
      <c r="D852" t="s">
        <v>260</v>
      </c>
      <c r="E852" t="s">
        <v>1530</v>
      </c>
      <c r="G852" t="s">
        <v>31</v>
      </c>
      <c r="H852" t="s">
        <v>27</v>
      </c>
    </row>
    <row r="853" spans="1:8" hidden="1" x14ac:dyDescent="0.2">
      <c r="A853" t="s">
        <v>259</v>
      </c>
      <c r="B853" t="s">
        <v>66</v>
      </c>
      <c r="C853" t="s">
        <v>74</v>
      </c>
      <c r="D853" t="s">
        <v>260</v>
      </c>
      <c r="E853" t="s">
        <v>1531</v>
      </c>
      <c r="G853" t="s">
        <v>31</v>
      </c>
      <c r="H853" t="s">
        <v>27</v>
      </c>
    </row>
    <row r="854" spans="1:8" x14ac:dyDescent="0.2">
      <c r="A854" t="s">
        <v>259</v>
      </c>
      <c r="B854" t="s">
        <v>66</v>
      </c>
      <c r="C854" t="s">
        <v>74</v>
      </c>
      <c r="D854" t="s">
        <v>260</v>
      </c>
      <c r="E854" t="s">
        <v>12</v>
      </c>
      <c r="F854">
        <v>26.7</v>
      </c>
      <c r="G854" t="s">
        <v>31</v>
      </c>
      <c r="H854" t="s">
        <v>18</v>
      </c>
    </row>
    <row r="855" spans="1:8" hidden="1" x14ac:dyDescent="0.2">
      <c r="A855" t="s">
        <v>259</v>
      </c>
      <c r="B855" t="s">
        <v>66</v>
      </c>
      <c r="C855" t="s">
        <v>74</v>
      </c>
      <c r="D855" t="s">
        <v>260</v>
      </c>
      <c r="E855" t="s">
        <v>21</v>
      </c>
      <c r="F855">
        <v>66.599999999999994</v>
      </c>
      <c r="G855" t="s">
        <v>31</v>
      </c>
      <c r="H855" t="s">
        <v>27</v>
      </c>
    </row>
    <row r="856" spans="1:8" hidden="1" x14ac:dyDescent="0.2">
      <c r="A856" t="s">
        <v>259</v>
      </c>
      <c r="B856" t="s">
        <v>66</v>
      </c>
      <c r="C856" t="s">
        <v>74</v>
      </c>
      <c r="D856" t="s">
        <v>260</v>
      </c>
      <c r="E856" t="s">
        <v>20</v>
      </c>
      <c r="F856">
        <v>53.3</v>
      </c>
      <c r="G856" t="s">
        <v>31</v>
      </c>
      <c r="H856" t="s">
        <v>27</v>
      </c>
    </row>
    <row r="857" spans="1:8" hidden="1" x14ac:dyDescent="0.2">
      <c r="A857" t="s">
        <v>259</v>
      </c>
      <c r="B857" t="s">
        <v>66</v>
      </c>
      <c r="C857" t="s">
        <v>74</v>
      </c>
      <c r="D857" t="s">
        <v>260</v>
      </c>
      <c r="E857" t="s">
        <v>19</v>
      </c>
      <c r="F857">
        <v>53.3</v>
      </c>
      <c r="G857" t="s">
        <v>31</v>
      </c>
      <c r="H857" t="s">
        <v>27</v>
      </c>
    </row>
    <row r="858" spans="1:8" hidden="1" x14ac:dyDescent="0.2">
      <c r="A858" t="s">
        <v>259</v>
      </c>
      <c r="B858" t="s">
        <v>66</v>
      </c>
      <c r="C858" t="s">
        <v>74</v>
      </c>
      <c r="D858" t="s">
        <v>260</v>
      </c>
      <c r="E858" t="s">
        <v>17</v>
      </c>
      <c r="F858">
        <v>66.599999999999994</v>
      </c>
      <c r="G858" t="s">
        <v>31</v>
      </c>
      <c r="H858" t="s">
        <v>27</v>
      </c>
    </row>
    <row r="859" spans="1:8" hidden="1" x14ac:dyDescent="0.2">
      <c r="A859" t="s">
        <v>261</v>
      </c>
      <c r="B859" t="s">
        <v>66</v>
      </c>
      <c r="C859" t="s">
        <v>74</v>
      </c>
      <c r="D859" t="s">
        <v>262</v>
      </c>
      <c r="E859" t="s">
        <v>22</v>
      </c>
      <c r="F859">
        <v>26.7</v>
      </c>
      <c r="G859" t="s">
        <v>31</v>
      </c>
      <c r="H859" t="s">
        <v>50</v>
      </c>
    </row>
    <row r="860" spans="1:8" hidden="1" x14ac:dyDescent="0.2">
      <c r="A860" t="s">
        <v>261</v>
      </c>
      <c r="B860" t="s">
        <v>66</v>
      </c>
      <c r="C860" t="s">
        <v>74</v>
      </c>
      <c r="D860" t="s">
        <v>262</v>
      </c>
      <c r="E860" t="s">
        <v>1528</v>
      </c>
      <c r="G860" t="s">
        <v>31</v>
      </c>
      <c r="H860" t="s">
        <v>50</v>
      </c>
    </row>
    <row r="861" spans="1:8" hidden="1" x14ac:dyDescent="0.2">
      <c r="A861" t="s">
        <v>261</v>
      </c>
      <c r="B861" t="s">
        <v>66</v>
      </c>
      <c r="C861" t="s">
        <v>74</v>
      </c>
      <c r="D861" t="s">
        <v>262</v>
      </c>
      <c r="E861" t="s">
        <v>1529</v>
      </c>
      <c r="G861" t="s">
        <v>31</v>
      </c>
      <c r="H861" t="s">
        <v>50</v>
      </c>
    </row>
    <row r="862" spans="1:8" hidden="1" x14ac:dyDescent="0.2">
      <c r="A862" t="s">
        <v>261</v>
      </c>
      <c r="B862" t="s">
        <v>66</v>
      </c>
      <c r="C862" t="s">
        <v>74</v>
      </c>
      <c r="D862" t="s">
        <v>262</v>
      </c>
      <c r="E862" t="s">
        <v>1530</v>
      </c>
      <c r="G862" t="s">
        <v>31</v>
      </c>
      <c r="H862" t="s">
        <v>50</v>
      </c>
    </row>
    <row r="863" spans="1:8" hidden="1" x14ac:dyDescent="0.2">
      <c r="A863" t="s">
        <v>261</v>
      </c>
      <c r="B863" t="s">
        <v>66</v>
      </c>
      <c r="C863" t="s">
        <v>74</v>
      </c>
      <c r="D863" t="s">
        <v>262</v>
      </c>
      <c r="E863" t="s">
        <v>1531</v>
      </c>
      <c r="G863" t="s">
        <v>31</v>
      </c>
      <c r="H863" t="s">
        <v>50</v>
      </c>
    </row>
    <row r="864" spans="1:8" hidden="1" x14ac:dyDescent="0.2">
      <c r="A864" t="s">
        <v>261</v>
      </c>
      <c r="B864" t="s">
        <v>66</v>
      </c>
      <c r="C864" t="s">
        <v>74</v>
      </c>
      <c r="D864" t="s">
        <v>262</v>
      </c>
      <c r="E864" t="s">
        <v>21</v>
      </c>
      <c r="F864">
        <v>13.4</v>
      </c>
      <c r="G864" t="s">
        <v>31</v>
      </c>
      <c r="H864" t="s">
        <v>50</v>
      </c>
    </row>
    <row r="865" spans="1:8" hidden="1" x14ac:dyDescent="0.2">
      <c r="A865" t="s">
        <v>261</v>
      </c>
      <c r="B865" t="s">
        <v>66</v>
      </c>
      <c r="C865" t="s">
        <v>74</v>
      </c>
      <c r="D865" t="s">
        <v>262</v>
      </c>
      <c r="E865" t="s">
        <v>20</v>
      </c>
      <c r="F865">
        <v>10.7</v>
      </c>
      <c r="G865" t="s">
        <v>31</v>
      </c>
      <c r="H865" t="s">
        <v>50</v>
      </c>
    </row>
    <row r="866" spans="1:8" hidden="1" x14ac:dyDescent="0.2">
      <c r="A866" t="s">
        <v>261</v>
      </c>
      <c r="B866" t="s">
        <v>66</v>
      </c>
      <c r="C866" t="s">
        <v>74</v>
      </c>
      <c r="D866" t="s">
        <v>262</v>
      </c>
      <c r="E866" t="s">
        <v>19</v>
      </c>
      <c r="F866">
        <v>10.7</v>
      </c>
      <c r="G866" t="s">
        <v>31</v>
      </c>
      <c r="H866" t="s">
        <v>50</v>
      </c>
    </row>
    <row r="867" spans="1:8" hidden="1" x14ac:dyDescent="0.2">
      <c r="A867" t="s">
        <v>261</v>
      </c>
      <c r="B867" t="s">
        <v>66</v>
      </c>
      <c r="C867" t="s">
        <v>74</v>
      </c>
      <c r="D867" t="s">
        <v>262</v>
      </c>
      <c r="E867" t="s">
        <v>17</v>
      </c>
      <c r="F867">
        <v>13.4</v>
      </c>
      <c r="G867" t="s">
        <v>31</v>
      </c>
      <c r="H867" t="s">
        <v>50</v>
      </c>
    </row>
    <row r="868" spans="1:8" x14ac:dyDescent="0.2">
      <c r="A868" t="s">
        <v>263</v>
      </c>
      <c r="B868" t="s">
        <v>66</v>
      </c>
      <c r="C868" t="s">
        <v>74</v>
      </c>
      <c r="D868" t="s">
        <v>264</v>
      </c>
      <c r="E868" t="s">
        <v>22</v>
      </c>
      <c r="F868">
        <v>45.3</v>
      </c>
      <c r="G868" t="s">
        <v>26</v>
      </c>
      <c r="H868" t="s">
        <v>18</v>
      </c>
    </row>
    <row r="869" spans="1:8" x14ac:dyDescent="0.2">
      <c r="A869" t="s">
        <v>263</v>
      </c>
      <c r="B869" t="s">
        <v>66</v>
      </c>
      <c r="C869" t="s">
        <v>74</v>
      </c>
      <c r="D869" t="s">
        <v>264</v>
      </c>
      <c r="E869" t="s">
        <v>1528</v>
      </c>
      <c r="G869" t="s">
        <v>26</v>
      </c>
      <c r="H869" t="s">
        <v>18</v>
      </c>
    </row>
    <row r="870" spans="1:8" x14ac:dyDescent="0.2">
      <c r="A870" t="s">
        <v>263</v>
      </c>
      <c r="B870" t="s">
        <v>66</v>
      </c>
      <c r="C870" t="s">
        <v>74</v>
      </c>
      <c r="D870" t="s">
        <v>264</v>
      </c>
      <c r="E870" t="s">
        <v>1529</v>
      </c>
      <c r="G870" t="s">
        <v>26</v>
      </c>
      <c r="H870" t="s">
        <v>18</v>
      </c>
    </row>
    <row r="871" spans="1:8" x14ac:dyDescent="0.2">
      <c r="A871" t="s">
        <v>263</v>
      </c>
      <c r="B871" t="s">
        <v>66</v>
      </c>
      <c r="C871" t="s">
        <v>74</v>
      </c>
      <c r="D871" t="s">
        <v>264</v>
      </c>
      <c r="E871" t="s">
        <v>1530</v>
      </c>
      <c r="G871" t="s">
        <v>26</v>
      </c>
      <c r="H871" t="s">
        <v>18</v>
      </c>
    </row>
    <row r="872" spans="1:8" x14ac:dyDescent="0.2">
      <c r="A872" t="s">
        <v>263</v>
      </c>
      <c r="B872" t="s">
        <v>66</v>
      </c>
      <c r="C872" t="s">
        <v>74</v>
      </c>
      <c r="D872" t="s">
        <v>264</v>
      </c>
      <c r="E872" t="s">
        <v>1531</v>
      </c>
      <c r="G872" t="s">
        <v>26</v>
      </c>
      <c r="H872" t="s">
        <v>18</v>
      </c>
    </row>
    <row r="873" spans="1:8" hidden="1" x14ac:dyDescent="0.2">
      <c r="A873" t="s">
        <v>263</v>
      </c>
      <c r="B873" t="s">
        <v>66</v>
      </c>
      <c r="C873" t="s">
        <v>74</v>
      </c>
      <c r="D873" t="s">
        <v>264</v>
      </c>
      <c r="E873" t="s">
        <v>12</v>
      </c>
      <c r="F873">
        <v>9.1</v>
      </c>
      <c r="G873" t="s">
        <v>26</v>
      </c>
      <c r="H873" t="s">
        <v>14</v>
      </c>
    </row>
    <row r="874" spans="1:8" x14ac:dyDescent="0.2">
      <c r="A874" t="s">
        <v>263</v>
      </c>
      <c r="B874" t="s">
        <v>66</v>
      </c>
      <c r="C874" t="s">
        <v>74</v>
      </c>
      <c r="D874" t="s">
        <v>264</v>
      </c>
      <c r="E874" t="s">
        <v>21</v>
      </c>
      <c r="F874">
        <v>22.6</v>
      </c>
      <c r="G874" t="s">
        <v>26</v>
      </c>
      <c r="H874" t="s">
        <v>18</v>
      </c>
    </row>
    <row r="875" spans="1:8" x14ac:dyDescent="0.2">
      <c r="A875" t="s">
        <v>263</v>
      </c>
      <c r="B875" t="s">
        <v>66</v>
      </c>
      <c r="C875" t="s">
        <v>74</v>
      </c>
      <c r="D875" t="s">
        <v>264</v>
      </c>
      <c r="E875" t="s">
        <v>20</v>
      </c>
      <c r="F875">
        <v>18.100000000000001</v>
      </c>
      <c r="G875" t="s">
        <v>26</v>
      </c>
      <c r="H875" t="s">
        <v>18</v>
      </c>
    </row>
    <row r="876" spans="1:8" x14ac:dyDescent="0.2">
      <c r="A876" t="s">
        <v>263</v>
      </c>
      <c r="B876" t="s">
        <v>66</v>
      </c>
      <c r="C876" t="s">
        <v>74</v>
      </c>
      <c r="D876" t="s">
        <v>264</v>
      </c>
      <c r="E876" t="s">
        <v>19</v>
      </c>
      <c r="F876">
        <v>18.100000000000001</v>
      </c>
      <c r="G876" t="s">
        <v>26</v>
      </c>
      <c r="H876" t="s">
        <v>18</v>
      </c>
    </row>
    <row r="877" spans="1:8" x14ac:dyDescent="0.2">
      <c r="A877" t="s">
        <v>263</v>
      </c>
      <c r="B877" t="s">
        <v>66</v>
      </c>
      <c r="C877" t="s">
        <v>74</v>
      </c>
      <c r="D877" t="s">
        <v>264</v>
      </c>
      <c r="E877" t="s">
        <v>17</v>
      </c>
      <c r="F877">
        <v>22.6</v>
      </c>
      <c r="G877" t="s">
        <v>26</v>
      </c>
      <c r="H877" t="s">
        <v>18</v>
      </c>
    </row>
    <row r="878" spans="1:8" hidden="1" x14ac:dyDescent="0.2">
      <c r="A878" t="s">
        <v>265</v>
      </c>
      <c r="B878" t="s">
        <v>75</v>
      </c>
      <c r="C878" t="s">
        <v>79</v>
      </c>
      <c r="D878" t="s">
        <v>266</v>
      </c>
      <c r="E878" t="s">
        <v>22</v>
      </c>
      <c r="F878">
        <v>21.3</v>
      </c>
      <c r="G878" t="s">
        <v>26</v>
      </c>
      <c r="H878" t="s">
        <v>18</v>
      </c>
    </row>
    <row r="879" spans="1:8" hidden="1" x14ac:dyDescent="0.2">
      <c r="A879" t="s">
        <v>265</v>
      </c>
      <c r="B879" t="s">
        <v>75</v>
      </c>
      <c r="C879" t="s">
        <v>79</v>
      </c>
      <c r="D879" t="s">
        <v>266</v>
      </c>
      <c r="E879" t="s">
        <v>1528</v>
      </c>
      <c r="G879" t="s">
        <v>26</v>
      </c>
      <c r="H879" t="s">
        <v>18</v>
      </c>
    </row>
    <row r="880" spans="1:8" hidden="1" x14ac:dyDescent="0.2">
      <c r="A880" t="s">
        <v>265</v>
      </c>
      <c r="B880" t="s">
        <v>75</v>
      </c>
      <c r="C880" t="s">
        <v>79</v>
      </c>
      <c r="D880" t="s">
        <v>266</v>
      </c>
      <c r="E880" t="s">
        <v>1529</v>
      </c>
      <c r="G880" t="s">
        <v>26</v>
      </c>
      <c r="H880" t="s">
        <v>18</v>
      </c>
    </row>
    <row r="881" spans="1:8" hidden="1" x14ac:dyDescent="0.2">
      <c r="A881" t="s">
        <v>265</v>
      </c>
      <c r="B881" t="s">
        <v>75</v>
      </c>
      <c r="C881" t="s">
        <v>79</v>
      </c>
      <c r="D881" t="s">
        <v>266</v>
      </c>
      <c r="E881" t="s">
        <v>1530</v>
      </c>
      <c r="G881" t="s">
        <v>26</v>
      </c>
      <c r="H881" t="s">
        <v>18</v>
      </c>
    </row>
    <row r="882" spans="1:8" hidden="1" x14ac:dyDescent="0.2">
      <c r="A882" t="s">
        <v>265</v>
      </c>
      <c r="B882" t="s">
        <v>75</v>
      </c>
      <c r="C882" t="s">
        <v>79</v>
      </c>
      <c r="D882" t="s">
        <v>266</v>
      </c>
      <c r="E882" t="s">
        <v>1531</v>
      </c>
      <c r="G882" t="s">
        <v>26</v>
      </c>
      <c r="H882" t="s">
        <v>18</v>
      </c>
    </row>
    <row r="883" spans="1:8" hidden="1" x14ac:dyDescent="0.2">
      <c r="A883" t="s">
        <v>265</v>
      </c>
      <c r="B883" t="s">
        <v>75</v>
      </c>
      <c r="C883" t="s">
        <v>79</v>
      </c>
      <c r="D883" t="s">
        <v>266</v>
      </c>
      <c r="E883" t="s">
        <v>12</v>
      </c>
      <c r="F883">
        <v>4.3</v>
      </c>
      <c r="G883" t="s">
        <v>26</v>
      </c>
      <c r="H883" t="s">
        <v>14</v>
      </c>
    </row>
    <row r="884" spans="1:8" hidden="1" x14ac:dyDescent="0.2">
      <c r="A884" t="s">
        <v>265</v>
      </c>
      <c r="B884" t="s">
        <v>75</v>
      </c>
      <c r="C884" t="s">
        <v>79</v>
      </c>
      <c r="D884" t="s">
        <v>266</v>
      </c>
      <c r="E884" t="s">
        <v>21</v>
      </c>
      <c r="F884">
        <v>10.6</v>
      </c>
      <c r="G884" t="s">
        <v>26</v>
      </c>
      <c r="H884" t="s">
        <v>18</v>
      </c>
    </row>
    <row r="885" spans="1:8" hidden="1" x14ac:dyDescent="0.2">
      <c r="A885" t="s">
        <v>265</v>
      </c>
      <c r="B885" t="s">
        <v>75</v>
      </c>
      <c r="C885" t="s">
        <v>79</v>
      </c>
      <c r="D885" t="s">
        <v>266</v>
      </c>
      <c r="E885" t="s">
        <v>20</v>
      </c>
      <c r="F885">
        <v>8.5</v>
      </c>
      <c r="G885" t="s">
        <v>26</v>
      </c>
      <c r="H885" t="s">
        <v>18</v>
      </c>
    </row>
    <row r="886" spans="1:8" hidden="1" x14ac:dyDescent="0.2">
      <c r="A886" t="s">
        <v>265</v>
      </c>
      <c r="B886" t="s">
        <v>75</v>
      </c>
      <c r="C886" t="s">
        <v>79</v>
      </c>
      <c r="D886" t="s">
        <v>266</v>
      </c>
      <c r="E886" t="s">
        <v>19</v>
      </c>
      <c r="F886">
        <v>8.5</v>
      </c>
      <c r="G886" t="s">
        <v>26</v>
      </c>
      <c r="H886" t="s">
        <v>18</v>
      </c>
    </row>
    <row r="887" spans="1:8" hidden="1" x14ac:dyDescent="0.2">
      <c r="A887" t="s">
        <v>265</v>
      </c>
      <c r="B887" t="s">
        <v>75</v>
      </c>
      <c r="C887" t="s">
        <v>79</v>
      </c>
      <c r="D887" t="s">
        <v>266</v>
      </c>
      <c r="E887" t="s">
        <v>17</v>
      </c>
      <c r="F887">
        <v>10.6</v>
      </c>
      <c r="G887" t="s">
        <v>26</v>
      </c>
      <c r="H887" t="s">
        <v>18</v>
      </c>
    </row>
    <row r="888" spans="1:8" hidden="1" x14ac:dyDescent="0.2">
      <c r="A888" t="s">
        <v>267</v>
      </c>
      <c r="B888" t="s">
        <v>75</v>
      </c>
      <c r="C888" t="s">
        <v>78</v>
      </c>
      <c r="D888" t="s">
        <v>268</v>
      </c>
      <c r="E888" t="s">
        <v>22</v>
      </c>
      <c r="F888">
        <v>237.3</v>
      </c>
      <c r="G888" t="s">
        <v>26</v>
      </c>
      <c r="H888" t="s">
        <v>14</v>
      </c>
    </row>
    <row r="889" spans="1:8" hidden="1" x14ac:dyDescent="0.2">
      <c r="A889" t="s">
        <v>267</v>
      </c>
      <c r="B889" t="s">
        <v>75</v>
      </c>
      <c r="C889" t="s">
        <v>78</v>
      </c>
      <c r="D889" t="s">
        <v>268</v>
      </c>
      <c r="E889" t="s">
        <v>1528</v>
      </c>
      <c r="G889" t="s">
        <v>26</v>
      </c>
      <c r="H889" t="s">
        <v>14</v>
      </c>
    </row>
    <row r="890" spans="1:8" hidden="1" x14ac:dyDescent="0.2">
      <c r="A890" t="s">
        <v>267</v>
      </c>
      <c r="B890" t="s">
        <v>75</v>
      </c>
      <c r="C890" t="s">
        <v>78</v>
      </c>
      <c r="D890" t="s">
        <v>268</v>
      </c>
      <c r="E890" t="s">
        <v>1529</v>
      </c>
      <c r="G890" t="s">
        <v>26</v>
      </c>
      <c r="H890" t="s">
        <v>14</v>
      </c>
    </row>
    <row r="891" spans="1:8" hidden="1" x14ac:dyDescent="0.2">
      <c r="A891" t="s">
        <v>267</v>
      </c>
      <c r="B891" t="s">
        <v>75</v>
      </c>
      <c r="C891" t="s">
        <v>78</v>
      </c>
      <c r="D891" t="s">
        <v>268</v>
      </c>
      <c r="E891" t="s">
        <v>1530</v>
      </c>
      <c r="G891" t="s">
        <v>26</v>
      </c>
      <c r="H891" t="s">
        <v>14</v>
      </c>
    </row>
    <row r="892" spans="1:8" hidden="1" x14ac:dyDescent="0.2">
      <c r="A892" t="s">
        <v>267</v>
      </c>
      <c r="B892" t="s">
        <v>75</v>
      </c>
      <c r="C892" t="s">
        <v>78</v>
      </c>
      <c r="D892" t="s">
        <v>268</v>
      </c>
      <c r="E892" t="s">
        <v>1531</v>
      </c>
      <c r="G892" t="s">
        <v>26</v>
      </c>
      <c r="H892" t="s">
        <v>14</v>
      </c>
    </row>
    <row r="893" spans="1:8" hidden="1" x14ac:dyDescent="0.2">
      <c r="A893" t="s">
        <v>267</v>
      </c>
      <c r="B893" t="s">
        <v>75</v>
      </c>
      <c r="C893" t="s">
        <v>78</v>
      </c>
      <c r="D893" t="s">
        <v>268</v>
      </c>
      <c r="E893" t="s">
        <v>12</v>
      </c>
      <c r="F893">
        <v>47.5</v>
      </c>
      <c r="G893" t="s">
        <v>26</v>
      </c>
      <c r="H893" t="s">
        <v>50</v>
      </c>
    </row>
    <row r="894" spans="1:8" hidden="1" x14ac:dyDescent="0.2">
      <c r="A894" t="s">
        <v>267</v>
      </c>
      <c r="B894" t="s">
        <v>75</v>
      </c>
      <c r="C894" t="s">
        <v>78</v>
      </c>
      <c r="D894" t="s">
        <v>268</v>
      </c>
      <c r="E894" t="s">
        <v>21</v>
      </c>
      <c r="F894">
        <v>118.6</v>
      </c>
      <c r="G894" t="s">
        <v>26</v>
      </c>
      <c r="H894" t="s">
        <v>14</v>
      </c>
    </row>
    <row r="895" spans="1:8" hidden="1" x14ac:dyDescent="0.2">
      <c r="A895" t="s">
        <v>267</v>
      </c>
      <c r="B895" t="s">
        <v>75</v>
      </c>
      <c r="C895" t="s">
        <v>78</v>
      </c>
      <c r="D895" t="s">
        <v>268</v>
      </c>
      <c r="E895" t="s">
        <v>20</v>
      </c>
      <c r="F895">
        <v>94.9</v>
      </c>
      <c r="G895" t="s">
        <v>26</v>
      </c>
      <c r="H895" t="s">
        <v>14</v>
      </c>
    </row>
    <row r="896" spans="1:8" hidden="1" x14ac:dyDescent="0.2">
      <c r="A896" t="s">
        <v>267</v>
      </c>
      <c r="B896" t="s">
        <v>75</v>
      </c>
      <c r="C896" t="s">
        <v>78</v>
      </c>
      <c r="D896" t="s">
        <v>268</v>
      </c>
      <c r="E896" t="s">
        <v>19</v>
      </c>
      <c r="F896">
        <v>94.9</v>
      </c>
      <c r="G896" t="s">
        <v>26</v>
      </c>
      <c r="H896" t="s">
        <v>14</v>
      </c>
    </row>
    <row r="897" spans="1:8" hidden="1" x14ac:dyDescent="0.2">
      <c r="A897" t="s">
        <v>267</v>
      </c>
      <c r="B897" t="s">
        <v>75</v>
      </c>
      <c r="C897" t="s">
        <v>78</v>
      </c>
      <c r="D897" t="s">
        <v>268</v>
      </c>
      <c r="E897" t="s">
        <v>17</v>
      </c>
      <c r="F897">
        <v>118.6</v>
      </c>
      <c r="G897" t="s">
        <v>26</v>
      </c>
      <c r="H897" t="s">
        <v>14</v>
      </c>
    </row>
    <row r="898" spans="1:8" hidden="1" x14ac:dyDescent="0.2">
      <c r="A898" t="s">
        <v>269</v>
      </c>
      <c r="B898" t="s">
        <v>63</v>
      </c>
      <c r="C898" t="s">
        <v>65</v>
      </c>
      <c r="D898" t="s">
        <v>270</v>
      </c>
      <c r="E898" t="s">
        <v>22</v>
      </c>
      <c r="F898">
        <v>192</v>
      </c>
      <c r="G898" t="s">
        <v>26</v>
      </c>
      <c r="H898" t="s">
        <v>14</v>
      </c>
    </row>
    <row r="899" spans="1:8" hidden="1" x14ac:dyDescent="0.2">
      <c r="A899" t="s">
        <v>269</v>
      </c>
      <c r="B899" t="s">
        <v>63</v>
      </c>
      <c r="C899" t="s">
        <v>65</v>
      </c>
      <c r="D899" t="s">
        <v>270</v>
      </c>
      <c r="E899" t="s">
        <v>1528</v>
      </c>
      <c r="G899" t="s">
        <v>26</v>
      </c>
      <c r="H899" t="s">
        <v>14</v>
      </c>
    </row>
    <row r="900" spans="1:8" hidden="1" x14ac:dyDescent="0.2">
      <c r="A900" t="s">
        <v>269</v>
      </c>
      <c r="B900" t="s">
        <v>63</v>
      </c>
      <c r="C900" t="s">
        <v>65</v>
      </c>
      <c r="D900" t="s">
        <v>270</v>
      </c>
      <c r="E900" t="s">
        <v>1529</v>
      </c>
      <c r="G900" t="s">
        <v>26</v>
      </c>
      <c r="H900" t="s">
        <v>14</v>
      </c>
    </row>
    <row r="901" spans="1:8" hidden="1" x14ac:dyDescent="0.2">
      <c r="A901" t="s">
        <v>269</v>
      </c>
      <c r="B901" t="s">
        <v>63</v>
      </c>
      <c r="C901" t="s">
        <v>65</v>
      </c>
      <c r="D901" t="s">
        <v>270</v>
      </c>
      <c r="E901" t="s">
        <v>1530</v>
      </c>
      <c r="G901" t="s">
        <v>26</v>
      </c>
      <c r="H901" t="s">
        <v>14</v>
      </c>
    </row>
    <row r="902" spans="1:8" hidden="1" x14ac:dyDescent="0.2">
      <c r="A902" t="s">
        <v>269</v>
      </c>
      <c r="B902" t="s">
        <v>63</v>
      </c>
      <c r="C902" t="s">
        <v>65</v>
      </c>
      <c r="D902" t="s">
        <v>270</v>
      </c>
      <c r="E902" t="s">
        <v>1531</v>
      </c>
      <c r="G902" t="s">
        <v>26</v>
      </c>
      <c r="H902" t="s">
        <v>14</v>
      </c>
    </row>
    <row r="903" spans="1:8" hidden="1" x14ac:dyDescent="0.2">
      <c r="A903" t="s">
        <v>269</v>
      </c>
      <c r="B903" t="s">
        <v>63</v>
      </c>
      <c r="C903" t="s">
        <v>65</v>
      </c>
      <c r="D903" t="s">
        <v>270</v>
      </c>
      <c r="E903" t="s">
        <v>12</v>
      </c>
      <c r="F903">
        <v>38.4</v>
      </c>
      <c r="G903" t="s">
        <v>26</v>
      </c>
      <c r="H903" t="s">
        <v>50</v>
      </c>
    </row>
    <row r="904" spans="1:8" hidden="1" x14ac:dyDescent="0.2">
      <c r="A904" t="s">
        <v>269</v>
      </c>
      <c r="B904" t="s">
        <v>63</v>
      </c>
      <c r="C904" t="s">
        <v>65</v>
      </c>
      <c r="D904" t="s">
        <v>270</v>
      </c>
      <c r="E904" t="s">
        <v>21</v>
      </c>
      <c r="F904">
        <v>96</v>
      </c>
      <c r="G904" t="s">
        <v>26</v>
      </c>
      <c r="H904" t="s">
        <v>14</v>
      </c>
    </row>
    <row r="905" spans="1:8" hidden="1" x14ac:dyDescent="0.2">
      <c r="A905" t="s">
        <v>269</v>
      </c>
      <c r="B905" t="s">
        <v>63</v>
      </c>
      <c r="C905" t="s">
        <v>65</v>
      </c>
      <c r="D905" t="s">
        <v>270</v>
      </c>
      <c r="E905" t="s">
        <v>20</v>
      </c>
      <c r="F905">
        <v>76.8</v>
      </c>
      <c r="G905" t="s">
        <v>26</v>
      </c>
      <c r="H905" t="s">
        <v>14</v>
      </c>
    </row>
    <row r="906" spans="1:8" hidden="1" x14ac:dyDescent="0.2">
      <c r="A906" t="s">
        <v>269</v>
      </c>
      <c r="B906" t="s">
        <v>63</v>
      </c>
      <c r="C906" t="s">
        <v>65</v>
      </c>
      <c r="D906" t="s">
        <v>270</v>
      </c>
      <c r="E906" t="s">
        <v>19</v>
      </c>
      <c r="F906">
        <v>76.8</v>
      </c>
      <c r="G906" t="s">
        <v>26</v>
      </c>
      <c r="H906" t="s">
        <v>14</v>
      </c>
    </row>
    <row r="907" spans="1:8" hidden="1" x14ac:dyDescent="0.2">
      <c r="A907" t="s">
        <v>269</v>
      </c>
      <c r="B907" t="s">
        <v>63</v>
      </c>
      <c r="C907" t="s">
        <v>65</v>
      </c>
      <c r="D907" t="s">
        <v>270</v>
      </c>
      <c r="E907" t="s">
        <v>17</v>
      </c>
      <c r="F907">
        <v>96</v>
      </c>
      <c r="G907" t="s">
        <v>26</v>
      </c>
      <c r="H907" t="s">
        <v>14</v>
      </c>
    </row>
    <row r="908" spans="1:8" hidden="1" x14ac:dyDescent="0.2">
      <c r="A908" t="s">
        <v>271</v>
      </c>
      <c r="B908" t="s">
        <v>75</v>
      </c>
      <c r="C908" t="s">
        <v>84</v>
      </c>
      <c r="D908" t="s">
        <v>272</v>
      </c>
      <c r="E908" t="s">
        <v>22</v>
      </c>
      <c r="F908">
        <v>264</v>
      </c>
      <c r="G908" t="s">
        <v>26</v>
      </c>
      <c r="H908" t="s">
        <v>18</v>
      </c>
    </row>
    <row r="909" spans="1:8" hidden="1" x14ac:dyDescent="0.2">
      <c r="A909" t="s">
        <v>271</v>
      </c>
      <c r="B909" t="s">
        <v>75</v>
      </c>
      <c r="C909" t="s">
        <v>84</v>
      </c>
      <c r="D909" t="s">
        <v>272</v>
      </c>
      <c r="E909" t="s">
        <v>1528</v>
      </c>
      <c r="G909" t="s">
        <v>26</v>
      </c>
      <c r="H909" t="s">
        <v>18</v>
      </c>
    </row>
    <row r="910" spans="1:8" hidden="1" x14ac:dyDescent="0.2">
      <c r="A910" t="s">
        <v>271</v>
      </c>
      <c r="B910" t="s">
        <v>75</v>
      </c>
      <c r="C910" t="s">
        <v>84</v>
      </c>
      <c r="D910" t="s">
        <v>272</v>
      </c>
      <c r="E910" t="s">
        <v>1529</v>
      </c>
      <c r="G910" t="s">
        <v>26</v>
      </c>
      <c r="H910" t="s">
        <v>18</v>
      </c>
    </row>
    <row r="911" spans="1:8" hidden="1" x14ac:dyDescent="0.2">
      <c r="A911" t="s">
        <v>271</v>
      </c>
      <c r="B911" t="s">
        <v>75</v>
      </c>
      <c r="C911" t="s">
        <v>84</v>
      </c>
      <c r="D911" t="s">
        <v>272</v>
      </c>
      <c r="E911" t="s">
        <v>1530</v>
      </c>
      <c r="G911" t="s">
        <v>26</v>
      </c>
      <c r="H911" t="s">
        <v>18</v>
      </c>
    </row>
    <row r="912" spans="1:8" hidden="1" x14ac:dyDescent="0.2">
      <c r="A912" t="s">
        <v>271</v>
      </c>
      <c r="B912" t="s">
        <v>75</v>
      </c>
      <c r="C912" t="s">
        <v>84</v>
      </c>
      <c r="D912" t="s">
        <v>272</v>
      </c>
      <c r="E912" t="s">
        <v>1531</v>
      </c>
      <c r="G912" t="s">
        <v>26</v>
      </c>
      <c r="H912" t="s">
        <v>18</v>
      </c>
    </row>
    <row r="913" spans="1:8" hidden="1" x14ac:dyDescent="0.2">
      <c r="A913" t="s">
        <v>271</v>
      </c>
      <c r="B913" t="s">
        <v>75</v>
      </c>
      <c r="C913" t="s">
        <v>84</v>
      </c>
      <c r="D913" t="s">
        <v>272</v>
      </c>
      <c r="E913" t="s">
        <v>12</v>
      </c>
      <c r="F913">
        <v>52.8</v>
      </c>
      <c r="G913" t="s">
        <v>26</v>
      </c>
      <c r="H913" t="s">
        <v>14</v>
      </c>
    </row>
    <row r="914" spans="1:8" hidden="1" x14ac:dyDescent="0.2">
      <c r="A914" t="s">
        <v>271</v>
      </c>
      <c r="B914" t="s">
        <v>75</v>
      </c>
      <c r="C914" t="s">
        <v>84</v>
      </c>
      <c r="D914" t="s">
        <v>272</v>
      </c>
      <c r="E914" t="s">
        <v>21</v>
      </c>
      <c r="F914">
        <v>132</v>
      </c>
      <c r="G914" t="s">
        <v>26</v>
      </c>
      <c r="H914" t="s">
        <v>18</v>
      </c>
    </row>
    <row r="915" spans="1:8" hidden="1" x14ac:dyDescent="0.2">
      <c r="A915" t="s">
        <v>271</v>
      </c>
      <c r="B915" t="s">
        <v>75</v>
      </c>
      <c r="C915" t="s">
        <v>84</v>
      </c>
      <c r="D915" t="s">
        <v>272</v>
      </c>
      <c r="E915" t="s">
        <v>20</v>
      </c>
      <c r="F915">
        <v>105.6</v>
      </c>
      <c r="G915" t="s">
        <v>26</v>
      </c>
      <c r="H915" t="s">
        <v>18</v>
      </c>
    </row>
    <row r="916" spans="1:8" hidden="1" x14ac:dyDescent="0.2">
      <c r="A916" t="s">
        <v>271</v>
      </c>
      <c r="B916" t="s">
        <v>75</v>
      </c>
      <c r="C916" t="s">
        <v>84</v>
      </c>
      <c r="D916" t="s">
        <v>272</v>
      </c>
      <c r="E916" t="s">
        <v>19</v>
      </c>
      <c r="F916">
        <v>105.6</v>
      </c>
      <c r="G916" t="s">
        <v>26</v>
      </c>
      <c r="H916" t="s">
        <v>18</v>
      </c>
    </row>
    <row r="917" spans="1:8" hidden="1" x14ac:dyDescent="0.2">
      <c r="A917" t="s">
        <v>271</v>
      </c>
      <c r="B917" t="s">
        <v>75</v>
      </c>
      <c r="C917" t="s">
        <v>84</v>
      </c>
      <c r="D917" t="s">
        <v>272</v>
      </c>
      <c r="E917" t="s">
        <v>17</v>
      </c>
      <c r="F917">
        <v>132</v>
      </c>
      <c r="G917" t="s">
        <v>26</v>
      </c>
      <c r="H917" t="s">
        <v>18</v>
      </c>
    </row>
    <row r="918" spans="1:8" hidden="1" x14ac:dyDescent="0.2">
      <c r="A918" t="s">
        <v>273</v>
      </c>
      <c r="B918" t="s">
        <v>75</v>
      </c>
      <c r="C918" t="s">
        <v>78</v>
      </c>
      <c r="D918" t="s">
        <v>274</v>
      </c>
      <c r="E918" t="s">
        <v>22</v>
      </c>
      <c r="F918">
        <v>42.7</v>
      </c>
      <c r="G918" t="s">
        <v>26</v>
      </c>
      <c r="H918" t="s">
        <v>14</v>
      </c>
    </row>
    <row r="919" spans="1:8" hidden="1" x14ac:dyDescent="0.2">
      <c r="A919" t="s">
        <v>273</v>
      </c>
      <c r="B919" t="s">
        <v>75</v>
      </c>
      <c r="C919" t="s">
        <v>78</v>
      </c>
      <c r="D919" t="s">
        <v>274</v>
      </c>
      <c r="E919" t="s">
        <v>1528</v>
      </c>
      <c r="G919" t="s">
        <v>26</v>
      </c>
      <c r="H919" t="s">
        <v>14</v>
      </c>
    </row>
    <row r="920" spans="1:8" hidden="1" x14ac:dyDescent="0.2">
      <c r="A920" t="s">
        <v>273</v>
      </c>
      <c r="B920" t="s">
        <v>75</v>
      </c>
      <c r="C920" t="s">
        <v>78</v>
      </c>
      <c r="D920" t="s">
        <v>274</v>
      </c>
      <c r="E920" t="s">
        <v>1529</v>
      </c>
      <c r="G920" t="s">
        <v>26</v>
      </c>
      <c r="H920" t="s">
        <v>14</v>
      </c>
    </row>
    <row r="921" spans="1:8" hidden="1" x14ac:dyDescent="0.2">
      <c r="A921" t="s">
        <v>273</v>
      </c>
      <c r="B921" t="s">
        <v>75</v>
      </c>
      <c r="C921" t="s">
        <v>78</v>
      </c>
      <c r="D921" t="s">
        <v>274</v>
      </c>
      <c r="E921" t="s">
        <v>1530</v>
      </c>
      <c r="G921" t="s">
        <v>26</v>
      </c>
      <c r="H921" t="s">
        <v>14</v>
      </c>
    </row>
    <row r="922" spans="1:8" hidden="1" x14ac:dyDescent="0.2">
      <c r="A922" t="s">
        <v>273</v>
      </c>
      <c r="B922" t="s">
        <v>75</v>
      </c>
      <c r="C922" t="s">
        <v>78</v>
      </c>
      <c r="D922" t="s">
        <v>274</v>
      </c>
      <c r="E922" t="s">
        <v>1531</v>
      </c>
      <c r="G922" t="s">
        <v>26</v>
      </c>
      <c r="H922" t="s">
        <v>14</v>
      </c>
    </row>
    <row r="923" spans="1:8" hidden="1" x14ac:dyDescent="0.2">
      <c r="A923" t="s">
        <v>273</v>
      </c>
      <c r="B923" t="s">
        <v>75</v>
      </c>
      <c r="C923" t="s">
        <v>78</v>
      </c>
      <c r="D923" t="s">
        <v>274</v>
      </c>
      <c r="E923" t="s">
        <v>12</v>
      </c>
      <c r="F923">
        <v>8.5</v>
      </c>
      <c r="G923" t="s">
        <v>26</v>
      </c>
      <c r="H923" t="s">
        <v>50</v>
      </c>
    </row>
    <row r="924" spans="1:8" hidden="1" x14ac:dyDescent="0.2">
      <c r="A924" t="s">
        <v>273</v>
      </c>
      <c r="B924" t="s">
        <v>75</v>
      </c>
      <c r="C924" t="s">
        <v>78</v>
      </c>
      <c r="D924" t="s">
        <v>274</v>
      </c>
      <c r="E924" t="s">
        <v>21</v>
      </c>
      <c r="F924">
        <v>21.4</v>
      </c>
      <c r="G924" t="s">
        <v>26</v>
      </c>
      <c r="H924" t="s">
        <v>14</v>
      </c>
    </row>
    <row r="925" spans="1:8" hidden="1" x14ac:dyDescent="0.2">
      <c r="A925" t="s">
        <v>273</v>
      </c>
      <c r="B925" t="s">
        <v>75</v>
      </c>
      <c r="C925" t="s">
        <v>78</v>
      </c>
      <c r="D925" t="s">
        <v>274</v>
      </c>
      <c r="E925" t="s">
        <v>20</v>
      </c>
      <c r="F925">
        <v>17.100000000000001</v>
      </c>
      <c r="G925" t="s">
        <v>26</v>
      </c>
      <c r="H925" t="s">
        <v>14</v>
      </c>
    </row>
    <row r="926" spans="1:8" hidden="1" x14ac:dyDescent="0.2">
      <c r="A926" t="s">
        <v>273</v>
      </c>
      <c r="B926" t="s">
        <v>75</v>
      </c>
      <c r="C926" t="s">
        <v>78</v>
      </c>
      <c r="D926" t="s">
        <v>274</v>
      </c>
      <c r="E926" t="s">
        <v>19</v>
      </c>
      <c r="F926">
        <v>17.100000000000001</v>
      </c>
      <c r="G926" t="s">
        <v>26</v>
      </c>
      <c r="H926" t="s">
        <v>14</v>
      </c>
    </row>
    <row r="927" spans="1:8" hidden="1" x14ac:dyDescent="0.2">
      <c r="A927" t="s">
        <v>273</v>
      </c>
      <c r="B927" t="s">
        <v>75</v>
      </c>
      <c r="C927" t="s">
        <v>78</v>
      </c>
      <c r="D927" t="s">
        <v>274</v>
      </c>
      <c r="E927" t="s">
        <v>17</v>
      </c>
      <c r="F927">
        <v>21.4</v>
      </c>
      <c r="G927" t="s">
        <v>26</v>
      </c>
      <c r="H927" t="s">
        <v>14</v>
      </c>
    </row>
    <row r="928" spans="1:8" hidden="1" x14ac:dyDescent="0.2">
      <c r="A928" t="s">
        <v>275</v>
      </c>
      <c r="B928" t="s">
        <v>75</v>
      </c>
      <c r="C928" t="s">
        <v>81</v>
      </c>
      <c r="D928" t="s">
        <v>276</v>
      </c>
      <c r="E928" t="s">
        <v>22</v>
      </c>
      <c r="F928">
        <v>533.29999999999995</v>
      </c>
      <c r="G928" t="s">
        <v>31</v>
      </c>
      <c r="H928" t="s">
        <v>18</v>
      </c>
    </row>
    <row r="929" spans="1:8" hidden="1" x14ac:dyDescent="0.2">
      <c r="A929" t="s">
        <v>275</v>
      </c>
      <c r="B929" t="s">
        <v>75</v>
      </c>
      <c r="C929" t="s">
        <v>81</v>
      </c>
      <c r="D929" t="s">
        <v>276</v>
      </c>
      <c r="E929" t="s">
        <v>1528</v>
      </c>
      <c r="G929" t="s">
        <v>31</v>
      </c>
      <c r="H929" t="s">
        <v>18</v>
      </c>
    </row>
    <row r="930" spans="1:8" hidden="1" x14ac:dyDescent="0.2">
      <c r="A930" t="s">
        <v>275</v>
      </c>
      <c r="B930" t="s">
        <v>75</v>
      </c>
      <c r="C930" t="s">
        <v>81</v>
      </c>
      <c r="D930" t="s">
        <v>276</v>
      </c>
      <c r="E930" t="s">
        <v>1529</v>
      </c>
      <c r="G930" t="s">
        <v>31</v>
      </c>
      <c r="H930" t="s">
        <v>18</v>
      </c>
    </row>
    <row r="931" spans="1:8" hidden="1" x14ac:dyDescent="0.2">
      <c r="A931" t="s">
        <v>275</v>
      </c>
      <c r="B931" t="s">
        <v>75</v>
      </c>
      <c r="C931" t="s">
        <v>81</v>
      </c>
      <c r="D931" t="s">
        <v>276</v>
      </c>
      <c r="E931" t="s">
        <v>1530</v>
      </c>
      <c r="G931" t="s">
        <v>31</v>
      </c>
      <c r="H931" t="s">
        <v>18</v>
      </c>
    </row>
    <row r="932" spans="1:8" hidden="1" x14ac:dyDescent="0.2">
      <c r="A932" t="s">
        <v>275</v>
      </c>
      <c r="B932" t="s">
        <v>75</v>
      </c>
      <c r="C932" t="s">
        <v>81</v>
      </c>
      <c r="D932" t="s">
        <v>276</v>
      </c>
      <c r="E932" t="s">
        <v>1531</v>
      </c>
      <c r="G932" t="s">
        <v>31</v>
      </c>
      <c r="H932" t="s">
        <v>18</v>
      </c>
    </row>
    <row r="933" spans="1:8" hidden="1" x14ac:dyDescent="0.2">
      <c r="A933" t="s">
        <v>275</v>
      </c>
      <c r="B933" t="s">
        <v>75</v>
      </c>
      <c r="C933" t="s">
        <v>81</v>
      </c>
      <c r="D933" t="s">
        <v>276</v>
      </c>
      <c r="E933" t="s">
        <v>12</v>
      </c>
      <c r="F933">
        <v>106.7</v>
      </c>
      <c r="G933" t="s">
        <v>31</v>
      </c>
      <c r="H933" t="s">
        <v>14</v>
      </c>
    </row>
    <row r="934" spans="1:8" hidden="1" x14ac:dyDescent="0.2">
      <c r="A934" t="s">
        <v>275</v>
      </c>
      <c r="B934" t="s">
        <v>75</v>
      </c>
      <c r="C934" t="s">
        <v>81</v>
      </c>
      <c r="D934" t="s">
        <v>276</v>
      </c>
      <c r="E934" t="s">
        <v>21</v>
      </c>
      <c r="F934">
        <v>266.60000000000002</v>
      </c>
      <c r="G934" t="s">
        <v>31</v>
      </c>
      <c r="H934" t="s">
        <v>18</v>
      </c>
    </row>
    <row r="935" spans="1:8" hidden="1" x14ac:dyDescent="0.2">
      <c r="A935" t="s">
        <v>275</v>
      </c>
      <c r="B935" t="s">
        <v>75</v>
      </c>
      <c r="C935" t="s">
        <v>81</v>
      </c>
      <c r="D935" t="s">
        <v>276</v>
      </c>
      <c r="E935" t="s">
        <v>20</v>
      </c>
      <c r="F935">
        <v>213.3</v>
      </c>
      <c r="G935" t="s">
        <v>31</v>
      </c>
      <c r="H935" t="s">
        <v>18</v>
      </c>
    </row>
    <row r="936" spans="1:8" hidden="1" x14ac:dyDescent="0.2">
      <c r="A936" t="s">
        <v>275</v>
      </c>
      <c r="B936" t="s">
        <v>75</v>
      </c>
      <c r="C936" t="s">
        <v>81</v>
      </c>
      <c r="D936" t="s">
        <v>276</v>
      </c>
      <c r="E936" t="s">
        <v>19</v>
      </c>
      <c r="F936">
        <v>213.3</v>
      </c>
      <c r="G936" t="s">
        <v>31</v>
      </c>
      <c r="H936" t="s">
        <v>18</v>
      </c>
    </row>
    <row r="937" spans="1:8" hidden="1" x14ac:dyDescent="0.2">
      <c r="A937" t="s">
        <v>275</v>
      </c>
      <c r="B937" t="s">
        <v>75</v>
      </c>
      <c r="C937" t="s">
        <v>81</v>
      </c>
      <c r="D937" t="s">
        <v>276</v>
      </c>
      <c r="E937" t="s">
        <v>17</v>
      </c>
      <c r="F937">
        <v>266.60000000000002</v>
      </c>
      <c r="G937" t="s">
        <v>31</v>
      </c>
      <c r="H937" t="s">
        <v>18</v>
      </c>
    </row>
    <row r="938" spans="1:8" hidden="1" x14ac:dyDescent="0.2">
      <c r="A938" t="s">
        <v>277</v>
      </c>
      <c r="B938" t="s">
        <v>75</v>
      </c>
      <c r="C938" t="s">
        <v>78</v>
      </c>
      <c r="D938" t="s">
        <v>278</v>
      </c>
      <c r="E938" t="s">
        <v>22</v>
      </c>
      <c r="F938">
        <v>186.7</v>
      </c>
      <c r="G938" t="s">
        <v>26</v>
      </c>
      <c r="H938" t="s">
        <v>14</v>
      </c>
    </row>
    <row r="939" spans="1:8" hidden="1" x14ac:dyDescent="0.2">
      <c r="A939" t="s">
        <v>277</v>
      </c>
      <c r="B939" t="s">
        <v>75</v>
      </c>
      <c r="C939" t="s">
        <v>78</v>
      </c>
      <c r="D939" t="s">
        <v>278</v>
      </c>
      <c r="E939" t="s">
        <v>1528</v>
      </c>
      <c r="G939" t="s">
        <v>26</v>
      </c>
      <c r="H939" t="s">
        <v>14</v>
      </c>
    </row>
    <row r="940" spans="1:8" hidden="1" x14ac:dyDescent="0.2">
      <c r="A940" t="s">
        <v>277</v>
      </c>
      <c r="B940" t="s">
        <v>75</v>
      </c>
      <c r="C940" t="s">
        <v>78</v>
      </c>
      <c r="D940" t="s">
        <v>278</v>
      </c>
      <c r="E940" t="s">
        <v>1529</v>
      </c>
      <c r="G940" t="s">
        <v>26</v>
      </c>
      <c r="H940" t="s">
        <v>14</v>
      </c>
    </row>
    <row r="941" spans="1:8" hidden="1" x14ac:dyDescent="0.2">
      <c r="A941" t="s">
        <v>277</v>
      </c>
      <c r="B941" t="s">
        <v>75</v>
      </c>
      <c r="C941" t="s">
        <v>78</v>
      </c>
      <c r="D941" t="s">
        <v>278</v>
      </c>
      <c r="E941" t="s">
        <v>1530</v>
      </c>
      <c r="G941" t="s">
        <v>26</v>
      </c>
      <c r="H941" t="s">
        <v>14</v>
      </c>
    </row>
    <row r="942" spans="1:8" hidden="1" x14ac:dyDescent="0.2">
      <c r="A942" t="s">
        <v>277</v>
      </c>
      <c r="B942" t="s">
        <v>75</v>
      </c>
      <c r="C942" t="s">
        <v>78</v>
      </c>
      <c r="D942" t="s">
        <v>278</v>
      </c>
      <c r="E942" t="s">
        <v>1531</v>
      </c>
      <c r="G942" t="s">
        <v>26</v>
      </c>
      <c r="H942" t="s">
        <v>14</v>
      </c>
    </row>
    <row r="943" spans="1:8" hidden="1" x14ac:dyDescent="0.2">
      <c r="A943" t="s">
        <v>277</v>
      </c>
      <c r="B943" t="s">
        <v>75</v>
      </c>
      <c r="C943" t="s">
        <v>78</v>
      </c>
      <c r="D943" t="s">
        <v>278</v>
      </c>
      <c r="E943" t="s">
        <v>12</v>
      </c>
      <c r="F943">
        <v>37.299999999999997</v>
      </c>
      <c r="G943" t="s">
        <v>26</v>
      </c>
      <c r="H943" t="s">
        <v>50</v>
      </c>
    </row>
    <row r="944" spans="1:8" hidden="1" x14ac:dyDescent="0.2">
      <c r="A944" t="s">
        <v>277</v>
      </c>
      <c r="B944" t="s">
        <v>75</v>
      </c>
      <c r="C944" t="s">
        <v>78</v>
      </c>
      <c r="D944" t="s">
        <v>278</v>
      </c>
      <c r="E944" t="s">
        <v>21</v>
      </c>
      <c r="F944">
        <v>93.4</v>
      </c>
      <c r="G944" t="s">
        <v>26</v>
      </c>
      <c r="H944" t="s">
        <v>14</v>
      </c>
    </row>
    <row r="945" spans="1:8" hidden="1" x14ac:dyDescent="0.2">
      <c r="A945" t="s">
        <v>277</v>
      </c>
      <c r="B945" t="s">
        <v>75</v>
      </c>
      <c r="C945" t="s">
        <v>78</v>
      </c>
      <c r="D945" t="s">
        <v>278</v>
      </c>
      <c r="E945" t="s">
        <v>20</v>
      </c>
      <c r="F945">
        <v>74.7</v>
      </c>
      <c r="G945" t="s">
        <v>26</v>
      </c>
      <c r="H945" t="s">
        <v>14</v>
      </c>
    </row>
    <row r="946" spans="1:8" hidden="1" x14ac:dyDescent="0.2">
      <c r="A946" t="s">
        <v>277</v>
      </c>
      <c r="B946" t="s">
        <v>75</v>
      </c>
      <c r="C946" t="s">
        <v>78</v>
      </c>
      <c r="D946" t="s">
        <v>278</v>
      </c>
      <c r="E946" t="s">
        <v>19</v>
      </c>
      <c r="F946">
        <v>74.7</v>
      </c>
      <c r="G946" t="s">
        <v>26</v>
      </c>
      <c r="H946" t="s">
        <v>14</v>
      </c>
    </row>
    <row r="947" spans="1:8" hidden="1" x14ac:dyDescent="0.2">
      <c r="A947" t="s">
        <v>277</v>
      </c>
      <c r="B947" t="s">
        <v>75</v>
      </c>
      <c r="C947" t="s">
        <v>78</v>
      </c>
      <c r="D947" t="s">
        <v>278</v>
      </c>
      <c r="E947" t="s">
        <v>17</v>
      </c>
      <c r="F947">
        <v>93.4</v>
      </c>
      <c r="G947" t="s">
        <v>26</v>
      </c>
      <c r="H947" t="s">
        <v>14</v>
      </c>
    </row>
    <row r="948" spans="1:8" hidden="1" x14ac:dyDescent="0.2">
      <c r="A948" t="s">
        <v>279</v>
      </c>
      <c r="B948" t="s">
        <v>75</v>
      </c>
      <c r="C948" t="s">
        <v>80</v>
      </c>
      <c r="D948" t="s">
        <v>280</v>
      </c>
      <c r="E948" t="s">
        <v>22</v>
      </c>
      <c r="F948">
        <v>160</v>
      </c>
      <c r="G948" t="s">
        <v>31</v>
      </c>
      <c r="H948" t="s">
        <v>14</v>
      </c>
    </row>
    <row r="949" spans="1:8" hidden="1" x14ac:dyDescent="0.2">
      <c r="A949" t="s">
        <v>279</v>
      </c>
      <c r="B949" t="s">
        <v>75</v>
      </c>
      <c r="C949" t="s">
        <v>80</v>
      </c>
      <c r="D949" t="s">
        <v>280</v>
      </c>
      <c r="E949" t="s">
        <v>1528</v>
      </c>
      <c r="G949" t="s">
        <v>31</v>
      </c>
      <c r="H949" t="s">
        <v>14</v>
      </c>
    </row>
    <row r="950" spans="1:8" hidden="1" x14ac:dyDescent="0.2">
      <c r="A950" t="s">
        <v>279</v>
      </c>
      <c r="B950" t="s">
        <v>75</v>
      </c>
      <c r="C950" t="s">
        <v>80</v>
      </c>
      <c r="D950" t="s">
        <v>280</v>
      </c>
      <c r="E950" t="s">
        <v>1529</v>
      </c>
      <c r="G950" t="s">
        <v>31</v>
      </c>
      <c r="H950" t="s">
        <v>14</v>
      </c>
    </row>
    <row r="951" spans="1:8" hidden="1" x14ac:dyDescent="0.2">
      <c r="A951" t="s">
        <v>279</v>
      </c>
      <c r="B951" t="s">
        <v>75</v>
      </c>
      <c r="C951" t="s">
        <v>80</v>
      </c>
      <c r="D951" t="s">
        <v>280</v>
      </c>
      <c r="E951" t="s">
        <v>1530</v>
      </c>
      <c r="G951" t="s">
        <v>31</v>
      </c>
      <c r="H951" t="s">
        <v>14</v>
      </c>
    </row>
    <row r="952" spans="1:8" hidden="1" x14ac:dyDescent="0.2">
      <c r="A952" t="s">
        <v>279</v>
      </c>
      <c r="B952" t="s">
        <v>75</v>
      </c>
      <c r="C952" t="s">
        <v>80</v>
      </c>
      <c r="D952" t="s">
        <v>280</v>
      </c>
      <c r="E952" t="s">
        <v>1531</v>
      </c>
      <c r="G952" t="s">
        <v>31</v>
      </c>
      <c r="H952" t="s">
        <v>14</v>
      </c>
    </row>
    <row r="953" spans="1:8" hidden="1" x14ac:dyDescent="0.2">
      <c r="A953" t="s">
        <v>279</v>
      </c>
      <c r="B953" t="s">
        <v>75</v>
      </c>
      <c r="C953" t="s">
        <v>80</v>
      </c>
      <c r="D953" t="s">
        <v>280</v>
      </c>
      <c r="E953" t="s">
        <v>12</v>
      </c>
      <c r="F953">
        <v>32</v>
      </c>
      <c r="G953" t="s">
        <v>31</v>
      </c>
      <c r="H953" t="s">
        <v>50</v>
      </c>
    </row>
    <row r="954" spans="1:8" hidden="1" x14ac:dyDescent="0.2">
      <c r="A954" t="s">
        <v>279</v>
      </c>
      <c r="B954" t="s">
        <v>75</v>
      </c>
      <c r="C954" t="s">
        <v>80</v>
      </c>
      <c r="D954" t="s">
        <v>280</v>
      </c>
      <c r="E954" t="s">
        <v>21</v>
      </c>
      <c r="F954">
        <v>80</v>
      </c>
      <c r="G954" t="s">
        <v>31</v>
      </c>
      <c r="H954" t="s">
        <v>14</v>
      </c>
    </row>
    <row r="955" spans="1:8" hidden="1" x14ac:dyDescent="0.2">
      <c r="A955" t="s">
        <v>279</v>
      </c>
      <c r="B955" t="s">
        <v>75</v>
      </c>
      <c r="C955" t="s">
        <v>80</v>
      </c>
      <c r="D955" t="s">
        <v>280</v>
      </c>
      <c r="E955" t="s">
        <v>20</v>
      </c>
      <c r="F955">
        <v>64</v>
      </c>
      <c r="G955" t="s">
        <v>31</v>
      </c>
      <c r="H955" t="s">
        <v>14</v>
      </c>
    </row>
    <row r="956" spans="1:8" hidden="1" x14ac:dyDescent="0.2">
      <c r="A956" t="s">
        <v>279</v>
      </c>
      <c r="B956" t="s">
        <v>75</v>
      </c>
      <c r="C956" t="s">
        <v>80</v>
      </c>
      <c r="D956" t="s">
        <v>280</v>
      </c>
      <c r="E956" t="s">
        <v>19</v>
      </c>
      <c r="F956">
        <v>64</v>
      </c>
      <c r="G956" t="s">
        <v>31</v>
      </c>
      <c r="H956" t="s">
        <v>14</v>
      </c>
    </row>
    <row r="957" spans="1:8" hidden="1" x14ac:dyDescent="0.2">
      <c r="A957" t="s">
        <v>279</v>
      </c>
      <c r="B957" t="s">
        <v>75</v>
      </c>
      <c r="C957" t="s">
        <v>80</v>
      </c>
      <c r="D957" t="s">
        <v>280</v>
      </c>
      <c r="E957" t="s">
        <v>17</v>
      </c>
      <c r="F957">
        <v>80</v>
      </c>
      <c r="G957" t="s">
        <v>31</v>
      </c>
      <c r="H957" t="s">
        <v>14</v>
      </c>
    </row>
    <row r="958" spans="1:8" hidden="1" x14ac:dyDescent="0.2">
      <c r="A958" t="s">
        <v>281</v>
      </c>
      <c r="B958" t="s">
        <v>75</v>
      </c>
      <c r="C958" t="s">
        <v>78</v>
      </c>
      <c r="D958" t="s">
        <v>282</v>
      </c>
      <c r="E958" t="s">
        <v>22</v>
      </c>
      <c r="F958">
        <v>266.7</v>
      </c>
      <c r="G958" t="s">
        <v>31</v>
      </c>
      <c r="H958" t="s">
        <v>14</v>
      </c>
    </row>
    <row r="959" spans="1:8" hidden="1" x14ac:dyDescent="0.2">
      <c r="A959" t="s">
        <v>281</v>
      </c>
      <c r="B959" t="s">
        <v>75</v>
      </c>
      <c r="C959" t="s">
        <v>78</v>
      </c>
      <c r="D959" t="s">
        <v>282</v>
      </c>
      <c r="E959" t="s">
        <v>1528</v>
      </c>
      <c r="G959" t="s">
        <v>31</v>
      </c>
      <c r="H959" t="s">
        <v>14</v>
      </c>
    </row>
    <row r="960" spans="1:8" hidden="1" x14ac:dyDescent="0.2">
      <c r="A960" t="s">
        <v>281</v>
      </c>
      <c r="B960" t="s">
        <v>75</v>
      </c>
      <c r="C960" t="s">
        <v>78</v>
      </c>
      <c r="D960" t="s">
        <v>282</v>
      </c>
      <c r="E960" t="s">
        <v>1529</v>
      </c>
      <c r="G960" t="s">
        <v>31</v>
      </c>
      <c r="H960" t="s">
        <v>14</v>
      </c>
    </row>
    <row r="961" spans="1:8" hidden="1" x14ac:dyDescent="0.2">
      <c r="A961" t="s">
        <v>281</v>
      </c>
      <c r="B961" t="s">
        <v>75</v>
      </c>
      <c r="C961" t="s">
        <v>78</v>
      </c>
      <c r="D961" t="s">
        <v>282</v>
      </c>
      <c r="E961" t="s">
        <v>1530</v>
      </c>
      <c r="G961" t="s">
        <v>31</v>
      </c>
      <c r="H961" t="s">
        <v>14</v>
      </c>
    </row>
    <row r="962" spans="1:8" hidden="1" x14ac:dyDescent="0.2">
      <c r="A962" t="s">
        <v>281</v>
      </c>
      <c r="B962" t="s">
        <v>75</v>
      </c>
      <c r="C962" t="s">
        <v>78</v>
      </c>
      <c r="D962" t="s">
        <v>282</v>
      </c>
      <c r="E962" t="s">
        <v>1531</v>
      </c>
      <c r="G962" t="s">
        <v>31</v>
      </c>
      <c r="H962" t="s">
        <v>14</v>
      </c>
    </row>
    <row r="963" spans="1:8" hidden="1" x14ac:dyDescent="0.2">
      <c r="A963" t="s">
        <v>281</v>
      </c>
      <c r="B963" t="s">
        <v>75</v>
      </c>
      <c r="C963" t="s">
        <v>78</v>
      </c>
      <c r="D963" t="s">
        <v>282</v>
      </c>
      <c r="E963" t="s">
        <v>12</v>
      </c>
      <c r="F963">
        <v>53.3</v>
      </c>
      <c r="G963" t="s">
        <v>31</v>
      </c>
      <c r="H963" t="s">
        <v>50</v>
      </c>
    </row>
    <row r="964" spans="1:8" hidden="1" x14ac:dyDescent="0.2">
      <c r="A964" t="s">
        <v>281</v>
      </c>
      <c r="B964" t="s">
        <v>75</v>
      </c>
      <c r="C964" t="s">
        <v>78</v>
      </c>
      <c r="D964" t="s">
        <v>282</v>
      </c>
      <c r="E964" t="s">
        <v>21</v>
      </c>
      <c r="F964">
        <v>133.4</v>
      </c>
      <c r="G964" t="s">
        <v>31</v>
      </c>
      <c r="H964" t="s">
        <v>14</v>
      </c>
    </row>
    <row r="965" spans="1:8" hidden="1" x14ac:dyDescent="0.2">
      <c r="A965" t="s">
        <v>281</v>
      </c>
      <c r="B965" t="s">
        <v>75</v>
      </c>
      <c r="C965" t="s">
        <v>78</v>
      </c>
      <c r="D965" t="s">
        <v>282</v>
      </c>
      <c r="E965" t="s">
        <v>20</v>
      </c>
      <c r="F965">
        <v>106.7</v>
      </c>
      <c r="G965" t="s">
        <v>31</v>
      </c>
      <c r="H965" t="s">
        <v>14</v>
      </c>
    </row>
    <row r="966" spans="1:8" hidden="1" x14ac:dyDescent="0.2">
      <c r="A966" t="s">
        <v>281</v>
      </c>
      <c r="B966" t="s">
        <v>75</v>
      </c>
      <c r="C966" t="s">
        <v>78</v>
      </c>
      <c r="D966" t="s">
        <v>282</v>
      </c>
      <c r="E966" t="s">
        <v>19</v>
      </c>
      <c r="F966">
        <v>106.7</v>
      </c>
      <c r="G966" t="s">
        <v>31</v>
      </c>
      <c r="H966" t="s">
        <v>14</v>
      </c>
    </row>
    <row r="967" spans="1:8" hidden="1" x14ac:dyDescent="0.2">
      <c r="A967" t="s">
        <v>281</v>
      </c>
      <c r="B967" t="s">
        <v>75</v>
      </c>
      <c r="C967" t="s">
        <v>78</v>
      </c>
      <c r="D967" t="s">
        <v>282</v>
      </c>
      <c r="E967" t="s">
        <v>17</v>
      </c>
      <c r="F967">
        <v>133.4</v>
      </c>
      <c r="G967" t="s">
        <v>31</v>
      </c>
      <c r="H967" t="s">
        <v>14</v>
      </c>
    </row>
    <row r="968" spans="1:8" hidden="1" x14ac:dyDescent="0.2">
      <c r="A968" t="s">
        <v>283</v>
      </c>
      <c r="B968" t="s">
        <v>75</v>
      </c>
      <c r="C968" t="s">
        <v>85</v>
      </c>
      <c r="D968" t="s">
        <v>284</v>
      </c>
      <c r="E968" t="s">
        <v>22</v>
      </c>
      <c r="F968">
        <v>160</v>
      </c>
      <c r="G968" t="s">
        <v>31</v>
      </c>
      <c r="H968" t="s">
        <v>14</v>
      </c>
    </row>
    <row r="969" spans="1:8" hidden="1" x14ac:dyDescent="0.2">
      <c r="A969" t="s">
        <v>283</v>
      </c>
      <c r="B969" t="s">
        <v>75</v>
      </c>
      <c r="C969" t="s">
        <v>85</v>
      </c>
      <c r="D969" t="s">
        <v>284</v>
      </c>
      <c r="E969" t="s">
        <v>1528</v>
      </c>
      <c r="G969" t="s">
        <v>31</v>
      </c>
      <c r="H969" t="s">
        <v>14</v>
      </c>
    </row>
    <row r="970" spans="1:8" hidden="1" x14ac:dyDescent="0.2">
      <c r="A970" t="s">
        <v>283</v>
      </c>
      <c r="B970" t="s">
        <v>75</v>
      </c>
      <c r="C970" t="s">
        <v>85</v>
      </c>
      <c r="D970" t="s">
        <v>284</v>
      </c>
      <c r="E970" t="s">
        <v>1529</v>
      </c>
      <c r="G970" t="s">
        <v>31</v>
      </c>
      <c r="H970" t="s">
        <v>14</v>
      </c>
    </row>
    <row r="971" spans="1:8" hidden="1" x14ac:dyDescent="0.2">
      <c r="A971" t="s">
        <v>283</v>
      </c>
      <c r="B971" t="s">
        <v>75</v>
      </c>
      <c r="C971" t="s">
        <v>85</v>
      </c>
      <c r="D971" t="s">
        <v>284</v>
      </c>
      <c r="E971" t="s">
        <v>1530</v>
      </c>
      <c r="G971" t="s">
        <v>31</v>
      </c>
      <c r="H971" t="s">
        <v>14</v>
      </c>
    </row>
    <row r="972" spans="1:8" hidden="1" x14ac:dyDescent="0.2">
      <c r="A972" t="s">
        <v>283</v>
      </c>
      <c r="B972" t="s">
        <v>75</v>
      </c>
      <c r="C972" t="s">
        <v>85</v>
      </c>
      <c r="D972" t="s">
        <v>284</v>
      </c>
      <c r="E972" t="s">
        <v>1531</v>
      </c>
      <c r="G972" t="s">
        <v>31</v>
      </c>
      <c r="H972" t="s">
        <v>14</v>
      </c>
    </row>
    <row r="973" spans="1:8" hidden="1" x14ac:dyDescent="0.2">
      <c r="A973" t="s">
        <v>283</v>
      </c>
      <c r="B973" t="s">
        <v>75</v>
      </c>
      <c r="C973" t="s">
        <v>85</v>
      </c>
      <c r="D973" t="s">
        <v>284</v>
      </c>
      <c r="E973" t="s">
        <v>12</v>
      </c>
      <c r="F973">
        <v>32</v>
      </c>
      <c r="G973" t="s">
        <v>31</v>
      </c>
      <c r="H973" t="s">
        <v>50</v>
      </c>
    </row>
    <row r="974" spans="1:8" hidden="1" x14ac:dyDescent="0.2">
      <c r="A974" t="s">
        <v>283</v>
      </c>
      <c r="B974" t="s">
        <v>75</v>
      </c>
      <c r="C974" t="s">
        <v>85</v>
      </c>
      <c r="D974" t="s">
        <v>284</v>
      </c>
      <c r="E974" t="s">
        <v>21</v>
      </c>
      <c r="F974">
        <v>80</v>
      </c>
      <c r="G974" t="s">
        <v>31</v>
      </c>
      <c r="H974" t="s">
        <v>14</v>
      </c>
    </row>
    <row r="975" spans="1:8" hidden="1" x14ac:dyDescent="0.2">
      <c r="A975" t="s">
        <v>283</v>
      </c>
      <c r="B975" t="s">
        <v>75</v>
      </c>
      <c r="C975" t="s">
        <v>85</v>
      </c>
      <c r="D975" t="s">
        <v>284</v>
      </c>
      <c r="E975" t="s">
        <v>20</v>
      </c>
      <c r="F975">
        <v>64</v>
      </c>
      <c r="G975" t="s">
        <v>31</v>
      </c>
      <c r="H975" t="s">
        <v>14</v>
      </c>
    </row>
    <row r="976" spans="1:8" hidden="1" x14ac:dyDescent="0.2">
      <c r="A976" t="s">
        <v>283</v>
      </c>
      <c r="B976" t="s">
        <v>75</v>
      </c>
      <c r="C976" t="s">
        <v>85</v>
      </c>
      <c r="D976" t="s">
        <v>284</v>
      </c>
      <c r="E976" t="s">
        <v>19</v>
      </c>
      <c r="F976">
        <v>64</v>
      </c>
      <c r="G976" t="s">
        <v>31</v>
      </c>
      <c r="H976" t="s">
        <v>14</v>
      </c>
    </row>
    <row r="977" spans="1:8" hidden="1" x14ac:dyDescent="0.2">
      <c r="A977" t="s">
        <v>283</v>
      </c>
      <c r="B977" t="s">
        <v>75</v>
      </c>
      <c r="C977" t="s">
        <v>85</v>
      </c>
      <c r="D977" t="s">
        <v>284</v>
      </c>
      <c r="E977" t="s">
        <v>17</v>
      </c>
      <c r="F977">
        <v>80</v>
      </c>
      <c r="G977" t="s">
        <v>31</v>
      </c>
      <c r="H977" t="s">
        <v>14</v>
      </c>
    </row>
    <row r="978" spans="1:8" hidden="1" x14ac:dyDescent="0.2">
      <c r="A978" t="s">
        <v>285</v>
      </c>
      <c r="B978" t="s">
        <v>66</v>
      </c>
      <c r="C978" t="s">
        <v>73</v>
      </c>
      <c r="D978" t="s">
        <v>286</v>
      </c>
      <c r="E978" t="s">
        <v>22</v>
      </c>
      <c r="F978">
        <v>160</v>
      </c>
      <c r="G978" t="s">
        <v>26</v>
      </c>
      <c r="H978" t="s">
        <v>14</v>
      </c>
    </row>
    <row r="979" spans="1:8" hidden="1" x14ac:dyDescent="0.2">
      <c r="A979" t="s">
        <v>285</v>
      </c>
      <c r="B979" t="s">
        <v>66</v>
      </c>
      <c r="C979" t="s">
        <v>73</v>
      </c>
      <c r="D979" t="s">
        <v>286</v>
      </c>
      <c r="E979" t="s">
        <v>1528</v>
      </c>
      <c r="G979" t="s">
        <v>26</v>
      </c>
      <c r="H979" t="s">
        <v>14</v>
      </c>
    </row>
    <row r="980" spans="1:8" hidden="1" x14ac:dyDescent="0.2">
      <c r="A980" t="s">
        <v>285</v>
      </c>
      <c r="B980" t="s">
        <v>66</v>
      </c>
      <c r="C980" t="s">
        <v>73</v>
      </c>
      <c r="D980" t="s">
        <v>286</v>
      </c>
      <c r="E980" t="s">
        <v>1529</v>
      </c>
      <c r="G980" t="s">
        <v>26</v>
      </c>
      <c r="H980" t="s">
        <v>14</v>
      </c>
    </row>
    <row r="981" spans="1:8" hidden="1" x14ac:dyDescent="0.2">
      <c r="A981" t="s">
        <v>285</v>
      </c>
      <c r="B981" t="s">
        <v>66</v>
      </c>
      <c r="C981" t="s">
        <v>73</v>
      </c>
      <c r="D981" t="s">
        <v>286</v>
      </c>
      <c r="E981" t="s">
        <v>1530</v>
      </c>
      <c r="G981" t="s">
        <v>26</v>
      </c>
      <c r="H981" t="s">
        <v>14</v>
      </c>
    </row>
    <row r="982" spans="1:8" hidden="1" x14ac:dyDescent="0.2">
      <c r="A982" t="s">
        <v>285</v>
      </c>
      <c r="B982" t="s">
        <v>66</v>
      </c>
      <c r="C982" t="s">
        <v>73</v>
      </c>
      <c r="D982" t="s">
        <v>286</v>
      </c>
      <c r="E982" t="s">
        <v>1531</v>
      </c>
      <c r="G982" t="s">
        <v>26</v>
      </c>
      <c r="H982" t="s">
        <v>14</v>
      </c>
    </row>
    <row r="983" spans="1:8" hidden="1" x14ac:dyDescent="0.2">
      <c r="A983" t="s">
        <v>285</v>
      </c>
      <c r="B983" t="s">
        <v>66</v>
      </c>
      <c r="C983" t="s">
        <v>73</v>
      </c>
      <c r="D983" t="s">
        <v>286</v>
      </c>
      <c r="E983" t="s">
        <v>12</v>
      </c>
      <c r="F983">
        <v>32</v>
      </c>
      <c r="G983" t="s">
        <v>26</v>
      </c>
      <c r="H983" t="s">
        <v>50</v>
      </c>
    </row>
    <row r="984" spans="1:8" hidden="1" x14ac:dyDescent="0.2">
      <c r="A984" t="s">
        <v>285</v>
      </c>
      <c r="B984" t="s">
        <v>66</v>
      </c>
      <c r="C984" t="s">
        <v>73</v>
      </c>
      <c r="D984" t="s">
        <v>286</v>
      </c>
      <c r="E984" t="s">
        <v>21</v>
      </c>
      <c r="F984">
        <v>80</v>
      </c>
      <c r="G984" t="s">
        <v>26</v>
      </c>
      <c r="H984" t="s">
        <v>14</v>
      </c>
    </row>
    <row r="985" spans="1:8" hidden="1" x14ac:dyDescent="0.2">
      <c r="A985" t="s">
        <v>285</v>
      </c>
      <c r="B985" t="s">
        <v>66</v>
      </c>
      <c r="C985" t="s">
        <v>73</v>
      </c>
      <c r="D985" t="s">
        <v>286</v>
      </c>
      <c r="E985" t="s">
        <v>20</v>
      </c>
      <c r="F985">
        <v>64</v>
      </c>
      <c r="G985" t="s">
        <v>26</v>
      </c>
      <c r="H985" t="s">
        <v>14</v>
      </c>
    </row>
    <row r="986" spans="1:8" hidden="1" x14ac:dyDescent="0.2">
      <c r="A986" t="s">
        <v>285</v>
      </c>
      <c r="B986" t="s">
        <v>66</v>
      </c>
      <c r="C986" t="s">
        <v>73</v>
      </c>
      <c r="D986" t="s">
        <v>286</v>
      </c>
      <c r="E986" t="s">
        <v>19</v>
      </c>
      <c r="F986">
        <v>64</v>
      </c>
      <c r="G986" t="s">
        <v>26</v>
      </c>
      <c r="H986" t="s">
        <v>14</v>
      </c>
    </row>
    <row r="987" spans="1:8" hidden="1" x14ac:dyDescent="0.2">
      <c r="A987" t="s">
        <v>285</v>
      </c>
      <c r="B987" t="s">
        <v>66</v>
      </c>
      <c r="C987" t="s">
        <v>73</v>
      </c>
      <c r="D987" t="s">
        <v>286</v>
      </c>
      <c r="E987" t="s">
        <v>17</v>
      </c>
      <c r="F987">
        <v>80</v>
      </c>
      <c r="G987" t="s">
        <v>26</v>
      </c>
      <c r="H987" t="s">
        <v>14</v>
      </c>
    </row>
    <row r="988" spans="1:8" hidden="1" x14ac:dyDescent="0.2">
      <c r="A988" t="s">
        <v>287</v>
      </c>
      <c r="B988" t="s">
        <v>75</v>
      </c>
      <c r="C988" t="s">
        <v>78</v>
      </c>
      <c r="D988" t="s">
        <v>288</v>
      </c>
      <c r="E988" t="s">
        <v>22</v>
      </c>
      <c r="F988">
        <v>160</v>
      </c>
      <c r="G988" t="s">
        <v>31</v>
      </c>
      <c r="H988" t="s">
        <v>27</v>
      </c>
    </row>
    <row r="989" spans="1:8" hidden="1" x14ac:dyDescent="0.2">
      <c r="A989" t="s">
        <v>287</v>
      </c>
      <c r="B989" t="s">
        <v>75</v>
      </c>
      <c r="C989" t="s">
        <v>78</v>
      </c>
      <c r="D989" t="s">
        <v>288</v>
      </c>
      <c r="E989" t="s">
        <v>1528</v>
      </c>
      <c r="G989" t="s">
        <v>31</v>
      </c>
      <c r="H989" t="s">
        <v>27</v>
      </c>
    </row>
    <row r="990" spans="1:8" hidden="1" x14ac:dyDescent="0.2">
      <c r="A990" t="s">
        <v>287</v>
      </c>
      <c r="B990" t="s">
        <v>75</v>
      </c>
      <c r="C990" t="s">
        <v>78</v>
      </c>
      <c r="D990" t="s">
        <v>288</v>
      </c>
      <c r="E990" t="s">
        <v>1529</v>
      </c>
      <c r="G990" t="s">
        <v>31</v>
      </c>
      <c r="H990" t="s">
        <v>27</v>
      </c>
    </row>
    <row r="991" spans="1:8" hidden="1" x14ac:dyDescent="0.2">
      <c r="A991" t="s">
        <v>287</v>
      </c>
      <c r="B991" t="s">
        <v>75</v>
      </c>
      <c r="C991" t="s">
        <v>78</v>
      </c>
      <c r="D991" t="s">
        <v>288</v>
      </c>
      <c r="E991" t="s">
        <v>1530</v>
      </c>
      <c r="G991" t="s">
        <v>31</v>
      </c>
      <c r="H991" t="s">
        <v>27</v>
      </c>
    </row>
    <row r="992" spans="1:8" hidden="1" x14ac:dyDescent="0.2">
      <c r="A992" t="s">
        <v>287</v>
      </c>
      <c r="B992" t="s">
        <v>75</v>
      </c>
      <c r="C992" t="s">
        <v>78</v>
      </c>
      <c r="D992" t="s">
        <v>288</v>
      </c>
      <c r="E992" t="s">
        <v>1531</v>
      </c>
      <c r="G992" t="s">
        <v>31</v>
      </c>
      <c r="H992" t="s">
        <v>27</v>
      </c>
    </row>
    <row r="993" spans="1:8" hidden="1" x14ac:dyDescent="0.2">
      <c r="A993" t="s">
        <v>287</v>
      </c>
      <c r="B993" t="s">
        <v>75</v>
      </c>
      <c r="C993" t="s">
        <v>78</v>
      </c>
      <c r="D993" t="s">
        <v>288</v>
      </c>
      <c r="E993" t="s">
        <v>12</v>
      </c>
      <c r="F993">
        <v>32</v>
      </c>
      <c r="G993" t="s">
        <v>31</v>
      </c>
      <c r="H993" t="s">
        <v>18</v>
      </c>
    </row>
    <row r="994" spans="1:8" hidden="1" x14ac:dyDescent="0.2">
      <c r="A994" t="s">
        <v>287</v>
      </c>
      <c r="B994" t="s">
        <v>75</v>
      </c>
      <c r="C994" t="s">
        <v>78</v>
      </c>
      <c r="D994" t="s">
        <v>288</v>
      </c>
      <c r="E994" t="s">
        <v>21</v>
      </c>
      <c r="F994">
        <v>80</v>
      </c>
      <c r="G994" t="s">
        <v>31</v>
      </c>
      <c r="H994" t="s">
        <v>27</v>
      </c>
    </row>
    <row r="995" spans="1:8" hidden="1" x14ac:dyDescent="0.2">
      <c r="A995" t="s">
        <v>287</v>
      </c>
      <c r="B995" t="s">
        <v>75</v>
      </c>
      <c r="C995" t="s">
        <v>78</v>
      </c>
      <c r="D995" t="s">
        <v>288</v>
      </c>
      <c r="E995" t="s">
        <v>20</v>
      </c>
      <c r="F995">
        <v>64</v>
      </c>
      <c r="G995" t="s">
        <v>31</v>
      </c>
      <c r="H995" t="s">
        <v>27</v>
      </c>
    </row>
    <row r="996" spans="1:8" hidden="1" x14ac:dyDescent="0.2">
      <c r="A996" t="s">
        <v>287</v>
      </c>
      <c r="B996" t="s">
        <v>75</v>
      </c>
      <c r="C996" t="s">
        <v>78</v>
      </c>
      <c r="D996" t="s">
        <v>288</v>
      </c>
      <c r="E996" t="s">
        <v>19</v>
      </c>
      <c r="F996">
        <v>64</v>
      </c>
      <c r="G996" t="s">
        <v>31</v>
      </c>
      <c r="H996" t="s">
        <v>27</v>
      </c>
    </row>
    <row r="997" spans="1:8" hidden="1" x14ac:dyDescent="0.2">
      <c r="A997" t="s">
        <v>287</v>
      </c>
      <c r="B997" t="s">
        <v>75</v>
      </c>
      <c r="C997" t="s">
        <v>78</v>
      </c>
      <c r="D997" t="s">
        <v>288</v>
      </c>
      <c r="E997" t="s">
        <v>17</v>
      </c>
      <c r="F997">
        <v>80</v>
      </c>
      <c r="G997" t="s">
        <v>31</v>
      </c>
      <c r="H997" t="s">
        <v>27</v>
      </c>
    </row>
    <row r="998" spans="1:8" hidden="1" x14ac:dyDescent="0.2">
      <c r="A998" t="s">
        <v>289</v>
      </c>
      <c r="B998" t="s">
        <v>66</v>
      </c>
      <c r="C998" t="s">
        <v>71</v>
      </c>
      <c r="D998" t="s">
        <v>290</v>
      </c>
      <c r="E998" t="s">
        <v>22</v>
      </c>
      <c r="F998">
        <v>26.7</v>
      </c>
      <c r="G998" t="s">
        <v>26</v>
      </c>
      <c r="H998" t="s">
        <v>14</v>
      </c>
    </row>
    <row r="999" spans="1:8" hidden="1" x14ac:dyDescent="0.2">
      <c r="A999" t="s">
        <v>289</v>
      </c>
      <c r="B999" t="s">
        <v>66</v>
      </c>
      <c r="C999" t="s">
        <v>71</v>
      </c>
      <c r="D999" t="s">
        <v>290</v>
      </c>
      <c r="E999" t="s">
        <v>1528</v>
      </c>
      <c r="G999" t="s">
        <v>26</v>
      </c>
      <c r="H999" t="s">
        <v>14</v>
      </c>
    </row>
    <row r="1000" spans="1:8" hidden="1" x14ac:dyDescent="0.2">
      <c r="A1000" t="s">
        <v>289</v>
      </c>
      <c r="B1000" t="s">
        <v>66</v>
      </c>
      <c r="C1000" t="s">
        <v>71</v>
      </c>
      <c r="D1000" t="s">
        <v>290</v>
      </c>
      <c r="E1000" t="s">
        <v>1529</v>
      </c>
      <c r="G1000" t="s">
        <v>26</v>
      </c>
      <c r="H1000" t="s">
        <v>14</v>
      </c>
    </row>
    <row r="1001" spans="1:8" hidden="1" x14ac:dyDescent="0.2">
      <c r="A1001" t="s">
        <v>289</v>
      </c>
      <c r="B1001" t="s">
        <v>66</v>
      </c>
      <c r="C1001" t="s">
        <v>71</v>
      </c>
      <c r="D1001" t="s">
        <v>290</v>
      </c>
      <c r="E1001" t="s">
        <v>1530</v>
      </c>
      <c r="G1001" t="s">
        <v>26</v>
      </c>
      <c r="H1001" t="s">
        <v>14</v>
      </c>
    </row>
    <row r="1002" spans="1:8" hidden="1" x14ac:dyDescent="0.2">
      <c r="A1002" t="s">
        <v>289</v>
      </c>
      <c r="B1002" t="s">
        <v>66</v>
      </c>
      <c r="C1002" t="s">
        <v>71</v>
      </c>
      <c r="D1002" t="s">
        <v>290</v>
      </c>
      <c r="E1002" t="s">
        <v>1531</v>
      </c>
      <c r="G1002" t="s">
        <v>26</v>
      </c>
      <c r="H1002" t="s">
        <v>14</v>
      </c>
    </row>
    <row r="1003" spans="1:8" hidden="1" x14ac:dyDescent="0.2">
      <c r="A1003" t="s">
        <v>289</v>
      </c>
      <c r="B1003" t="s">
        <v>66</v>
      </c>
      <c r="C1003" t="s">
        <v>71</v>
      </c>
      <c r="D1003" t="s">
        <v>290</v>
      </c>
      <c r="E1003" t="s">
        <v>12</v>
      </c>
      <c r="F1003">
        <v>5.3</v>
      </c>
      <c r="G1003" t="s">
        <v>26</v>
      </c>
      <c r="H1003" t="s">
        <v>50</v>
      </c>
    </row>
    <row r="1004" spans="1:8" hidden="1" x14ac:dyDescent="0.2">
      <c r="A1004" t="s">
        <v>289</v>
      </c>
      <c r="B1004" t="s">
        <v>66</v>
      </c>
      <c r="C1004" t="s">
        <v>71</v>
      </c>
      <c r="D1004" t="s">
        <v>290</v>
      </c>
      <c r="E1004" t="s">
        <v>21</v>
      </c>
      <c r="F1004">
        <v>13.4</v>
      </c>
      <c r="G1004" t="s">
        <v>26</v>
      </c>
      <c r="H1004" t="s">
        <v>14</v>
      </c>
    </row>
    <row r="1005" spans="1:8" hidden="1" x14ac:dyDescent="0.2">
      <c r="A1005" t="s">
        <v>289</v>
      </c>
      <c r="B1005" t="s">
        <v>66</v>
      </c>
      <c r="C1005" t="s">
        <v>71</v>
      </c>
      <c r="D1005" t="s">
        <v>290</v>
      </c>
      <c r="E1005" t="s">
        <v>20</v>
      </c>
      <c r="F1005">
        <v>10.7</v>
      </c>
      <c r="G1005" t="s">
        <v>26</v>
      </c>
      <c r="H1005" t="s">
        <v>14</v>
      </c>
    </row>
    <row r="1006" spans="1:8" hidden="1" x14ac:dyDescent="0.2">
      <c r="A1006" t="s">
        <v>289</v>
      </c>
      <c r="B1006" t="s">
        <v>66</v>
      </c>
      <c r="C1006" t="s">
        <v>71</v>
      </c>
      <c r="D1006" t="s">
        <v>290</v>
      </c>
      <c r="E1006" t="s">
        <v>19</v>
      </c>
      <c r="F1006">
        <v>10.7</v>
      </c>
      <c r="G1006" t="s">
        <v>26</v>
      </c>
      <c r="H1006" t="s">
        <v>14</v>
      </c>
    </row>
    <row r="1007" spans="1:8" hidden="1" x14ac:dyDescent="0.2">
      <c r="A1007" t="s">
        <v>289</v>
      </c>
      <c r="B1007" t="s">
        <v>66</v>
      </c>
      <c r="C1007" t="s">
        <v>71</v>
      </c>
      <c r="D1007" t="s">
        <v>290</v>
      </c>
      <c r="E1007" t="s">
        <v>17</v>
      </c>
      <c r="F1007">
        <v>13.4</v>
      </c>
      <c r="G1007" t="s">
        <v>26</v>
      </c>
      <c r="H1007" t="s">
        <v>14</v>
      </c>
    </row>
    <row r="1008" spans="1:8" hidden="1" x14ac:dyDescent="0.2">
      <c r="A1008" t="s">
        <v>291</v>
      </c>
      <c r="B1008" t="s">
        <v>56</v>
      </c>
      <c r="C1008" t="s">
        <v>60</v>
      </c>
      <c r="D1008" t="s">
        <v>292</v>
      </c>
      <c r="E1008" t="s">
        <v>22</v>
      </c>
      <c r="F1008">
        <v>106.7</v>
      </c>
      <c r="G1008" t="s">
        <v>26</v>
      </c>
      <c r="H1008" t="s">
        <v>14</v>
      </c>
    </row>
    <row r="1009" spans="1:8" hidden="1" x14ac:dyDescent="0.2">
      <c r="A1009" t="s">
        <v>291</v>
      </c>
      <c r="B1009" t="s">
        <v>56</v>
      </c>
      <c r="C1009" t="s">
        <v>60</v>
      </c>
      <c r="D1009" t="s">
        <v>292</v>
      </c>
      <c r="E1009" t="s">
        <v>1528</v>
      </c>
      <c r="G1009" t="s">
        <v>26</v>
      </c>
      <c r="H1009" t="s">
        <v>14</v>
      </c>
    </row>
    <row r="1010" spans="1:8" hidden="1" x14ac:dyDescent="0.2">
      <c r="A1010" t="s">
        <v>291</v>
      </c>
      <c r="B1010" t="s">
        <v>56</v>
      </c>
      <c r="C1010" t="s">
        <v>60</v>
      </c>
      <c r="D1010" t="s">
        <v>292</v>
      </c>
      <c r="E1010" t="s">
        <v>1529</v>
      </c>
      <c r="G1010" t="s">
        <v>26</v>
      </c>
      <c r="H1010" t="s">
        <v>14</v>
      </c>
    </row>
    <row r="1011" spans="1:8" hidden="1" x14ac:dyDescent="0.2">
      <c r="A1011" t="s">
        <v>291</v>
      </c>
      <c r="B1011" t="s">
        <v>56</v>
      </c>
      <c r="C1011" t="s">
        <v>60</v>
      </c>
      <c r="D1011" t="s">
        <v>292</v>
      </c>
      <c r="E1011" t="s">
        <v>1530</v>
      </c>
      <c r="G1011" t="s">
        <v>26</v>
      </c>
      <c r="H1011" t="s">
        <v>14</v>
      </c>
    </row>
    <row r="1012" spans="1:8" hidden="1" x14ac:dyDescent="0.2">
      <c r="A1012" t="s">
        <v>291</v>
      </c>
      <c r="B1012" t="s">
        <v>56</v>
      </c>
      <c r="C1012" t="s">
        <v>60</v>
      </c>
      <c r="D1012" t="s">
        <v>292</v>
      </c>
      <c r="E1012" t="s">
        <v>1531</v>
      </c>
      <c r="G1012" t="s">
        <v>26</v>
      </c>
      <c r="H1012" t="s">
        <v>14</v>
      </c>
    </row>
    <row r="1013" spans="1:8" hidden="1" x14ac:dyDescent="0.2">
      <c r="A1013" t="s">
        <v>291</v>
      </c>
      <c r="B1013" t="s">
        <v>56</v>
      </c>
      <c r="C1013" t="s">
        <v>60</v>
      </c>
      <c r="D1013" t="s">
        <v>292</v>
      </c>
      <c r="E1013" t="s">
        <v>12</v>
      </c>
      <c r="F1013">
        <v>21.3</v>
      </c>
      <c r="G1013" t="s">
        <v>26</v>
      </c>
      <c r="H1013" t="s">
        <v>50</v>
      </c>
    </row>
    <row r="1014" spans="1:8" hidden="1" x14ac:dyDescent="0.2">
      <c r="A1014" t="s">
        <v>291</v>
      </c>
      <c r="B1014" t="s">
        <v>56</v>
      </c>
      <c r="C1014" t="s">
        <v>60</v>
      </c>
      <c r="D1014" t="s">
        <v>292</v>
      </c>
      <c r="E1014" t="s">
        <v>21</v>
      </c>
      <c r="F1014">
        <v>53.4</v>
      </c>
      <c r="G1014" t="s">
        <v>26</v>
      </c>
      <c r="H1014" t="s">
        <v>14</v>
      </c>
    </row>
    <row r="1015" spans="1:8" hidden="1" x14ac:dyDescent="0.2">
      <c r="A1015" t="s">
        <v>291</v>
      </c>
      <c r="B1015" t="s">
        <v>56</v>
      </c>
      <c r="C1015" t="s">
        <v>60</v>
      </c>
      <c r="D1015" t="s">
        <v>292</v>
      </c>
      <c r="E1015" t="s">
        <v>20</v>
      </c>
      <c r="F1015">
        <v>42.7</v>
      </c>
      <c r="G1015" t="s">
        <v>26</v>
      </c>
      <c r="H1015" t="s">
        <v>14</v>
      </c>
    </row>
    <row r="1016" spans="1:8" hidden="1" x14ac:dyDescent="0.2">
      <c r="A1016" t="s">
        <v>291</v>
      </c>
      <c r="B1016" t="s">
        <v>56</v>
      </c>
      <c r="C1016" t="s">
        <v>60</v>
      </c>
      <c r="D1016" t="s">
        <v>292</v>
      </c>
      <c r="E1016" t="s">
        <v>19</v>
      </c>
      <c r="F1016">
        <v>42.7</v>
      </c>
      <c r="G1016" t="s">
        <v>26</v>
      </c>
      <c r="H1016" t="s">
        <v>14</v>
      </c>
    </row>
    <row r="1017" spans="1:8" hidden="1" x14ac:dyDescent="0.2">
      <c r="A1017" t="s">
        <v>291</v>
      </c>
      <c r="B1017" t="s">
        <v>56</v>
      </c>
      <c r="C1017" t="s">
        <v>60</v>
      </c>
      <c r="D1017" t="s">
        <v>292</v>
      </c>
      <c r="E1017" t="s">
        <v>17</v>
      </c>
      <c r="F1017">
        <v>53.4</v>
      </c>
      <c r="G1017" t="s">
        <v>26</v>
      </c>
      <c r="H1017" t="s">
        <v>14</v>
      </c>
    </row>
    <row r="1018" spans="1:8" hidden="1" x14ac:dyDescent="0.2">
      <c r="A1018" t="s">
        <v>293</v>
      </c>
      <c r="B1018" t="s">
        <v>75</v>
      </c>
      <c r="C1018" t="s">
        <v>78</v>
      </c>
      <c r="D1018" t="s">
        <v>294</v>
      </c>
      <c r="E1018" t="s">
        <v>22</v>
      </c>
      <c r="F1018">
        <v>53.3</v>
      </c>
      <c r="G1018" t="s">
        <v>26</v>
      </c>
      <c r="H1018" t="s">
        <v>14</v>
      </c>
    </row>
    <row r="1019" spans="1:8" hidden="1" x14ac:dyDescent="0.2">
      <c r="A1019" t="s">
        <v>293</v>
      </c>
      <c r="B1019" t="s">
        <v>75</v>
      </c>
      <c r="C1019" t="s">
        <v>78</v>
      </c>
      <c r="D1019" t="s">
        <v>294</v>
      </c>
      <c r="E1019" t="s">
        <v>1528</v>
      </c>
      <c r="G1019" t="s">
        <v>26</v>
      </c>
      <c r="H1019" t="s">
        <v>14</v>
      </c>
    </row>
    <row r="1020" spans="1:8" hidden="1" x14ac:dyDescent="0.2">
      <c r="A1020" t="s">
        <v>293</v>
      </c>
      <c r="B1020" t="s">
        <v>75</v>
      </c>
      <c r="C1020" t="s">
        <v>78</v>
      </c>
      <c r="D1020" t="s">
        <v>294</v>
      </c>
      <c r="E1020" t="s">
        <v>1529</v>
      </c>
      <c r="G1020" t="s">
        <v>26</v>
      </c>
      <c r="H1020" t="s">
        <v>14</v>
      </c>
    </row>
    <row r="1021" spans="1:8" hidden="1" x14ac:dyDescent="0.2">
      <c r="A1021" t="s">
        <v>293</v>
      </c>
      <c r="B1021" t="s">
        <v>75</v>
      </c>
      <c r="C1021" t="s">
        <v>78</v>
      </c>
      <c r="D1021" t="s">
        <v>294</v>
      </c>
      <c r="E1021" t="s">
        <v>1530</v>
      </c>
      <c r="G1021" t="s">
        <v>26</v>
      </c>
      <c r="H1021" t="s">
        <v>14</v>
      </c>
    </row>
    <row r="1022" spans="1:8" hidden="1" x14ac:dyDescent="0.2">
      <c r="A1022" t="s">
        <v>293</v>
      </c>
      <c r="B1022" t="s">
        <v>75</v>
      </c>
      <c r="C1022" t="s">
        <v>78</v>
      </c>
      <c r="D1022" t="s">
        <v>294</v>
      </c>
      <c r="E1022" t="s">
        <v>1531</v>
      </c>
      <c r="G1022" t="s">
        <v>26</v>
      </c>
      <c r="H1022" t="s">
        <v>14</v>
      </c>
    </row>
    <row r="1023" spans="1:8" hidden="1" x14ac:dyDescent="0.2">
      <c r="A1023" t="s">
        <v>293</v>
      </c>
      <c r="B1023" t="s">
        <v>75</v>
      </c>
      <c r="C1023" t="s">
        <v>78</v>
      </c>
      <c r="D1023" t="s">
        <v>294</v>
      </c>
      <c r="E1023" t="s">
        <v>12</v>
      </c>
      <c r="F1023">
        <v>10.7</v>
      </c>
      <c r="G1023" t="s">
        <v>26</v>
      </c>
      <c r="H1023" t="s">
        <v>50</v>
      </c>
    </row>
    <row r="1024" spans="1:8" hidden="1" x14ac:dyDescent="0.2">
      <c r="A1024" t="s">
        <v>293</v>
      </c>
      <c r="B1024" t="s">
        <v>75</v>
      </c>
      <c r="C1024" t="s">
        <v>78</v>
      </c>
      <c r="D1024" t="s">
        <v>294</v>
      </c>
      <c r="E1024" t="s">
        <v>21</v>
      </c>
      <c r="F1024">
        <v>26.6</v>
      </c>
      <c r="G1024" t="s">
        <v>26</v>
      </c>
      <c r="H1024" t="s">
        <v>14</v>
      </c>
    </row>
    <row r="1025" spans="1:8" hidden="1" x14ac:dyDescent="0.2">
      <c r="A1025" t="s">
        <v>293</v>
      </c>
      <c r="B1025" t="s">
        <v>75</v>
      </c>
      <c r="C1025" t="s">
        <v>78</v>
      </c>
      <c r="D1025" t="s">
        <v>294</v>
      </c>
      <c r="E1025" t="s">
        <v>20</v>
      </c>
      <c r="F1025">
        <v>21.3</v>
      </c>
      <c r="G1025" t="s">
        <v>26</v>
      </c>
      <c r="H1025" t="s">
        <v>14</v>
      </c>
    </row>
    <row r="1026" spans="1:8" hidden="1" x14ac:dyDescent="0.2">
      <c r="A1026" t="s">
        <v>293</v>
      </c>
      <c r="B1026" t="s">
        <v>75</v>
      </c>
      <c r="C1026" t="s">
        <v>78</v>
      </c>
      <c r="D1026" t="s">
        <v>294</v>
      </c>
      <c r="E1026" t="s">
        <v>19</v>
      </c>
      <c r="F1026">
        <v>21.3</v>
      </c>
      <c r="G1026" t="s">
        <v>26</v>
      </c>
      <c r="H1026" t="s">
        <v>14</v>
      </c>
    </row>
    <row r="1027" spans="1:8" hidden="1" x14ac:dyDescent="0.2">
      <c r="A1027" t="s">
        <v>293</v>
      </c>
      <c r="B1027" t="s">
        <v>75</v>
      </c>
      <c r="C1027" t="s">
        <v>78</v>
      </c>
      <c r="D1027" t="s">
        <v>294</v>
      </c>
      <c r="E1027" t="s">
        <v>17</v>
      </c>
      <c r="F1027">
        <v>26.6</v>
      </c>
      <c r="G1027" t="s">
        <v>26</v>
      </c>
      <c r="H1027" t="s">
        <v>14</v>
      </c>
    </row>
    <row r="1028" spans="1:8" hidden="1" x14ac:dyDescent="0.2">
      <c r="A1028" t="s">
        <v>295</v>
      </c>
      <c r="B1028" t="s">
        <v>75</v>
      </c>
      <c r="C1028" t="s">
        <v>78</v>
      </c>
      <c r="D1028" t="s">
        <v>296</v>
      </c>
      <c r="E1028" t="s">
        <v>22</v>
      </c>
      <c r="F1028">
        <v>42.7</v>
      </c>
      <c r="G1028" t="s">
        <v>31</v>
      </c>
      <c r="H1028" t="s">
        <v>14</v>
      </c>
    </row>
    <row r="1029" spans="1:8" hidden="1" x14ac:dyDescent="0.2">
      <c r="A1029" t="s">
        <v>295</v>
      </c>
      <c r="B1029" t="s">
        <v>75</v>
      </c>
      <c r="C1029" t="s">
        <v>78</v>
      </c>
      <c r="D1029" t="s">
        <v>296</v>
      </c>
      <c r="E1029" t="s">
        <v>1528</v>
      </c>
      <c r="G1029" t="s">
        <v>31</v>
      </c>
      <c r="H1029" t="s">
        <v>14</v>
      </c>
    </row>
    <row r="1030" spans="1:8" hidden="1" x14ac:dyDescent="0.2">
      <c r="A1030" t="s">
        <v>295</v>
      </c>
      <c r="B1030" t="s">
        <v>75</v>
      </c>
      <c r="C1030" t="s">
        <v>78</v>
      </c>
      <c r="D1030" t="s">
        <v>296</v>
      </c>
      <c r="E1030" t="s">
        <v>1529</v>
      </c>
      <c r="G1030" t="s">
        <v>31</v>
      </c>
      <c r="H1030" t="s">
        <v>14</v>
      </c>
    </row>
    <row r="1031" spans="1:8" hidden="1" x14ac:dyDescent="0.2">
      <c r="A1031" t="s">
        <v>295</v>
      </c>
      <c r="B1031" t="s">
        <v>75</v>
      </c>
      <c r="C1031" t="s">
        <v>78</v>
      </c>
      <c r="D1031" t="s">
        <v>296</v>
      </c>
      <c r="E1031" t="s">
        <v>1530</v>
      </c>
      <c r="G1031" t="s">
        <v>31</v>
      </c>
      <c r="H1031" t="s">
        <v>14</v>
      </c>
    </row>
    <row r="1032" spans="1:8" hidden="1" x14ac:dyDescent="0.2">
      <c r="A1032" t="s">
        <v>295</v>
      </c>
      <c r="B1032" t="s">
        <v>75</v>
      </c>
      <c r="C1032" t="s">
        <v>78</v>
      </c>
      <c r="D1032" t="s">
        <v>296</v>
      </c>
      <c r="E1032" t="s">
        <v>1531</v>
      </c>
      <c r="G1032" t="s">
        <v>31</v>
      </c>
      <c r="H1032" t="s">
        <v>14</v>
      </c>
    </row>
    <row r="1033" spans="1:8" hidden="1" x14ac:dyDescent="0.2">
      <c r="A1033" t="s">
        <v>295</v>
      </c>
      <c r="B1033" t="s">
        <v>75</v>
      </c>
      <c r="C1033" t="s">
        <v>78</v>
      </c>
      <c r="D1033" t="s">
        <v>296</v>
      </c>
      <c r="E1033" t="s">
        <v>12</v>
      </c>
      <c r="F1033">
        <v>8.5</v>
      </c>
      <c r="G1033" t="s">
        <v>31</v>
      </c>
      <c r="H1033" t="s">
        <v>50</v>
      </c>
    </row>
    <row r="1034" spans="1:8" hidden="1" x14ac:dyDescent="0.2">
      <c r="A1034" t="s">
        <v>295</v>
      </c>
      <c r="B1034" t="s">
        <v>75</v>
      </c>
      <c r="C1034" t="s">
        <v>78</v>
      </c>
      <c r="D1034" t="s">
        <v>296</v>
      </c>
      <c r="E1034" t="s">
        <v>21</v>
      </c>
      <c r="F1034">
        <v>21.4</v>
      </c>
      <c r="G1034" t="s">
        <v>31</v>
      </c>
      <c r="H1034" t="s">
        <v>14</v>
      </c>
    </row>
    <row r="1035" spans="1:8" hidden="1" x14ac:dyDescent="0.2">
      <c r="A1035" t="s">
        <v>295</v>
      </c>
      <c r="B1035" t="s">
        <v>75</v>
      </c>
      <c r="C1035" t="s">
        <v>78</v>
      </c>
      <c r="D1035" t="s">
        <v>296</v>
      </c>
      <c r="E1035" t="s">
        <v>20</v>
      </c>
      <c r="F1035">
        <v>17.100000000000001</v>
      </c>
      <c r="G1035" t="s">
        <v>31</v>
      </c>
      <c r="H1035" t="s">
        <v>14</v>
      </c>
    </row>
    <row r="1036" spans="1:8" hidden="1" x14ac:dyDescent="0.2">
      <c r="A1036" t="s">
        <v>295</v>
      </c>
      <c r="B1036" t="s">
        <v>75</v>
      </c>
      <c r="C1036" t="s">
        <v>78</v>
      </c>
      <c r="D1036" t="s">
        <v>296</v>
      </c>
      <c r="E1036" t="s">
        <v>19</v>
      </c>
      <c r="F1036">
        <v>17.100000000000001</v>
      </c>
      <c r="G1036" t="s">
        <v>31</v>
      </c>
      <c r="H1036" t="s">
        <v>14</v>
      </c>
    </row>
    <row r="1037" spans="1:8" hidden="1" x14ac:dyDescent="0.2">
      <c r="A1037" t="s">
        <v>295</v>
      </c>
      <c r="B1037" t="s">
        <v>75</v>
      </c>
      <c r="C1037" t="s">
        <v>78</v>
      </c>
      <c r="D1037" t="s">
        <v>296</v>
      </c>
      <c r="E1037" t="s">
        <v>17</v>
      </c>
      <c r="F1037">
        <v>21.4</v>
      </c>
      <c r="G1037" t="s">
        <v>31</v>
      </c>
      <c r="H1037" t="s">
        <v>14</v>
      </c>
    </row>
    <row r="1038" spans="1:8" hidden="1" x14ac:dyDescent="0.2">
      <c r="A1038" t="s">
        <v>297</v>
      </c>
      <c r="B1038" t="s">
        <v>75</v>
      </c>
      <c r="C1038" t="s">
        <v>78</v>
      </c>
      <c r="D1038" t="s">
        <v>298</v>
      </c>
      <c r="E1038" t="s">
        <v>22</v>
      </c>
      <c r="F1038">
        <v>69.3</v>
      </c>
      <c r="G1038" t="s">
        <v>31</v>
      </c>
      <c r="H1038" t="s">
        <v>27</v>
      </c>
    </row>
    <row r="1039" spans="1:8" hidden="1" x14ac:dyDescent="0.2">
      <c r="A1039" t="s">
        <v>297</v>
      </c>
      <c r="B1039" t="s">
        <v>75</v>
      </c>
      <c r="C1039" t="s">
        <v>78</v>
      </c>
      <c r="D1039" t="s">
        <v>298</v>
      </c>
      <c r="E1039" t="s">
        <v>1528</v>
      </c>
      <c r="G1039" t="s">
        <v>31</v>
      </c>
      <c r="H1039" t="s">
        <v>27</v>
      </c>
    </row>
    <row r="1040" spans="1:8" hidden="1" x14ac:dyDescent="0.2">
      <c r="A1040" t="s">
        <v>297</v>
      </c>
      <c r="B1040" t="s">
        <v>75</v>
      </c>
      <c r="C1040" t="s">
        <v>78</v>
      </c>
      <c r="D1040" t="s">
        <v>298</v>
      </c>
      <c r="E1040" t="s">
        <v>1529</v>
      </c>
      <c r="G1040" t="s">
        <v>31</v>
      </c>
      <c r="H1040" t="s">
        <v>27</v>
      </c>
    </row>
    <row r="1041" spans="1:8" hidden="1" x14ac:dyDescent="0.2">
      <c r="A1041" t="s">
        <v>297</v>
      </c>
      <c r="B1041" t="s">
        <v>75</v>
      </c>
      <c r="C1041" t="s">
        <v>78</v>
      </c>
      <c r="D1041" t="s">
        <v>298</v>
      </c>
      <c r="E1041" t="s">
        <v>1530</v>
      </c>
      <c r="G1041" t="s">
        <v>31</v>
      </c>
      <c r="H1041" t="s">
        <v>27</v>
      </c>
    </row>
    <row r="1042" spans="1:8" hidden="1" x14ac:dyDescent="0.2">
      <c r="A1042" t="s">
        <v>297</v>
      </c>
      <c r="B1042" t="s">
        <v>75</v>
      </c>
      <c r="C1042" t="s">
        <v>78</v>
      </c>
      <c r="D1042" t="s">
        <v>298</v>
      </c>
      <c r="E1042" t="s">
        <v>1531</v>
      </c>
      <c r="G1042" t="s">
        <v>31</v>
      </c>
      <c r="H1042" t="s">
        <v>27</v>
      </c>
    </row>
    <row r="1043" spans="1:8" hidden="1" x14ac:dyDescent="0.2">
      <c r="A1043" t="s">
        <v>297</v>
      </c>
      <c r="B1043" t="s">
        <v>75</v>
      </c>
      <c r="C1043" t="s">
        <v>78</v>
      </c>
      <c r="D1043" t="s">
        <v>298</v>
      </c>
      <c r="E1043" t="s">
        <v>12</v>
      </c>
      <c r="F1043">
        <v>13.9</v>
      </c>
      <c r="G1043" t="s">
        <v>31</v>
      </c>
      <c r="H1043" t="s">
        <v>18</v>
      </c>
    </row>
    <row r="1044" spans="1:8" hidden="1" x14ac:dyDescent="0.2">
      <c r="A1044" t="s">
        <v>297</v>
      </c>
      <c r="B1044" t="s">
        <v>75</v>
      </c>
      <c r="C1044" t="s">
        <v>78</v>
      </c>
      <c r="D1044" t="s">
        <v>298</v>
      </c>
      <c r="E1044" t="s">
        <v>21</v>
      </c>
      <c r="F1044">
        <v>34.6</v>
      </c>
      <c r="G1044" t="s">
        <v>31</v>
      </c>
      <c r="H1044" t="s">
        <v>27</v>
      </c>
    </row>
    <row r="1045" spans="1:8" hidden="1" x14ac:dyDescent="0.2">
      <c r="A1045" t="s">
        <v>297</v>
      </c>
      <c r="B1045" t="s">
        <v>75</v>
      </c>
      <c r="C1045" t="s">
        <v>78</v>
      </c>
      <c r="D1045" t="s">
        <v>298</v>
      </c>
      <c r="E1045" t="s">
        <v>20</v>
      </c>
      <c r="F1045">
        <v>27.7</v>
      </c>
      <c r="G1045" t="s">
        <v>31</v>
      </c>
      <c r="H1045" t="s">
        <v>27</v>
      </c>
    </row>
    <row r="1046" spans="1:8" hidden="1" x14ac:dyDescent="0.2">
      <c r="A1046" t="s">
        <v>297</v>
      </c>
      <c r="B1046" t="s">
        <v>75</v>
      </c>
      <c r="C1046" t="s">
        <v>78</v>
      </c>
      <c r="D1046" t="s">
        <v>298</v>
      </c>
      <c r="E1046" t="s">
        <v>19</v>
      </c>
      <c r="F1046">
        <v>27.7</v>
      </c>
      <c r="G1046" t="s">
        <v>31</v>
      </c>
      <c r="H1046" t="s">
        <v>27</v>
      </c>
    </row>
    <row r="1047" spans="1:8" hidden="1" x14ac:dyDescent="0.2">
      <c r="A1047" t="s">
        <v>297</v>
      </c>
      <c r="B1047" t="s">
        <v>75</v>
      </c>
      <c r="C1047" t="s">
        <v>78</v>
      </c>
      <c r="D1047" t="s">
        <v>298</v>
      </c>
      <c r="E1047" t="s">
        <v>17</v>
      </c>
      <c r="F1047">
        <v>34.6</v>
      </c>
      <c r="G1047" t="s">
        <v>31</v>
      </c>
      <c r="H1047" t="s">
        <v>27</v>
      </c>
    </row>
    <row r="1048" spans="1:8" hidden="1" x14ac:dyDescent="0.2">
      <c r="A1048" t="s">
        <v>299</v>
      </c>
      <c r="B1048" t="s">
        <v>66</v>
      </c>
      <c r="C1048" t="s">
        <v>68</v>
      </c>
      <c r="D1048" t="s">
        <v>300</v>
      </c>
      <c r="E1048" t="s">
        <v>22</v>
      </c>
      <c r="F1048">
        <v>2.7</v>
      </c>
      <c r="G1048" t="s">
        <v>26</v>
      </c>
      <c r="H1048" t="s">
        <v>14</v>
      </c>
    </row>
    <row r="1049" spans="1:8" hidden="1" x14ac:dyDescent="0.2">
      <c r="A1049" t="s">
        <v>299</v>
      </c>
      <c r="B1049" t="s">
        <v>66</v>
      </c>
      <c r="C1049" t="s">
        <v>68</v>
      </c>
      <c r="D1049" t="s">
        <v>300</v>
      </c>
      <c r="E1049" t="s">
        <v>1528</v>
      </c>
      <c r="G1049" t="s">
        <v>26</v>
      </c>
      <c r="H1049" t="s">
        <v>14</v>
      </c>
    </row>
    <row r="1050" spans="1:8" hidden="1" x14ac:dyDescent="0.2">
      <c r="A1050" t="s">
        <v>299</v>
      </c>
      <c r="B1050" t="s">
        <v>66</v>
      </c>
      <c r="C1050" t="s">
        <v>68</v>
      </c>
      <c r="D1050" t="s">
        <v>300</v>
      </c>
      <c r="E1050" t="s">
        <v>1529</v>
      </c>
      <c r="G1050" t="s">
        <v>26</v>
      </c>
      <c r="H1050" t="s">
        <v>14</v>
      </c>
    </row>
    <row r="1051" spans="1:8" hidden="1" x14ac:dyDescent="0.2">
      <c r="A1051" t="s">
        <v>299</v>
      </c>
      <c r="B1051" t="s">
        <v>66</v>
      </c>
      <c r="C1051" t="s">
        <v>68</v>
      </c>
      <c r="D1051" t="s">
        <v>300</v>
      </c>
      <c r="E1051" t="s">
        <v>1530</v>
      </c>
      <c r="G1051" t="s">
        <v>26</v>
      </c>
      <c r="H1051" t="s">
        <v>14</v>
      </c>
    </row>
    <row r="1052" spans="1:8" hidden="1" x14ac:dyDescent="0.2">
      <c r="A1052" t="s">
        <v>299</v>
      </c>
      <c r="B1052" t="s">
        <v>66</v>
      </c>
      <c r="C1052" t="s">
        <v>68</v>
      </c>
      <c r="D1052" t="s">
        <v>300</v>
      </c>
      <c r="E1052" t="s">
        <v>1531</v>
      </c>
      <c r="G1052" t="s">
        <v>26</v>
      </c>
      <c r="H1052" t="s">
        <v>14</v>
      </c>
    </row>
    <row r="1053" spans="1:8" hidden="1" x14ac:dyDescent="0.2">
      <c r="A1053" t="s">
        <v>299</v>
      </c>
      <c r="B1053" t="s">
        <v>66</v>
      </c>
      <c r="C1053" t="s">
        <v>68</v>
      </c>
      <c r="D1053" t="s">
        <v>300</v>
      </c>
      <c r="E1053" t="s">
        <v>12</v>
      </c>
      <c r="F1053">
        <v>0.5</v>
      </c>
      <c r="G1053" t="s">
        <v>26</v>
      </c>
      <c r="H1053" t="s">
        <v>50</v>
      </c>
    </row>
    <row r="1054" spans="1:8" hidden="1" x14ac:dyDescent="0.2">
      <c r="A1054" t="s">
        <v>299</v>
      </c>
      <c r="B1054" t="s">
        <v>66</v>
      </c>
      <c r="C1054" t="s">
        <v>68</v>
      </c>
      <c r="D1054" t="s">
        <v>300</v>
      </c>
      <c r="E1054" t="s">
        <v>21</v>
      </c>
      <c r="F1054">
        <v>1.4</v>
      </c>
      <c r="G1054" t="s">
        <v>26</v>
      </c>
      <c r="H1054" t="s">
        <v>14</v>
      </c>
    </row>
    <row r="1055" spans="1:8" hidden="1" x14ac:dyDescent="0.2">
      <c r="A1055" t="s">
        <v>299</v>
      </c>
      <c r="B1055" t="s">
        <v>66</v>
      </c>
      <c r="C1055" t="s">
        <v>68</v>
      </c>
      <c r="D1055" t="s">
        <v>300</v>
      </c>
      <c r="E1055" t="s">
        <v>20</v>
      </c>
      <c r="F1055">
        <v>1.1000000000000001</v>
      </c>
      <c r="G1055" t="s">
        <v>26</v>
      </c>
      <c r="H1055" t="s">
        <v>14</v>
      </c>
    </row>
    <row r="1056" spans="1:8" hidden="1" x14ac:dyDescent="0.2">
      <c r="A1056" t="s">
        <v>299</v>
      </c>
      <c r="B1056" t="s">
        <v>66</v>
      </c>
      <c r="C1056" t="s">
        <v>68</v>
      </c>
      <c r="D1056" t="s">
        <v>300</v>
      </c>
      <c r="E1056" t="s">
        <v>19</v>
      </c>
      <c r="F1056">
        <v>1.1000000000000001</v>
      </c>
      <c r="G1056" t="s">
        <v>26</v>
      </c>
      <c r="H1056" t="s">
        <v>14</v>
      </c>
    </row>
    <row r="1057" spans="1:8" hidden="1" x14ac:dyDescent="0.2">
      <c r="A1057" t="s">
        <v>299</v>
      </c>
      <c r="B1057" t="s">
        <v>66</v>
      </c>
      <c r="C1057" t="s">
        <v>68</v>
      </c>
      <c r="D1057" t="s">
        <v>300</v>
      </c>
      <c r="E1057" t="s">
        <v>17</v>
      </c>
      <c r="F1057">
        <v>1.4</v>
      </c>
      <c r="G1057" t="s">
        <v>26</v>
      </c>
      <c r="H1057" t="s">
        <v>14</v>
      </c>
    </row>
    <row r="1058" spans="1:8" hidden="1" x14ac:dyDescent="0.2">
      <c r="A1058" t="s">
        <v>301</v>
      </c>
      <c r="B1058" t="s">
        <v>63</v>
      </c>
      <c r="C1058" t="s">
        <v>64</v>
      </c>
      <c r="D1058" t="s">
        <v>302</v>
      </c>
      <c r="E1058" t="s">
        <v>22</v>
      </c>
      <c r="F1058">
        <v>320</v>
      </c>
      <c r="G1058" t="s">
        <v>31</v>
      </c>
      <c r="H1058" t="s">
        <v>27</v>
      </c>
    </row>
    <row r="1059" spans="1:8" hidden="1" x14ac:dyDescent="0.2">
      <c r="A1059" t="s">
        <v>301</v>
      </c>
      <c r="B1059" t="s">
        <v>63</v>
      </c>
      <c r="C1059" t="s">
        <v>64</v>
      </c>
      <c r="D1059" t="s">
        <v>302</v>
      </c>
      <c r="E1059" t="s">
        <v>1528</v>
      </c>
      <c r="G1059" t="s">
        <v>31</v>
      </c>
      <c r="H1059" t="s">
        <v>27</v>
      </c>
    </row>
    <row r="1060" spans="1:8" hidden="1" x14ac:dyDescent="0.2">
      <c r="A1060" t="s">
        <v>301</v>
      </c>
      <c r="B1060" t="s">
        <v>63</v>
      </c>
      <c r="C1060" t="s">
        <v>64</v>
      </c>
      <c r="D1060" t="s">
        <v>302</v>
      </c>
      <c r="E1060" t="s">
        <v>1529</v>
      </c>
      <c r="G1060" t="s">
        <v>31</v>
      </c>
      <c r="H1060" t="s">
        <v>27</v>
      </c>
    </row>
    <row r="1061" spans="1:8" hidden="1" x14ac:dyDescent="0.2">
      <c r="A1061" t="s">
        <v>301</v>
      </c>
      <c r="B1061" t="s">
        <v>63</v>
      </c>
      <c r="C1061" t="s">
        <v>64</v>
      </c>
      <c r="D1061" t="s">
        <v>302</v>
      </c>
      <c r="E1061" t="s">
        <v>1530</v>
      </c>
      <c r="G1061" t="s">
        <v>31</v>
      </c>
      <c r="H1061" t="s">
        <v>27</v>
      </c>
    </row>
    <row r="1062" spans="1:8" hidden="1" x14ac:dyDescent="0.2">
      <c r="A1062" t="s">
        <v>301</v>
      </c>
      <c r="B1062" t="s">
        <v>63</v>
      </c>
      <c r="C1062" t="s">
        <v>64</v>
      </c>
      <c r="D1062" t="s">
        <v>302</v>
      </c>
      <c r="E1062" t="s">
        <v>1531</v>
      </c>
      <c r="G1062" t="s">
        <v>31</v>
      </c>
      <c r="H1062" t="s">
        <v>27</v>
      </c>
    </row>
    <row r="1063" spans="1:8" hidden="1" x14ac:dyDescent="0.2">
      <c r="A1063" t="s">
        <v>301</v>
      </c>
      <c r="B1063" t="s">
        <v>63</v>
      </c>
      <c r="C1063" t="s">
        <v>64</v>
      </c>
      <c r="D1063" t="s">
        <v>302</v>
      </c>
      <c r="E1063" t="s">
        <v>12</v>
      </c>
      <c r="F1063">
        <v>64</v>
      </c>
      <c r="G1063" t="s">
        <v>31</v>
      </c>
      <c r="H1063" t="s">
        <v>18</v>
      </c>
    </row>
    <row r="1064" spans="1:8" hidden="1" x14ac:dyDescent="0.2">
      <c r="A1064" t="s">
        <v>301</v>
      </c>
      <c r="B1064" t="s">
        <v>63</v>
      </c>
      <c r="C1064" t="s">
        <v>64</v>
      </c>
      <c r="D1064" t="s">
        <v>302</v>
      </c>
      <c r="E1064" t="s">
        <v>21</v>
      </c>
      <c r="F1064">
        <v>160</v>
      </c>
      <c r="G1064" t="s">
        <v>31</v>
      </c>
      <c r="H1064" t="s">
        <v>27</v>
      </c>
    </row>
    <row r="1065" spans="1:8" hidden="1" x14ac:dyDescent="0.2">
      <c r="A1065" t="s">
        <v>301</v>
      </c>
      <c r="B1065" t="s">
        <v>63</v>
      </c>
      <c r="C1065" t="s">
        <v>64</v>
      </c>
      <c r="D1065" t="s">
        <v>302</v>
      </c>
      <c r="E1065" t="s">
        <v>20</v>
      </c>
      <c r="F1065">
        <v>128</v>
      </c>
      <c r="G1065" t="s">
        <v>31</v>
      </c>
      <c r="H1065" t="s">
        <v>27</v>
      </c>
    </row>
    <row r="1066" spans="1:8" hidden="1" x14ac:dyDescent="0.2">
      <c r="A1066" t="s">
        <v>301</v>
      </c>
      <c r="B1066" t="s">
        <v>63</v>
      </c>
      <c r="C1066" t="s">
        <v>64</v>
      </c>
      <c r="D1066" t="s">
        <v>302</v>
      </c>
      <c r="E1066" t="s">
        <v>19</v>
      </c>
      <c r="F1066">
        <v>128</v>
      </c>
      <c r="G1066" t="s">
        <v>31</v>
      </c>
      <c r="H1066" t="s">
        <v>27</v>
      </c>
    </row>
    <row r="1067" spans="1:8" hidden="1" x14ac:dyDescent="0.2">
      <c r="A1067" t="s">
        <v>301</v>
      </c>
      <c r="B1067" t="s">
        <v>63</v>
      </c>
      <c r="C1067" t="s">
        <v>64</v>
      </c>
      <c r="D1067" t="s">
        <v>302</v>
      </c>
      <c r="E1067" t="s">
        <v>17</v>
      </c>
      <c r="F1067">
        <v>160</v>
      </c>
      <c r="G1067" t="s">
        <v>31</v>
      </c>
      <c r="H1067" t="s">
        <v>27</v>
      </c>
    </row>
    <row r="1068" spans="1:8" hidden="1" x14ac:dyDescent="0.2">
      <c r="A1068" t="s">
        <v>303</v>
      </c>
      <c r="B1068" t="s">
        <v>75</v>
      </c>
      <c r="C1068" t="s">
        <v>80</v>
      </c>
      <c r="D1068" t="s">
        <v>304</v>
      </c>
      <c r="E1068" t="s">
        <v>22</v>
      </c>
      <c r="F1068">
        <v>34.700000000000003</v>
      </c>
      <c r="G1068" t="s">
        <v>26</v>
      </c>
      <c r="H1068" t="s">
        <v>14</v>
      </c>
    </row>
    <row r="1069" spans="1:8" hidden="1" x14ac:dyDescent="0.2">
      <c r="A1069" t="s">
        <v>303</v>
      </c>
      <c r="B1069" t="s">
        <v>75</v>
      </c>
      <c r="C1069" t="s">
        <v>80</v>
      </c>
      <c r="D1069" t="s">
        <v>304</v>
      </c>
      <c r="E1069" t="s">
        <v>1528</v>
      </c>
      <c r="G1069" t="s">
        <v>26</v>
      </c>
      <c r="H1069" t="s">
        <v>14</v>
      </c>
    </row>
    <row r="1070" spans="1:8" hidden="1" x14ac:dyDescent="0.2">
      <c r="A1070" t="s">
        <v>303</v>
      </c>
      <c r="B1070" t="s">
        <v>75</v>
      </c>
      <c r="C1070" t="s">
        <v>80</v>
      </c>
      <c r="D1070" t="s">
        <v>304</v>
      </c>
      <c r="E1070" t="s">
        <v>1529</v>
      </c>
      <c r="G1070" t="s">
        <v>26</v>
      </c>
      <c r="H1070" t="s">
        <v>14</v>
      </c>
    </row>
    <row r="1071" spans="1:8" hidden="1" x14ac:dyDescent="0.2">
      <c r="A1071" t="s">
        <v>303</v>
      </c>
      <c r="B1071" t="s">
        <v>75</v>
      </c>
      <c r="C1071" t="s">
        <v>80</v>
      </c>
      <c r="D1071" t="s">
        <v>304</v>
      </c>
      <c r="E1071" t="s">
        <v>1530</v>
      </c>
      <c r="G1071" t="s">
        <v>26</v>
      </c>
      <c r="H1071" t="s">
        <v>14</v>
      </c>
    </row>
    <row r="1072" spans="1:8" hidden="1" x14ac:dyDescent="0.2">
      <c r="A1072" t="s">
        <v>303</v>
      </c>
      <c r="B1072" t="s">
        <v>75</v>
      </c>
      <c r="C1072" t="s">
        <v>80</v>
      </c>
      <c r="D1072" t="s">
        <v>304</v>
      </c>
      <c r="E1072" t="s">
        <v>1531</v>
      </c>
      <c r="G1072" t="s">
        <v>26</v>
      </c>
      <c r="H1072" t="s">
        <v>14</v>
      </c>
    </row>
    <row r="1073" spans="1:8" hidden="1" x14ac:dyDescent="0.2">
      <c r="A1073" t="s">
        <v>303</v>
      </c>
      <c r="B1073" t="s">
        <v>75</v>
      </c>
      <c r="C1073" t="s">
        <v>80</v>
      </c>
      <c r="D1073" t="s">
        <v>304</v>
      </c>
      <c r="E1073" t="s">
        <v>12</v>
      </c>
      <c r="F1073">
        <v>6.9</v>
      </c>
      <c r="G1073" t="s">
        <v>26</v>
      </c>
      <c r="H1073" t="s">
        <v>50</v>
      </c>
    </row>
    <row r="1074" spans="1:8" hidden="1" x14ac:dyDescent="0.2">
      <c r="A1074" t="s">
        <v>303</v>
      </c>
      <c r="B1074" t="s">
        <v>75</v>
      </c>
      <c r="C1074" t="s">
        <v>80</v>
      </c>
      <c r="D1074" t="s">
        <v>304</v>
      </c>
      <c r="E1074" t="s">
        <v>21</v>
      </c>
      <c r="F1074">
        <v>17.399999999999999</v>
      </c>
      <c r="G1074" t="s">
        <v>26</v>
      </c>
      <c r="H1074" t="s">
        <v>14</v>
      </c>
    </row>
    <row r="1075" spans="1:8" hidden="1" x14ac:dyDescent="0.2">
      <c r="A1075" t="s">
        <v>303</v>
      </c>
      <c r="B1075" t="s">
        <v>75</v>
      </c>
      <c r="C1075" t="s">
        <v>80</v>
      </c>
      <c r="D1075" t="s">
        <v>304</v>
      </c>
      <c r="E1075" t="s">
        <v>20</v>
      </c>
      <c r="F1075">
        <v>13.9</v>
      </c>
      <c r="G1075" t="s">
        <v>26</v>
      </c>
      <c r="H1075" t="s">
        <v>14</v>
      </c>
    </row>
    <row r="1076" spans="1:8" hidden="1" x14ac:dyDescent="0.2">
      <c r="A1076" t="s">
        <v>303</v>
      </c>
      <c r="B1076" t="s">
        <v>75</v>
      </c>
      <c r="C1076" t="s">
        <v>80</v>
      </c>
      <c r="D1076" t="s">
        <v>304</v>
      </c>
      <c r="E1076" t="s">
        <v>19</v>
      </c>
      <c r="F1076">
        <v>13.9</v>
      </c>
      <c r="G1076" t="s">
        <v>26</v>
      </c>
      <c r="H1076" t="s">
        <v>14</v>
      </c>
    </row>
    <row r="1077" spans="1:8" hidden="1" x14ac:dyDescent="0.2">
      <c r="A1077" t="s">
        <v>303</v>
      </c>
      <c r="B1077" t="s">
        <v>75</v>
      </c>
      <c r="C1077" t="s">
        <v>80</v>
      </c>
      <c r="D1077" t="s">
        <v>304</v>
      </c>
      <c r="E1077" t="s">
        <v>17</v>
      </c>
      <c r="F1077">
        <v>17.399999999999999</v>
      </c>
      <c r="G1077" t="s">
        <v>26</v>
      </c>
      <c r="H1077" t="s">
        <v>14</v>
      </c>
    </row>
    <row r="1078" spans="1:8" hidden="1" x14ac:dyDescent="0.2">
      <c r="A1078" t="s">
        <v>305</v>
      </c>
      <c r="B1078" t="s">
        <v>75</v>
      </c>
      <c r="C1078" t="s">
        <v>82</v>
      </c>
      <c r="D1078" t="s">
        <v>306</v>
      </c>
      <c r="E1078" t="s">
        <v>22</v>
      </c>
      <c r="F1078">
        <v>320</v>
      </c>
      <c r="G1078" t="s">
        <v>26</v>
      </c>
      <c r="H1078" t="s">
        <v>14</v>
      </c>
    </row>
    <row r="1079" spans="1:8" hidden="1" x14ac:dyDescent="0.2">
      <c r="A1079" t="s">
        <v>305</v>
      </c>
      <c r="B1079" t="s">
        <v>75</v>
      </c>
      <c r="C1079" t="s">
        <v>82</v>
      </c>
      <c r="D1079" t="s">
        <v>306</v>
      </c>
      <c r="E1079" t="s">
        <v>1528</v>
      </c>
      <c r="G1079" t="s">
        <v>26</v>
      </c>
      <c r="H1079" t="s">
        <v>14</v>
      </c>
    </row>
    <row r="1080" spans="1:8" hidden="1" x14ac:dyDescent="0.2">
      <c r="A1080" t="s">
        <v>305</v>
      </c>
      <c r="B1080" t="s">
        <v>75</v>
      </c>
      <c r="C1080" t="s">
        <v>82</v>
      </c>
      <c r="D1080" t="s">
        <v>306</v>
      </c>
      <c r="E1080" t="s">
        <v>1529</v>
      </c>
      <c r="G1080" t="s">
        <v>26</v>
      </c>
      <c r="H1080" t="s">
        <v>14</v>
      </c>
    </row>
    <row r="1081" spans="1:8" hidden="1" x14ac:dyDescent="0.2">
      <c r="A1081" t="s">
        <v>305</v>
      </c>
      <c r="B1081" t="s">
        <v>75</v>
      </c>
      <c r="C1081" t="s">
        <v>82</v>
      </c>
      <c r="D1081" t="s">
        <v>306</v>
      </c>
      <c r="E1081" t="s">
        <v>1530</v>
      </c>
      <c r="G1081" t="s">
        <v>26</v>
      </c>
      <c r="H1081" t="s">
        <v>14</v>
      </c>
    </row>
    <row r="1082" spans="1:8" hidden="1" x14ac:dyDescent="0.2">
      <c r="A1082" t="s">
        <v>305</v>
      </c>
      <c r="B1082" t="s">
        <v>75</v>
      </c>
      <c r="C1082" t="s">
        <v>82</v>
      </c>
      <c r="D1082" t="s">
        <v>306</v>
      </c>
      <c r="E1082" t="s">
        <v>1531</v>
      </c>
      <c r="G1082" t="s">
        <v>26</v>
      </c>
      <c r="H1082" t="s">
        <v>14</v>
      </c>
    </row>
    <row r="1083" spans="1:8" hidden="1" x14ac:dyDescent="0.2">
      <c r="A1083" t="s">
        <v>305</v>
      </c>
      <c r="B1083" t="s">
        <v>75</v>
      </c>
      <c r="C1083" t="s">
        <v>82</v>
      </c>
      <c r="D1083" t="s">
        <v>306</v>
      </c>
      <c r="E1083" t="s">
        <v>12</v>
      </c>
      <c r="F1083">
        <v>64</v>
      </c>
      <c r="G1083" t="s">
        <v>26</v>
      </c>
      <c r="H1083" t="s">
        <v>50</v>
      </c>
    </row>
    <row r="1084" spans="1:8" hidden="1" x14ac:dyDescent="0.2">
      <c r="A1084" t="s">
        <v>305</v>
      </c>
      <c r="B1084" t="s">
        <v>75</v>
      </c>
      <c r="C1084" t="s">
        <v>82</v>
      </c>
      <c r="D1084" t="s">
        <v>306</v>
      </c>
      <c r="E1084" t="s">
        <v>21</v>
      </c>
      <c r="F1084">
        <v>160</v>
      </c>
      <c r="G1084" t="s">
        <v>26</v>
      </c>
      <c r="H1084" t="s">
        <v>14</v>
      </c>
    </row>
    <row r="1085" spans="1:8" hidden="1" x14ac:dyDescent="0.2">
      <c r="A1085" t="s">
        <v>305</v>
      </c>
      <c r="B1085" t="s">
        <v>75</v>
      </c>
      <c r="C1085" t="s">
        <v>82</v>
      </c>
      <c r="D1085" t="s">
        <v>306</v>
      </c>
      <c r="E1085" t="s">
        <v>20</v>
      </c>
      <c r="F1085">
        <v>128</v>
      </c>
      <c r="G1085" t="s">
        <v>26</v>
      </c>
      <c r="H1085" t="s">
        <v>14</v>
      </c>
    </row>
    <row r="1086" spans="1:8" hidden="1" x14ac:dyDescent="0.2">
      <c r="A1086" t="s">
        <v>305</v>
      </c>
      <c r="B1086" t="s">
        <v>75</v>
      </c>
      <c r="C1086" t="s">
        <v>82</v>
      </c>
      <c r="D1086" t="s">
        <v>306</v>
      </c>
      <c r="E1086" t="s">
        <v>19</v>
      </c>
      <c r="F1086">
        <v>128</v>
      </c>
      <c r="G1086" t="s">
        <v>26</v>
      </c>
      <c r="H1086" t="s">
        <v>14</v>
      </c>
    </row>
    <row r="1087" spans="1:8" hidden="1" x14ac:dyDescent="0.2">
      <c r="A1087" t="s">
        <v>305</v>
      </c>
      <c r="B1087" t="s">
        <v>75</v>
      </c>
      <c r="C1087" t="s">
        <v>82</v>
      </c>
      <c r="D1087" t="s">
        <v>306</v>
      </c>
      <c r="E1087" t="s">
        <v>17</v>
      </c>
      <c r="F1087">
        <v>160</v>
      </c>
      <c r="G1087" t="s">
        <v>26</v>
      </c>
      <c r="H1087" t="s">
        <v>14</v>
      </c>
    </row>
    <row r="1088" spans="1:8" hidden="1" x14ac:dyDescent="0.2">
      <c r="A1088" t="s">
        <v>307</v>
      </c>
      <c r="B1088" t="s">
        <v>75</v>
      </c>
      <c r="C1088" t="s">
        <v>78</v>
      </c>
      <c r="D1088" t="s">
        <v>308</v>
      </c>
      <c r="E1088" t="s">
        <v>22</v>
      </c>
      <c r="F1088">
        <v>26.7</v>
      </c>
      <c r="G1088" t="s">
        <v>31</v>
      </c>
      <c r="H1088" t="s">
        <v>14</v>
      </c>
    </row>
    <row r="1089" spans="1:8" hidden="1" x14ac:dyDescent="0.2">
      <c r="A1089" t="s">
        <v>307</v>
      </c>
      <c r="B1089" t="s">
        <v>75</v>
      </c>
      <c r="C1089" t="s">
        <v>78</v>
      </c>
      <c r="D1089" t="s">
        <v>308</v>
      </c>
      <c r="E1089" t="s">
        <v>1528</v>
      </c>
      <c r="G1089" t="s">
        <v>31</v>
      </c>
      <c r="H1089" t="s">
        <v>14</v>
      </c>
    </row>
    <row r="1090" spans="1:8" hidden="1" x14ac:dyDescent="0.2">
      <c r="A1090" t="s">
        <v>307</v>
      </c>
      <c r="B1090" t="s">
        <v>75</v>
      </c>
      <c r="C1090" t="s">
        <v>78</v>
      </c>
      <c r="D1090" t="s">
        <v>308</v>
      </c>
      <c r="E1090" t="s">
        <v>1529</v>
      </c>
      <c r="G1090" t="s">
        <v>31</v>
      </c>
      <c r="H1090" t="s">
        <v>14</v>
      </c>
    </row>
    <row r="1091" spans="1:8" hidden="1" x14ac:dyDescent="0.2">
      <c r="A1091" t="s">
        <v>307</v>
      </c>
      <c r="B1091" t="s">
        <v>75</v>
      </c>
      <c r="C1091" t="s">
        <v>78</v>
      </c>
      <c r="D1091" t="s">
        <v>308</v>
      </c>
      <c r="E1091" t="s">
        <v>1530</v>
      </c>
      <c r="G1091" t="s">
        <v>31</v>
      </c>
      <c r="H1091" t="s">
        <v>14</v>
      </c>
    </row>
    <row r="1092" spans="1:8" hidden="1" x14ac:dyDescent="0.2">
      <c r="A1092" t="s">
        <v>307</v>
      </c>
      <c r="B1092" t="s">
        <v>75</v>
      </c>
      <c r="C1092" t="s">
        <v>78</v>
      </c>
      <c r="D1092" t="s">
        <v>308</v>
      </c>
      <c r="E1092" t="s">
        <v>1531</v>
      </c>
      <c r="G1092" t="s">
        <v>31</v>
      </c>
      <c r="H1092" t="s">
        <v>14</v>
      </c>
    </row>
    <row r="1093" spans="1:8" hidden="1" x14ac:dyDescent="0.2">
      <c r="A1093" t="s">
        <v>307</v>
      </c>
      <c r="B1093" t="s">
        <v>75</v>
      </c>
      <c r="C1093" t="s">
        <v>78</v>
      </c>
      <c r="D1093" t="s">
        <v>308</v>
      </c>
      <c r="E1093" t="s">
        <v>12</v>
      </c>
      <c r="F1093">
        <v>5.3</v>
      </c>
      <c r="G1093" t="s">
        <v>31</v>
      </c>
      <c r="H1093" t="s">
        <v>50</v>
      </c>
    </row>
    <row r="1094" spans="1:8" hidden="1" x14ac:dyDescent="0.2">
      <c r="A1094" t="s">
        <v>307</v>
      </c>
      <c r="B1094" t="s">
        <v>75</v>
      </c>
      <c r="C1094" t="s">
        <v>78</v>
      </c>
      <c r="D1094" t="s">
        <v>308</v>
      </c>
      <c r="E1094" t="s">
        <v>21</v>
      </c>
      <c r="F1094">
        <v>13.4</v>
      </c>
      <c r="G1094" t="s">
        <v>31</v>
      </c>
      <c r="H1094" t="s">
        <v>14</v>
      </c>
    </row>
    <row r="1095" spans="1:8" hidden="1" x14ac:dyDescent="0.2">
      <c r="A1095" t="s">
        <v>307</v>
      </c>
      <c r="B1095" t="s">
        <v>75</v>
      </c>
      <c r="C1095" t="s">
        <v>78</v>
      </c>
      <c r="D1095" t="s">
        <v>308</v>
      </c>
      <c r="E1095" t="s">
        <v>20</v>
      </c>
      <c r="F1095">
        <v>10.7</v>
      </c>
      <c r="G1095" t="s">
        <v>31</v>
      </c>
      <c r="H1095" t="s">
        <v>14</v>
      </c>
    </row>
    <row r="1096" spans="1:8" hidden="1" x14ac:dyDescent="0.2">
      <c r="A1096" t="s">
        <v>307</v>
      </c>
      <c r="B1096" t="s">
        <v>75</v>
      </c>
      <c r="C1096" t="s">
        <v>78</v>
      </c>
      <c r="D1096" t="s">
        <v>308</v>
      </c>
      <c r="E1096" t="s">
        <v>19</v>
      </c>
      <c r="F1096">
        <v>10.7</v>
      </c>
      <c r="G1096" t="s">
        <v>31</v>
      </c>
      <c r="H1096" t="s">
        <v>14</v>
      </c>
    </row>
    <row r="1097" spans="1:8" hidden="1" x14ac:dyDescent="0.2">
      <c r="A1097" t="s">
        <v>307</v>
      </c>
      <c r="B1097" t="s">
        <v>75</v>
      </c>
      <c r="C1097" t="s">
        <v>78</v>
      </c>
      <c r="D1097" t="s">
        <v>308</v>
      </c>
      <c r="E1097" t="s">
        <v>17</v>
      </c>
      <c r="F1097">
        <v>13.4</v>
      </c>
      <c r="G1097" t="s">
        <v>31</v>
      </c>
      <c r="H1097" t="s">
        <v>14</v>
      </c>
    </row>
    <row r="1098" spans="1:8" hidden="1" x14ac:dyDescent="0.2">
      <c r="A1098" t="s">
        <v>309</v>
      </c>
      <c r="B1098" t="s">
        <v>75</v>
      </c>
      <c r="C1098" t="s">
        <v>80</v>
      </c>
      <c r="D1098" t="s">
        <v>310</v>
      </c>
      <c r="E1098" t="s">
        <v>22</v>
      </c>
      <c r="F1098">
        <v>213.3</v>
      </c>
      <c r="G1098" t="s">
        <v>31</v>
      </c>
      <c r="H1098" t="s">
        <v>14</v>
      </c>
    </row>
    <row r="1099" spans="1:8" hidden="1" x14ac:dyDescent="0.2">
      <c r="A1099" t="s">
        <v>309</v>
      </c>
      <c r="B1099" t="s">
        <v>75</v>
      </c>
      <c r="C1099" t="s">
        <v>80</v>
      </c>
      <c r="D1099" t="s">
        <v>310</v>
      </c>
      <c r="E1099" t="s">
        <v>1528</v>
      </c>
      <c r="G1099" t="s">
        <v>31</v>
      </c>
      <c r="H1099" t="s">
        <v>14</v>
      </c>
    </row>
    <row r="1100" spans="1:8" hidden="1" x14ac:dyDescent="0.2">
      <c r="A1100" t="s">
        <v>309</v>
      </c>
      <c r="B1100" t="s">
        <v>75</v>
      </c>
      <c r="C1100" t="s">
        <v>80</v>
      </c>
      <c r="D1100" t="s">
        <v>310</v>
      </c>
      <c r="E1100" t="s">
        <v>1529</v>
      </c>
      <c r="G1100" t="s">
        <v>31</v>
      </c>
      <c r="H1100" t="s">
        <v>14</v>
      </c>
    </row>
    <row r="1101" spans="1:8" hidden="1" x14ac:dyDescent="0.2">
      <c r="A1101" t="s">
        <v>309</v>
      </c>
      <c r="B1101" t="s">
        <v>75</v>
      </c>
      <c r="C1101" t="s">
        <v>80</v>
      </c>
      <c r="D1101" t="s">
        <v>310</v>
      </c>
      <c r="E1101" t="s">
        <v>1530</v>
      </c>
      <c r="G1101" t="s">
        <v>31</v>
      </c>
      <c r="H1101" t="s">
        <v>14</v>
      </c>
    </row>
    <row r="1102" spans="1:8" hidden="1" x14ac:dyDescent="0.2">
      <c r="A1102" t="s">
        <v>309</v>
      </c>
      <c r="B1102" t="s">
        <v>75</v>
      </c>
      <c r="C1102" t="s">
        <v>80</v>
      </c>
      <c r="D1102" t="s">
        <v>310</v>
      </c>
      <c r="E1102" t="s">
        <v>1531</v>
      </c>
      <c r="G1102" t="s">
        <v>31</v>
      </c>
      <c r="H1102" t="s">
        <v>14</v>
      </c>
    </row>
    <row r="1103" spans="1:8" hidden="1" x14ac:dyDescent="0.2">
      <c r="A1103" t="s">
        <v>309</v>
      </c>
      <c r="B1103" t="s">
        <v>75</v>
      </c>
      <c r="C1103" t="s">
        <v>80</v>
      </c>
      <c r="D1103" t="s">
        <v>310</v>
      </c>
      <c r="E1103" t="s">
        <v>12</v>
      </c>
      <c r="F1103">
        <v>42.7</v>
      </c>
      <c r="G1103" t="s">
        <v>31</v>
      </c>
      <c r="H1103" t="s">
        <v>50</v>
      </c>
    </row>
    <row r="1104" spans="1:8" hidden="1" x14ac:dyDescent="0.2">
      <c r="A1104" t="s">
        <v>309</v>
      </c>
      <c r="B1104" t="s">
        <v>75</v>
      </c>
      <c r="C1104" t="s">
        <v>80</v>
      </c>
      <c r="D1104" t="s">
        <v>310</v>
      </c>
      <c r="E1104" t="s">
        <v>21</v>
      </c>
      <c r="F1104">
        <v>106.6</v>
      </c>
      <c r="G1104" t="s">
        <v>31</v>
      </c>
      <c r="H1104" t="s">
        <v>14</v>
      </c>
    </row>
    <row r="1105" spans="1:8" hidden="1" x14ac:dyDescent="0.2">
      <c r="A1105" t="s">
        <v>309</v>
      </c>
      <c r="B1105" t="s">
        <v>75</v>
      </c>
      <c r="C1105" t="s">
        <v>80</v>
      </c>
      <c r="D1105" t="s">
        <v>310</v>
      </c>
      <c r="E1105" t="s">
        <v>20</v>
      </c>
      <c r="F1105">
        <v>85.3</v>
      </c>
      <c r="G1105" t="s">
        <v>31</v>
      </c>
      <c r="H1105" t="s">
        <v>14</v>
      </c>
    </row>
    <row r="1106" spans="1:8" hidden="1" x14ac:dyDescent="0.2">
      <c r="A1106" t="s">
        <v>309</v>
      </c>
      <c r="B1106" t="s">
        <v>75</v>
      </c>
      <c r="C1106" t="s">
        <v>80</v>
      </c>
      <c r="D1106" t="s">
        <v>310</v>
      </c>
      <c r="E1106" t="s">
        <v>19</v>
      </c>
      <c r="F1106">
        <v>85.3</v>
      </c>
      <c r="G1106" t="s">
        <v>31</v>
      </c>
      <c r="H1106" t="s">
        <v>14</v>
      </c>
    </row>
    <row r="1107" spans="1:8" hidden="1" x14ac:dyDescent="0.2">
      <c r="A1107" t="s">
        <v>309</v>
      </c>
      <c r="B1107" t="s">
        <v>75</v>
      </c>
      <c r="C1107" t="s">
        <v>80</v>
      </c>
      <c r="D1107" t="s">
        <v>310</v>
      </c>
      <c r="E1107" t="s">
        <v>17</v>
      </c>
      <c r="F1107">
        <v>106.6</v>
      </c>
      <c r="G1107" t="s">
        <v>31</v>
      </c>
      <c r="H1107" t="s">
        <v>14</v>
      </c>
    </row>
    <row r="1108" spans="1:8" hidden="1" x14ac:dyDescent="0.2">
      <c r="A1108" t="s">
        <v>311</v>
      </c>
      <c r="B1108" t="s">
        <v>56</v>
      </c>
      <c r="C1108" t="s">
        <v>60</v>
      </c>
      <c r="D1108" t="s">
        <v>312</v>
      </c>
      <c r="E1108" t="s">
        <v>22</v>
      </c>
      <c r="F1108">
        <v>58.7</v>
      </c>
      <c r="G1108" t="s">
        <v>26</v>
      </c>
      <c r="H1108" t="s">
        <v>14</v>
      </c>
    </row>
    <row r="1109" spans="1:8" hidden="1" x14ac:dyDescent="0.2">
      <c r="A1109" t="s">
        <v>311</v>
      </c>
      <c r="B1109" t="s">
        <v>56</v>
      </c>
      <c r="C1109" t="s">
        <v>60</v>
      </c>
      <c r="D1109" t="s">
        <v>312</v>
      </c>
      <c r="E1109" t="s">
        <v>1528</v>
      </c>
      <c r="G1109" t="s">
        <v>26</v>
      </c>
      <c r="H1109" t="s">
        <v>14</v>
      </c>
    </row>
    <row r="1110" spans="1:8" hidden="1" x14ac:dyDescent="0.2">
      <c r="A1110" t="s">
        <v>311</v>
      </c>
      <c r="B1110" t="s">
        <v>56</v>
      </c>
      <c r="C1110" t="s">
        <v>60</v>
      </c>
      <c r="D1110" t="s">
        <v>312</v>
      </c>
      <c r="E1110" t="s">
        <v>1529</v>
      </c>
      <c r="G1110" t="s">
        <v>26</v>
      </c>
      <c r="H1110" t="s">
        <v>14</v>
      </c>
    </row>
    <row r="1111" spans="1:8" hidden="1" x14ac:dyDescent="0.2">
      <c r="A1111" t="s">
        <v>311</v>
      </c>
      <c r="B1111" t="s">
        <v>56</v>
      </c>
      <c r="C1111" t="s">
        <v>60</v>
      </c>
      <c r="D1111" t="s">
        <v>312</v>
      </c>
      <c r="E1111" t="s">
        <v>1530</v>
      </c>
      <c r="G1111" t="s">
        <v>26</v>
      </c>
      <c r="H1111" t="s">
        <v>14</v>
      </c>
    </row>
    <row r="1112" spans="1:8" hidden="1" x14ac:dyDescent="0.2">
      <c r="A1112" t="s">
        <v>311</v>
      </c>
      <c r="B1112" t="s">
        <v>56</v>
      </c>
      <c r="C1112" t="s">
        <v>60</v>
      </c>
      <c r="D1112" t="s">
        <v>312</v>
      </c>
      <c r="E1112" t="s">
        <v>1531</v>
      </c>
      <c r="G1112" t="s">
        <v>26</v>
      </c>
      <c r="H1112" t="s">
        <v>14</v>
      </c>
    </row>
    <row r="1113" spans="1:8" hidden="1" x14ac:dyDescent="0.2">
      <c r="A1113" t="s">
        <v>311</v>
      </c>
      <c r="B1113" t="s">
        <v>56</v>
      </c>
      <c r="C1113" t="s">
        <v>60</v>
      </c>
      <c r="D1113" t="s">
        <v>312</v>
      </c>
      <c r="E1113" t="s">
        <v>12</v>
      </c>
      <c r="F1113">
        <v>11.7</v>
      </c>
      <c r="G1113" t="s">
        <v>26</v>
      </c>
      <c r="H1113" t="s">
        <v>50</v>
      </c>
    </row>
    <row r="1114" spans="1:8" hidden="1" x14ac:dyDescent="0.2">
      <c r="A1114" t="s">
        <v>311</v>
      </c>
      <c r="B1114" t="s">
        <v>56</v>
      </c>
      <c r="C1114" t="s">
        <v>60</v>
      </c>
      <c r="D1114" t="s">
        <v>312</v>
      </c>
      <c r="E1114" t="s">
        <v>21</v>
      </c>
      <c r="F1114">
        <v>29.4</v>
      </c>
      <c r="G1114" t="s">
        <v>26</v>
      </c>
      <c r="H1114" t="s">
        <v>14</v>
      </c>
    </row>
    <row r="1115" spans="1:8" hidden="1" x14ac:dyDescent="0.2">
      <c r="A1115" t="s">
        <v>311</v>
      </c>
      <c r="B1115" t="s">
        <v>56</v>
      </c>
      <c r="C1115" t="s">
        <v>60</v>
      </c>
      <c r="D1115" t="s">
        <v>312</v>
      </c>
      <c r="E1115" t="s">
        <v>20</v>
      </c>
      <c r="F1115">
        <v>23.5</v>
      </c>
      <c r="G1115" t="s">
        <v>26</v>
      </c>
      <c r="H1115" t="s">
        <v>14</v>
      </c>
    </row>
    <row r="1116" spans="1:8" hidden="1" x14ac:dyDescent="0.2">
      <c r="A1116" t="s">
        <v>311</v>
      </c>
      <c r="B1116" t="s">
        <v>56</v>
      </c>
      <c r="C1116" t="s">
        <v>60</v>
      </c>
      <c r="D1116" t="s">
        <v>312</v>
      </c>
      <c r="E1116" t="s">
        <v>19</v>
      </c>
      <c r="F1116">
        <v>23.5</v>
      </c>
      <c r="G1116" t="s">
        <v>26</v>
      </c>
      <c r="H1116" t="s">
        <v>14</v>
      </c>
    </row>
    <row r="1117" spans="1:8" hidden="1" x14ac:dyDescent="0.2">
      <c r="A1117" t="s">
        <v>311</v>
      </c>
      <c r="B1117" t="s">
        <v>56</v>
      </c>
      <c r="C1117" t="s">
        <v>60</v>
      </c>
      <c r="D1117" t="s">
        <v>312</v>
      </c>
      <c r="E1117" t="s">
        <v>17</v>
      </c>
      <c r="F1117">
        <v>29.4</v>
      </c>
      <c r="G1117" t="s">
        <v>26</v>
      </c>
      <c r="H1117" t="s">
        <v>14</v>
      </c>
    </row>
    <row r="1118" spans="1:8" hidden="1" x14ac:dyDescent="0.2">
      <c r="A1118" t="s">
        <v>313</v>
      </c>
      <c r="B1118" t="s">
        <v>66</v>
      </c>
      <c r="C1118" t="s">
        <v>71</v>
      </c>
      <c r="D1118" t="s">
        <v>314</v>
      </c>
      <c r="E1118" t="s">
        <v>22</v>
      </c>
      <c r="F1118">
        <v>10.7</v>
      </c>
      <c r="G1118" t="s">
        <v>26</v>
      </c>
      <c r="H1118" t="s">
        <v>14</v>
      </c>
    </row>
    <row r="1119" spans="1:8" hidden="1" x14ac:dyDescent="0.2">
      <c r="A1119" t="s">
        <v>313</v>
      </c>
      <c r="B1119" t="s">
        <v>66</v>
      </c>
      <c r="C1119" t="s">
        <v>71</v>
      </c>
      <c r="D1119" t="s">
        <v>314</v>
      </c>
      <c r="E1119" t="s">
        <v>1528</v>
      </c>
      <c r="G1119" t="s">
        <v>26</v>
      </c>
      <c r="H1119" t="s">
        <v>14</v>
      </c>
    </row>
    <row r="1120" spans="1:8" hidden="1" x14ac:dyDescent="0.2">
      <c r="A1120" t="s">
        <v>313</v>
      </c>
      <c r="B1120" t="s">
        <v>66</v>
      </c>
      <c r="C1120" t="s">
        <v>71</v>
      </c>
      <c r="D1120" t="s">
        <v>314</v>
      </c>
      <c r="E1120" t="s">
        <v>1529</v>
      </c>
      <c r="G1120" t="s">
        <v>26</v>
      </c>
      <c r="H1120" t="s">
        <v>14</v>
      </c>
    </row>
    <row r="1121" spans="1:8" hidden="1" x14ac:dyDescent="0.2">
      <c r="A1121" t="s">
        <v>313</v>
      </c>
      <c r="B1121" t="s">
        <v>66</v>
      </c>
      <c r="C1121" t="s">
        <v>71</v>
      </c>
      <c r="D1121" t="s">
        <v>314</v>
      </c>
      <c r="E1121" t="s">
        <v>1530</v>
      </c>
      <c r="G1121" t="s">
        <v>26</v>
      </c>
      <c r="H1121" t="s">
        <v>14</v>
      </c>
    </row>
    <row r="1122" spans="1:8" hidden="1" x14ac:dyDescent="0.2">
      <c r="A1122" t="s">
        <v>313</v>
      </c>
      <c r="B1122" t="s">
        <v>66</v>
      </c>
      <c r="C1122" t="s">
        <v>71</v>
      </c>
      <c r="D1122" t="s">
        <v>314</v>
      </c>
      <c r="E1122" t="s">
        <v>1531</v>
      </c>
      <c r="G1122" t="s">
        <v>26</v>
      </c>
      <c r="H1122" t="s">
        <v>14</v>
      </c>
    </row>
    <row r="1123" spans="1:8" hidden="1" x14ac:dyDescent="0.2">
      <c r="A1123" t="s">
        <v>313</v>
      </c>
      <c r="B1123" t="s">
        <v>66</v>
      </c>
      <c r="C1123" t="s">
        <v>71</v>
      </c>
      <c r="D1123" t="s">
        <v>314</v>
      </c>
      <c r="E1123" t="s">
        <v>12</v>
      </c>
      <c r="F1123">
        <v>2.1</v>
      </c>
      <c r="G1123" t="s">
        <v>26</v>
      </c>
      <c r="H1123" t="s">
        <v>50</v>
      </c>
    </row>
    <row r="1124" spans="1:8" hidden="1" x14ac:dyDescent="0.2">
      <c r="A1124" t="s">
        <v>313</v>
      </c>
      <c r="B1124" t="s">
        <v>66</v>
      </c>
      <c r="C1124" t="s">
        <v>71</v>
      </c>
      <c r="D1124" t="s">
        <v>314</v>
      </c>
      <c r="E1124" t="s">
        <v>21</v>
      </c>
      <c r="F1124">
        <v>5.4</v>
      </c>
      <c r="G1124" t="s">
        <v>26</v>
      </c>
      <c r="H1124" t="s">
        <v>14</v>
      </c>
    </row>
    <row r="1125" spans="1:8" hidden="1" x14ac:dyDescent="0.2">
      <c r="A1125" t="s">
        <v>313</v>
      </c>
      <c r="B1125" t="s">
        <v>66</v>
      </c>
      <c r="C1125" t="s">
        <v>71</v>
      </c>
      <c r="D1125" t="s">
        <v>314</v>
      </c>
      <c r="E1125" t="s">
        <v>20</v>
      </c>
      <c r="F1125">
        <v>4.3</v>
      </c>
      <c r="G1125" t="s">
        <v>26</v>
      </c>
      <c r="H1125" t="s">
        <v>14</v>
      </c>
    </row>
    <row r="1126" spans="1:8" hidden="1" x14ac:dyDescent="0.2">
      <c r="A1126" t="s">
        <v>313</v>
      </c>
      <c r="B1126" t="s">
        <v>66</v>
      </c>
      <c r="C1126" t="s">
        <v>71</v>
      </c>
      <c r="D1126" t="s">
        <v>314</v>
      </c>
      <c r="E1126" t="s">
        <v>19</v>
      </c>
      <c r="F1126">
        <v>4.3</v>
      </c>
      <c r="G1126" t="s">
        <v>26</v>
      </c>
      <c r="H1126" t="s">
        <v>14</v>
      </c>
    </row>
    <row r="1127" spans="1:8" hidden="1" x14ac:dyDescent="0.2">
      <c r="A1127" t="s">
        <v>313</v>
      </c>
      <c r="B1127" t="s">
        <v>66</v>
      </c>
      <c r="C1127" t="s">
        <v>71</v>
      </c>
      <c r="D1127" t="s">
        <v>314</v>
      </c>
      <c r="E1127" t="s">
        <v>17</v>
      </c>
      <c r="F1127">
        <v>5.4</v>
      </c>
      <c r="G1127" t="s">
        <v>26</v>
      </c>
      <c r="H1127" t="s">
        <v>14</v>
      </c>
    </row>
    <row r="1128" spans="1:8" hidden="1" x14ac:dyDescent="0.2">
      <c r="A1128" t="s">
        <v>315</v>
      </c>
      <c r="B1128" t="s">
        <v>66</v>
      </c>
      <c r="C1128" t="s">
        <v>71</v>
      </c>
      <c r="D1128" t="s">
        <v>316</v>
      </c>
      <c r="E1128" t="s">
        <v>22</v>
      </c>
      <c r="F1128">
        <v>10.7</v>
      </c>
      <c r="G1128" t="s">
        <v>26</v>
      </c>
      <c r="H1128" t="s">
        <v>14</v>
      </c>
    </row>
    <row r="1129" spans="1:8" hidden="1" x14ac:dyDescent="0.2">
      <c r="A1129" t="s">
        <v>315</v>
      </c>
      <c r="B1129" t="s">
        <v>66</v>
      </c>
      <c r="C1129" t="s">
        <v>71</v>
      </c>
      <c r="D1129" t="s">
        <v>316</v>
      </c>
      <c r="E1129" t="s">
        <v>1528</v>
      </c>
      <c r="G1129" t="s">
        <v>26</v>
      </c>
      <c r="H1129" t="s">
        <v>14</v>
      </c>
    </row>
    <row r="1130" spans="1:8" hidden="1" x14ac:dyDescent="0.2">
      <c r="A1130" t="s">
        <v>315</v>
      </c>
      <c r="B1130" t="s">
        <v>66</v>
      </c>
      <c r="C1130" t="s">
        <v>71</v>
      </c>
      <c r="D1130" t="s">
        <v>316</v>
      </c>
      <c r="E1130" t="s">
        <v>1529</v>
      </c>
      <c r="G1130" t="s">
        <v>26</v>
      </c>
      <c r="H1130" t="s">
        <v>14</v>
      </c>
    </row>
    <row r="1131" spans="1:8" hidden="1" x14ac:dyDescent="0.2">
      <c r="A1131" t="s">
        <v>315</v>
      </c>
      <c r="B1131" t="s">
        <v>66</v>
      </c>
      <c r="C1131" t="s">
        <v>71</v>
      </c>
      <c r="D1131" t="s">
        <v>316</v>
      </c>
      <c r="E1131" t="s">
        <v>1530</v>
      </c>
      <c r="G1131" t="s">
        <v>26</v>
      </c>
      <c r="H1131" t="s">
        <v>14</v>
      </c>
    </row>
    <row r="1132" spans="1:8" hidden="1" x14ac:dyDescent="0.2">
      <c r="A1132" t="s">
        <v>315</v>
      </c>
      <c r="B1132" t="s">
        <v>66</v>
      </c>
      <c r="C1132" t="s">
        <v>71</v>
      </c>
      <c r="D1132" t="s">
        <v>316</v>
      </c>
      <c r="E1132" t="s">
        <v>1531</v>
      </c>
      <c r="G1132" t="s">
        <v>26</v>
      </c>
      <c r="H1132" t="s">
        <v>14</v>
      </c>
    </row>
    <row r="1133" spans="1:8" hidden="1" x14ac:dyDescent="0.2">
      <c r="A1133" t="s">
        <v>315</v>
      </c>
      <c r="B1133" t="s">
        <v>66</v>
      </c>
      <c r="C1133" t="s">
        <v>71</v>
      </c>
      <c r="D1133" t="s">
        <v>316</v>
      </c>
      <c r="E1133" t="s">
        <v>12</v>
      </c>
      <c r="F1133">
        <v>2.1</v>
      </c>
      <c r="G1133" t="s">
        <v>26</v>
      </c>
      <c r="H1133" t="s">
        <v>50</v>
      </c>
    </row>
    <row r="1134" spans="1:8" hidden="1" x14ac:dyDescent="0.2">
      <c r="A1134" t="s">
        <v>315</v>
      </c>
      <c r="B1134" t="s">
        <v>66</v>
      </c>
      <c r="C1134" t="s">
        <v>71</v>
      </c>
      <c r="D1134" t="s">
        <v>316</v>
      </c>
      <c r="E1134" t="s">
        <v>21</v>
      </c>
      <c r="F1134">
        <v>5.4</v>
      </c>
      <c r="G1134" t="s">
        <v>26</v>
      </c>
      <c r="H1134" t="s">
        <v>14</v>
      </c>
    </row>
    <row r="1135" spans="1:8" hidden="1" x14ac:dyDescent="0.2">
      <c r="A1135" t="s">
        <v>315</v>
      </c>
      <c r="B1135" t="s">
        <v>66</v>
      </c>
      <c r="C1135" t="s">
        <v>71</v>
      </c>
      <c r="D1135" t="s">
        <v>316</v>
      </c>
      <c r="E1135" t="s">
        <v>20</v>
      </c>
      <c r="F1135">
        <v>4.3</v>
      </c>
      <c r="G1135" t="s">
        <v>26</v>
      </c>
      <c r="H1135" t="s">
        <v>14</v>
      </c>
    </row>
    <row r="1136" spans="1:8" hidden="1" x14ac:dyDescent="0.2">
      <c r="A1136" t="s">
        <v>315</v>
      </c>
      <c r="B1136" t="s">
        <v>66</v>
      </c>
      <c r="C1136" t="s">
        <v>71</v>
      </c>
      <c r="D1136" t="s">
        <v>316</v>
      </c>
      <c r="E1136" t="s">
        <v>19</v>
      </c>
      <c r="F1136">
        <v>4.3</v>
      </c>
      <c r="G1136" t="s">
        <v>26</v>
      </c>
      <c r="H1136" t="s">
        <v>14</v>
      </c>
    </row>
    <row r="1137" spans="1:8" hidden="1" x14ac:dyDescent="0.2">
      <c r="A1137" t="s">
        <v>315</v>
      </c>
      <c r="B1137" t="s">
        <v>66</v>
      </c>
      <c r="C1137" t="s">
        <v>71</v>
      </c>
      <c r="D1137" t="s">
        <v>316</v>
      </c>
      <c r="E1137" t="s">
        <v>17</v>
      </c>
      <c r="F1137">
        <v>5.4</v>
      </c>
      <c r="G1137" t="s">
        <v>26</v>
      </c>
      <c r="H1137" t="s">
        <v>14</v>
      </c>
    </row>
    <row r="1138" spans="1:8" x14ac:dyDescent="0.2">
      <c r="A1138" t="s">
        <v>317</v>
      </c>
      <c r="B1138" t="s">
        <v>66</v>
      </c>
      <c r="C1138" t="s">
        <v>70</v>
      </c>
      <c r="D1138" t="s">
        <v>318</v>
      </c>
      <c r="E1138" t="s">
        <v>22</v>
      </c>
      <c r="F1138">
        <v>266.7</v>
      </c>
      <c r="G1138" t="s">
        <v>26</v>
      </c>
      <c r="H1138" t="s">
        <v>18</v>
      </c>
    </row>
    <row r="1139" spans="1:8" x14ac:dyDescent="0.2">
      <c r="A1139" t="s">
        <v>317</v>
      </c>
      <c r="B1139" t="s">
        <v>66</v>
      </c>
      <c r="C1139" t="s">
        <v>70</v>
      </c>
      <c r="D1139" t="s">
        <v>318</v>
      </c>
      <c r="E1139" t="s">
        <v>1528</v>
      </c>
      <c r="G1139" t="s">
        <v>26</v>
      </c>
      <c r="H1139" t="s">
        <v>18</v>
      </c>
    </row>
    <row r="1140" spans="1:8" x14ac:dyDescent="0.2">
      <c r="A1140" t="s">
        <v>317</v>
      </c>
      <c r="B1140" t="s">
        <v>66</v>
      </c>
      <c r="C1140" t="s">
        <v>70</v>
      </c>
      <c r="D1140" t="s">
        <v>318</v>
      </c>
      <c r="E1140" t="s">
        <v>1529</v>
      </c>
      <c r="G1140" t="s">
        <v>26</v>
      </c>
      <c r="H1140" t="s">
        <v>18</v>
      </c>
    </row>
    <row r="1141" spans="1:8" x14ac:dyDescent="0.2">
      <c r="A1141" t="s">
        <v>317</v>
      </c>
      <c r="B1141" t="s">
        <v>66</v>
      </c>
      <c r="C1141" t="s">
        <v>70</v>
      </c>
      <c r="D1141" t="s">
        <v>318</v>
      </c>
      <c r="E1141" t="s">
        <v>1530</v>
      </c>
      <c r="G1141" t="s">
        <v>26</v>
      </c>
      <c r="H1141" t="s">
        <v>18</v>
      </c>
    </row>
    <row r="1142" spans="1:8" x14ac:dyDescent="0.2">
      <c r="A1142" t="s">
        <v>317</v>
      </c>
      <c r="B1142" t="s">
        <v>66</v>
      </c>
      <c r="C1142" t="s">
        <v>70</v>
      </c>
      <c r="D1142" t="s">
        <v>318</v>
      </c>
      <c r="E1142" t="s">
        <v>1531</v>
      </c>
      <c r="G1142" t="s">
        <v>26</v>
      </c>
      <c r="H1142" t="s">
        <v>18</v>
      </c>
    </row>
    <row r="1143" spans="1:8" hidden="1" x14ac:dyDescent="0.2">
      <c r="A1143" t="s">
        <v>317</v>
      </c>
      <c r="B1143" t="s">
        <v>66</v>
      </c>
      <c r="C1143" t="s">
        <v>70</v>
      </c>
      <c r="D1143" t="s">
        <v>318</v>
      </c>
      <c r="E1143" t="s">
        <v>12</v>
      </c>
      <c r="F1143">
        <v>53.3</v>
      </c>
      <c r="G1143" t="s">
        <v>26</v>
      </c>
      <c r="H1143" t="s">
        <v>14</v>
      </c>
    </row>
    <row r="1144" spans="1:8" x14ac:dyDescent="0.2">
      <c r="A1144" t="s">
        <v>317</v>
      </c>
      <c r="B1144" t="s">
        <v>66</v>
      </c>
      <c r="C1144" t="s">
        <v>70</v>
      </c>
      <c r="D1144" t="s">
        <v>318</v>
      </c>
      <c r="E1144" t="s">
        <v>21</v>
      </c>
      <c r="F1144">
        <v>133.4</v>
      </c>
      <c r="G1144" t="s">
        <v>26</v>
      </c>
      <c r="H1144" t="s">
        <v>18</v>
      </c>
    </row>
    <row r="1145" spans="1:8" x14ac:dyDescent="0.2">
      <c r="A1145" t="s">
        <v>317</v>
      </c>
      <c r="B1145" t="s">
        <v>66</v>
      </c>
      <c r="C1145" t="s">
        <v>70</v>
      </c>
      <c r="D1145" t="s">
        <v>318</v>
      </c>
      <c r="E1145" t="s">
        <v>20</v>
      </c>
      <c r="F1145">
        <v>106.7</v>
      </c>
      <c r="G1145" t="s">
        <v>26</v>
      </c>
      <c r="H1145" t="s">
        <v>18</v>
      </c>
    </row>
    <row r="1146" spans="1:8" x14ac:dyDescent="0.2">
      <c r="A1146" t="s">
        <v>317</v>
      </c>
      <c r="B1146" t="s">
        <v>66</v>
      </c>
      <c r="C1146" t="s">
        <v>70</v>
      </c>
      <c r="D1146" t="s">
        <v>318</v>
      </c>
      <c r="E1146" t="s">
        <v>19</v>
      </c>
      <c r="F1146">
        <v>106.7</v>
      </c>
      <c r="G1146" t="s">
        <v>26</v>
      </c>
      <c r="H1146" t="s">
        <v>18</v>
      </c>
    </row>
    <row r="1147" spans="1:8" x14ac:dyDescent="0.2">
      <c r="A1147" t="s">
        <v>317</v>
      </c>
      <c r="B1147" t="s">
        <v>66</v>
      </c>
      <c r="C1147" t="s">
        <v>70</v>
      </c>
      <c r="D1147" t="s">
        <v>318</v>
      </c>
      <c r="E1147" t="s">
        <v>17</v>
      </c>
      <c r="F1147">
        <v>133.4</v>
      </c>
      <c r="G1147" t="s">
        <v>26</v>
      </c>
      <c r="H1147" t="s">
        <v>18</v>
      </c>
    </row>
    <row r="1148" spans="1:8" hidden="1" x14ac:dyDescent="0.2">
      <c r="A1148" t="s">
        <v>319</v>
      </c>
      <c r="D1148" t="s">
        <v>320</v>
      </c>
      <c r="E1148" t="s">
        <v>22</v>
      </c>
      <c r="F1148">
        <v>160</v>
      </c>
      <c r="G1148" t="s">
        <v>26</v>
      </c>
      <c r="H1148" t="s">
        <v>14</v>
      </c>
    </row>
    <row r="1149" spans="1:8" hidden="1" x14ac:dyDescent="0.2">
      <c r="A1149" t="s">
        <v>319</v>
      </c>
      <c r="D1149" t="s">
        <v>320</v>
      </c>
      <c r="E1149" t="s">
        <v>1528</v>
      </c>
      <c r="G1149" t="s">
        <v>26</v>
      </c>
      <c r="H1149" t="s">
        <v>14</v>
      </c>
    </row>
    <row r="1150" spans="1:8" hidden="1" x14ac:dyDescent="0.2">
      <c r="A1150" t="s">
        <v>319</v>
      </c>
      <c r="D1150" t="s">
        <v>320</v>
      </c>
      <c r="E1150" t="s">
        <v>1529</v>
      </c>
      <c r="G1150" t="s">
        <v>26</v>
      </c>
      <c r="H1150" t="s">
        <v>14</v>
      </c>
    </row>
    <row r="1151" spans="1:8" hidden="1" x14ac:dyDescent="0.2">
      <c r="A1151" t="s">
        <v>319</v>
      </c>
      <c r="D1151" t="s">
        <v>320</v>
      </c>
      <c r="E1151" t="s">
        <v>1530</v>
      </c>
      <c r="G1151" t="s">
        <v>26</v>
      </c>
      <c r="H1151" t="s">
        <v>14</v>
      </c>
    </row>
    <row r="1152" spans="1:8" hidden="1" x14ac:dyDescent="0.2">
      <c r="A1152" t="s">
        <v>319</v>
      </c>
      <c r="D1152" t="s">
        <v>320</v>
      </c>
      <c r="E1152" t="s">
        <v>1531</v>
      </c>
      <c r="G1152" t="s">
        <v>26</v>
      </c>
      <c r="H1152" t="s">
        <v>14</v>
      </c>
    </row>
    <row r="1153" spans="1:8" hidden="1" x14ac:dyDescent="0.2">
      <c r="A1153" t="s">
        <v>319</v>
      </c>
      <c r="D1153" t="s">
        <v>320</v>
      </c>
      <c r="E1153" t="s">
        <v>12</v>
      </c>
      <c r="F1153">
        <v>32</v>
      </c>
      <c r="G1153" t="s">
        <v>26</v>
      </c>
      <c r="H1153" t="s">
        <v>50</v>
      </c>
    </row>
    <row r="1154" spans="1:8" hidden="1" x14ac:dyDescent="0.2">
      <c r="A1154" t="s">
        <v>319</v>
      </c>
      <c r="D1154" t="s">
        <v>320</v>
      </c>
      <c r="E1154" t="s">
        <v>21</v>
      </c>
      <c r="F1154">
        <v>80</v>
      </c>
      <c r="G1154" t="s">
        <v>26</v>
      </c>
      <c r="H1154" t="s">
        <v>14</v>
      </c>
    </row>
    <row r="1155" spans="1:8" hidden="1" x14ac:dyDescent="0.2">
      <c r="A1155" t="s">
        <v>319</v>
      </c>
      <c r="D1155" t="s">
        <v>320</v>
      </c>
      <c r="E1155" t="s">
        <v>20</v>
      </c>
      <c r="F1155">
        <v>64</v>
      </c>
      <c r="G1155" t="s">
        <v>26</v>
      </c>
      <c r="H1155" t="s">
        <v>14</v>
      </c>
    </row>
    <row r="1156" spans="1:8" hidden="1" x14ac:dyDescent="0.2">
      <c r="A1156" t="s">
        <v>319</v>
      </c>
      <c r="D1156" t="s">
        <v>320</v>
      </c>
      <c r="E1156" t="s">
        <v>19</v>
      </c>
      <c r="F1156">
        <v>64</v>
      </c>
      <c r="G1156" t="s">
        <v>26</v>
      </c>
      <c r="H1156" t="s">
        <v>14</v>
      </c>
    </row>
    <row r="1157" spans="1:8" hidden="1" x14ac:dyDescent="0.2">
      <c r="A1157" t="s">
        <v>319</v>
      </c>
      <c r="D1157" t="s">
        <v>320</v>
      </c>
      <c r="E1157" t="s">
        <v>17</v>
      </c>
      <c r="F1157">
        <v>80</v>
      </c>
      <c r="G1157" t="s">
        <v>26</v>
      </c>
      <c r="H1157" t="s">
        <v>14</v>
      </c>
    </row>
    <row r="1158" spans="1:8" hidden="1" x14ac:dyDescent="0.2">
      <c r="A1158" t="s">
        <v>321</v>
      </c>
      <c r="B1158" t="s">
        <v>75</v>
      </c>
      <c r="C1158" t="s">
        <v>77</v>
      </c>
      <c r="D1158" t="s">
        <v>322</v>
      </c>
      <c r="E1158" t="s">
        <v>22</v>
      </c>
      <c r="F1158">
        <v>66.7</v>
      </c>
      <c r="G1158" t="s">
        <v>26</v>
      </c>
      <c r="H1158" t="s">
        <v>14</v>
      </c>
    </row>
    <row r="1159" spans="1:8" hidden="1" x14ac:dyDescent="0.2">
      <c r="A1159" t="s">
        <v>321</v>
      </c>
      <c r="B1159" t="s">
        <v>75</v>
      </c>
      <c r="C1159" t="s">
        <v>77</v>
      </c>
      <c r="D1159" t="s">
        <v>322</v>
      </c>
      <c r="E1159" t="s">
        <v>1528</v>
      </c>
      <c r="G1159" t="s">
        <v>26</v>
      </c>
      <c r="H1159" t="s">
        <v>14</v>
      </c>
    </row>
    <row r="1160" spans="1:8" hidden="1" x14ac:dyDescent="0.2">
      <c r="A1160" t="s">
        <v>321</v>
      </c>
      <c r="B1160" t="s">
        <v>75</v>
      </c>
      <c r="C1160" t="s">
        <v>77</v>
      </c>
      <c r="D1160" t="s">
        <v>322</v>
      </c>
      <c r="E1160" t="s">
        <v>1529</v>
      </c>
      <c r="G1160" t="s">
        <v>26</v>
      </c>
      <c r="H1160" t="s">
        <v>14</v>
      </c>
    </row>
    <row r="1161" spans="1:8" hidden="1" x14ac:dyDescent="0.2">
      <c r="A1161" t="s">
        <v>321</v>
      </c>
      <c r="B1161" t="s">
        <v>75</v>
      </c>
      <c r="C1161" t="s">
        <v>77</v>
      </c>
      <c r="D1161" t="s">
        <v>322</v>
      </c>
      <c r="E1161" t="s">
        <v>1530</v>
      </c>
      <c r="G1161" t="s">
        <v>26</v>
      </c>
      <c r="H1161" t="s">
        <v>14</v>
      </c>
    </row>
    <row r="1162" spans="1:8" hidden="1" x14ac:dyDescent="0.2">
      <c r="A1162" t="s">
        <v>321</v>
      </c>
      <c r="B1162" t="s">
        <v>75</v>
      </c>
      <c r="C1162" t="s">
        <v>77</v>
      </c>
      <c r="D1162" t="s">
        <v>322</v>
      </c>
      <c r="E1162" t="s">
        <v>1531</v>
      </c>
      <c r="G1162" t="s">
        <v>26</v>
      </c>
      <c r="H1162" t="s">
        <v>14</v>
      </c>
    </row>
    <row r="1163" spans="1:8" hidden="1" x14ac:dyDescent="0.2">
      <c r="A1163" t="s">
        <v>321</v>
      </c>
      <c r="B1163" t="s">
        <v>75</v>
      </c>
      <c r="C1163" t="s">
        <v>77</v>
      </c>
      <c r="D1163" t="s">
        <v>322</v>
      </c>
      <c r="E1163" t="s">
        <v>12</v>
      </c>
      <c r="F1163">
        <v>13.3</v>
      </c>
      <c r="G1163" t="s">
        <v>26</v>
      </c>
      <c r="H1163" t="s">
        <v>50</v>
      </c>
    </row>
    <row r="1164" spans="1:8" hidden="1" x14ac:dyDescent="0.2">
      <c r="A1164" t="s">
        <v>321</v>
      </c>
      <c r="B1164" t="s">
        <v>75</v>
      </c>
      <c r="C1164" t="s">
        <v>77</v>
      </c>
      <c r="D1164" t="s">
        <v>322</v>
      </c>
      <c r="E1164" t="s">
        <v>21</v>
      </c>
      <c r="F1164">
        <v>33.4</v>
      </c>
      <c r="G1164" t="s">
        <v>26</v>
      </c>
      <c r="H1164" t="s">
        <v>14</v>
      </c>
    </row>
    <row r="1165" spans="1:8" hidden="1" x14ac:dyDescent="0.2">
      <c r="A1165" t="s">
        <v>321</v>
      </c>
      <c r="B1165" t="s">
        <v>75</v>
      </c>
      <c r="C1165" t="s">
        <v>77</v>
      </c>
      <c r="D1165" t="s">
        <v>322</v>
      </c>
      <c r="E1165" t="s">
        <v>20</v>
      </c>
      <c r="F1165">
        <v>26.7</v>
      </c>
      <c r="G1165" t="s">
        <v>26</v>
      </c>
      <c r="H1165" t="s">
        <v>14</v>
      </c>
    </row>
    <row r="1166" spans="1:8" hidden="1" x14ac:dyDescent="0.2">
      <c r="A1166" t="s">
        <v>321</v>
      </c>
      <c r="B1166" t="s">
        <v>75</v>
      </c>
      <c r="C1166" t="s">
        <v>77</v>
      </c>
      <c r="D1166" t="s">
        <v>322</v>
      </c>
      <c r="E1166" t="s">
        <v>19</v>
      </c>
      <c r="F1166">
        <v>26.7</v>
      </c>
      <c r="G1166" t="s">
        <v>26</v>
      </c>
      <c r="H1166" t="s">
        <v>14</v>
      </c>
    </row>
    <row r="1167" spans="1:8" hidden="1" x14ac:dyDescent="0.2">
      <c r="A1167" t="s">
        <v>321</v>
      </c>
      <c r="B1167" t="s">
        <v>75</v>
      </c>
      <c r="C1167" t="s">
        <v>77</v>
      </c>
      <c r="D1167" t="s">
        <v>322</v>
      </c>
      <c r="E1167" t="s">
        <v>17</v>
      </c>
      <c r="F1167">
        <v>33.4</v>
      </c>
      <c r="G1167" t="s">
        <v>26</v>
      </c>
      <c r="H1167" t="s">
        <v>14</v>
      </c>
    </row>
    <row r="1168" spans="1:8" hidden="1" x14ac:dyDescent="0.2">
      <c r="A1168" t="s">
        <v>1567</v>
      </c>
      <c r="D1168" t="s">
        <v>1568</v>
      </c>
      <c r="E1168" t="s">
        <v>22</v>
      </c>
      <c r="G1168" t="s">
        <v>31</v>
      </c>
      <c r="H1168" t="s">
        <v>14</v>
      </c>
    </row>
    <row r="1169" spans="1:8" hidden="1" x14ac:dyDescent="0.2">
      <c r="A1169" t="s">
        <v>1567</v>
      </c>
      <c r="D1169" t="s">
        <v>1568</v>
      </c>
      <c r="E1169" t="s">
        <v>12</v>
      </c>
      <c r="G1169" t="s">
        <v>31</v>
      </c>
      <c r="H1169" t="s">
        <v>50</v>
      </c>
    </row>
    <row r="1170" spans="1:8" hidden="1" x14ac:dyDescent="0.2">
      <c r="A1170" t="s">
        <v>1567</v>
      </c>
      <c r="D1170" t="s">
        <v>1568</v>
      </c>
      <c r="E1170" t="s">
        <v>21</v>
      </c>
      <c r="G1170" t="s">
        <v>31</v>
      </c>
      <c r="H1170" t="s">
        <v>14</v>
      </c>
    </row>
    <row r="1171" spans="1:8" hidden="1" x14ac:dyDescent="0.2">
      <c r="A1171" t="s">
        <v>1567</v>
      </c>
      <c r="D1171" t="s">
        <v>1568</v>
      </c>
      <c r="E1171" t="s">
        <v>20</v>
      </c>
      <c r="G1171" t="s">
        <v>31</v>
      </c>
      <c r="H1171" t="s">
        <v>14</v>
      </c>
    </row>
    <row r="1172" spans="1:8" hidden="1" x14ac:dyDescent="0.2">
      <c r="A1172" t="s">
        <v>1567</v>
      </c>
      <c r="D1172" t="s">
        <v>1568</v>
      </c>
      <c r="E1172" t="s">
        <v>19</v>
      </c>
      <c r="G1172" t="s">
        <v>31</v>
      </c>
      <c r="H1172" t="s">
        <v>14</v>
      </c>
    </row>
    <row r="1173" spans="1:8" hidden="1" x14ac:dyDescent="0.2">
      <c r="A1173" t="s">
        <v>1567</v>
      </c>
      <c r="D1173" t="s">
        <v>1568</v>
      </c>
      <c r="E1173" t="s">
        <v>17</v>
      </c>
      <c r="G1173" t="s">
        <v>31</v>
      </c>
      <c r="H1173" t="s">
        <v>14</v>
      </c>
    </row>
    <row r="1174" spans="1:8" hidden="1" x14ac:dyDescent="0.2">
      <c r="A1174" t="s">
        <v>1571</v>
      </c>
      <c r="D1174" t="s">
        <v>1572</v>
      </c>
      <c r="E1174" t="s">
        <v>22</v>
      </c>
      <c r="G1174" t="s">
        <v>31</v>
      </c>
      <c r="H1174" t="s">
        <v>51</v>
      </c>
    </row>
    <row r="1175" spans="1:8" hidden="1" x14ac:dyDescent="0.2">
      <c r="A1175" t="s">
        <v>1571</v>
      </c>
      <c r="D1175" t="s">
        <v>1572</v>
      </c>
      <c r="E1175" t="s">
        <v>12</v>
      </c>
      <c r="G1175" t="s">
        <v>31</v>
      </c>
      <c r="H1175" t="s">
        <v>27</v>
      </c>
    </row>
    <row r="1176" spans="1:8" hidden="1" x14ac:dyDescent="0.2">
      <c r="A1176" t="s">
        <v>1571</v>
      </c>
      <c r="D1176" t="s">
        <v>1572</v>
      </c>
      <c r="E1176" t="s">
        <v>21</v>
      </c>
      <c r="G1176" t="s">
        <v>31</v>
      </c>
      <c r="H1176" t="s">
        <v>51</v>
      </c>
    </row>
    <row r="1177" spans="1:8" hidden="1" x14ac:dyDescent="0.2">
      <c r="A1177" t="s">
        <v>1571</v>
      </c>
      <c r="D1177" t="s">
        <v>1572</v>
      </c>
      <c r="E1177" t="s">
        <v>20</v>
      </c>
      <c r="G1177" t="s">
        <v>31</v>
      </c>
      <c r="H1177" t="s">
        <v>51</v>
      </c>
    </row>
    <row r="1178" spans="1:8" hidden="1" x14ac:dyDescent="0.2">
      <c r="A1178" t="s">
        <v>1571</v>
      </c>
      <c r="D1178" t="s">
        <v>1572</v>
      </c>
      <c r="E1178" t="s">
        <v>19</v>
      </c>
      <c r="G1178" t="s">
        <v>31</v>
      </c>
      <c r="H1178" t="s">
        <v>51</v>
      </c>
    </row>
    <row r="1179" spans="1:8" hidden="1" x14ac:dyDescent="0.2">
      <c r="A1179" t="s">
        <v>1571</v>
      </c>
      <c r="D1179" t="s">
        <v>1572</v>
      </c>
      <c r="E1179" t="s">
        <v>17</v>
      </c>
      <c r="G1179" t="s">
        <v>31</v>
      </c>
      <c r="H1179" t="s">
        <v>51</v>
      </c>
    </row>
    <row r="1180" spans="1:8" hidden="1" x14ac:dyDescent="0.2">
      <c r="A1180" t="s">
        <v>1574</v>
      </c>
      <c r="D1180" t="s">
        <v>1575</v>
      </c>
      <c r="E1180" t="s">
        <v>22</v>
      </c>
      <c r="G1180" t="s">
        <v>31</v>
      </c>
      <c r="H1180" t="s">
        <v>51</v>
      </c>
    </row>
    <row r="1181" spans="1:8" hidden="1" x14ac:dyDescent="0.2">
      <c r="A1181" t="s">
        <v>1574</v>
      </c>
      <c r="D1181" t="s">
        <v>1575</v>
      </c>
      <c r="E1181" t="s">
        <v>12</v>
      </c>
      <c r="G1181" t="s">
        <v>31</v>
      </c>
      <c r="H1181" t="s">
        <v>27</v>
      </c>
    </row>
    <row r="1182" spans="1:8" hidden="1" x14ac:dyDescent="0.2">
      <c r="A1182" t="s">
        <v>1574</v>
      </c>
      <c r="D1182" t="s">
        <v>1575</v>
      </c>
      <c r="E1182" t="s">
        <v>21</v>
      </c>
      <c r="G1182" t="s">
        <v>31</v>
      </c>
      <c r="H1182" t="s">
        <v>51</v>
      </c>
    </row>
    <row r="1183" spans="1:8" hidden="1" x14ac:dyDescent="0.2">
      <c r="A1183" t="s">
        <v>1574</v>
      </c>
      <c r="D1183" t="s">
        <v>1575</v>
      </c>
      <c r="E1183" t="s">
        <v>20</v>
      </c>
      <c r="G1183" t="s">
        <v>31</v>
      </c>
      <c r="H1183" t="s">
        <v>51</v>
      </c>
    </row>
    <row r="1184" spans="1:8" hidden="1" x14ac:dyDescent="0.2">
      <c r="A1184" t="s">
        <v>1574</v>
      </c>
      <c r="D1184" t="s">
        <v>1575</v>
      </c>
      <c r="E1184" t="s">
        <v>19</v>
      </c>
      <c r="G1184" t="s">
        <v>31</v>
      </c>
      <c r="H1184" t="s">
        <v>51</v>
      </c>
    </row>
    <row r="1185" spans="1:8" hidden="1" x14ac:dyDescent="0.2">
      <c r="A1185" t="s">
        <v>1574</v>
      </c>
      <c r="D1185" t="s">
        <v>1575</v>
      </c>
      <c r="E1185" t="s">
        <v>17</v>
      </c>
      <c r="G1185" t="s">
        <v>31</v>
      </c>
      <c r="H1185" t="s">
        <v>51</v>
      </c>
    </row>
    <row r="1186" spans="1:8" hidden="1" x14ac:dyDescent="0.2">
      <c r="A1186" t="s">
        <v>1577</v>
      </c>
      <c r="D1186" t="s">
        <v>1578</v>
      </c>
      <c r="E1186" t="s">
        <v>22</v>
      </c>
      <c r="G1186" t="s">
        <v>31</v>
      </c>
      <c r="H1186" t="s">
        <v>51</v>
      </c>
    </row>
    <row r="1187" spans="1:8" hidden="1" x14ac:dyDescent="0.2">
      <c r="A1187" t="s">
        <v>1577</v>
      </c>
      <c r="D1187" t="s">
        <v>1578</v>
      </c>
      <c r="E1187" t="s">
        <v>12</v>
      </c>
      <c r="G1187" t="s">
        <v>31</v>
      </c>
      <c r="H1187" t="s">
        <v>27</v>
      </c>
    </row>
    <row r="1188" spans="1:8" hidden="1" x14ac:dyDescent="0.2">
      <c r="A1188" t="s">
        <v>1577</v>
      </c>
      <c r="D1188" t="s">
        <v>1578</v>
      </c>
      <c r="E1188" t="s">
        <v>21</v>
      </c>
      <c r="G1188" t="s">
        <v>31</v>
      </c>
      <c r="H1188" t="s">
        <v>51</v>
      </c>
    </row>
    <row r="1189" spans="1:8" hidden="1" x14ac:dyDescent="0.2">
      <c r="A1189" t="s">
        <v>1577</v>
      </c>
      <c r="D1189" t="s">
        <v>1578</v>
      </c>
      <c r="E1189" t="s">
        <v>20</v>
      </c>
      <c r="G1189" t="s">
        <v>31</v>
      </c>
      <c r="H1189" t="s">
        <v>51</v>
      </c>
    </row>
    <row r="1190" spans="1:8" hidden="1" x14ac:dyDescent="0.2">
      <c r="A1190" t="s">
        <v>1577</v>
      </c>
      <c r="D1190" t="s">
        <v>1578</v>
      </c>
      <c r="E1190" t="s">
        <v>19</v>
      </c>
      <c r="G1190" t="s">
        <v>31</v>
      </c>
      <c r="H1190" t="s">
        <v>51</v>
      </c>
    </row>
    <row r="1191" spans="1:8" hidden="1" x14ac:dyDescent="0.2">
      <c r="A1191" t="s">
        <v>1577</v>
      </c>
      <c r="D1191" t="s">
        <v>1578</v>
      </c>
      <c r="E1191" t="s">
        <v>17</v>
      </c>
      <c r="G1191" t="s">
        <v>31</v>
      </c>
      <c r="H1191" t="s">
        <v>51</v>
      </c>
    </row>
    <row r="1192" spans="1:8" hidden="1" x14ac:dyDescent="0.2">
      <c r="A1192" t="s">
        <v>1580</v>
      </c>
      <c r="D1192" t="s">
        <v>1581</v>
      </c>
      <c r="E1192" t="s">
        <v>22</v>
      </c>
      <c r="G1192" t="s">
        <v>31</v>
      </c>
      <c r="H1192" t="s">
        <v>51</v>
      </c>
    </row>
    <row r="1193" spans="1:8" hidden="1" x14ac:dyDescent="0.2">
      <c r="A1193" t="s">
        <v>1580</v>
      </c>
      <c r="D1193" t="s">
        <v>1581</v>
      </c>
      <c r="E1193" t="s">
        <v>12</v>
      </c>
      <c r="G1193" t="s">
        <v>31</v>
      </c>
      <c r="H1193" t="s">
        <v>27</v>
      </c>
    </row>
    <row r="1194" spans="1:8" hidden="1" x14ac:dyDescent="0.2">
      <c r="A1194" t="s">
        <v>1580</v>
      </c>
      <c r="D1194" t="s">
        <v>1581</v>
      </c>
      <c r="E1194" t="s">
        <v>21</v>
      </c>
      <c r="G1194" t="s">
        <v>31</v>
      </c>
      <c r="H1194" t="s">
        <v>51</v>
      </c>
    </row>
    <row r="1195" spans="1:8" hidden="1" x14ac:dyDescent="0.2">
      <c r="A1195" t="s">
        <v>1580</v>
      </c>
      <c r="D1195" t="s">
        <v>1581</v>
      </c>
      <c r="E1195" t="s">
        <v>20</v>
      </c>
      <c r="G1195" t="s">
        <v>31</v>
      </c>
      <c r="H1195" t="s">
        <v>51</v>
      </c>
    </row>
    <row r="1196" spans="1:8" hidden="1" x14ac:dyDescent="0.2">
      <c r="A1196" t="s">
        <v>1580</v>
      </c>
      <c r="D1196" t="s">
        <v>1581</v>
      </c>
      <c r="E1196" t="s">
        <v>19</v>
      </c>
      <c r="G1196" t="s">
        <v>31</v>
      </c>
      <c r="H1196" t="s">
        <v>51</v>
      </c>
    </row>
    <row r="1197" spans="1:8" hidden="1" x14ac:dyDescent="0.2">
      <c r="A1197" t="s">
        <v>1580</v>
      </c>
      <c r="D1197" t="s">
        <v>1581</v>
      </c>
      <c r="E1197" t="s">
        <v>17</v>
      </c>
      <c r="G1197" t="s">
        <v>31</v>
      </c>
      <c r="H1197" t="s">
        <v>51</v>
      </c>
    </row>
    <row r="1198" spans="1:8" hidden="1" x14ac:dyDescent="0.2">
      <c r="A1198" t="s">
        <v>43</v>
      </c>
      <c r="B1198" t="s">
        <v>9</v>
      </c>
      <c r="C1198" t="s">
        <v>33</v>
      </c>
      <c r="D1198" t="s">
        <v>44</v>
      </c>
      <c r="E1198" t="s">
        <v>22</v>
      </c>
      <c r="F1198">
        <v>140</v>
      </c>
      <c r="G1198" t="s">
        <v>31</v>
      </c>
      <c r="H1198" t="s">
        <v>27</v>
      </c>
    </row>
    <row r="1199" spans="1:8" hidden="1" x14ac:dyDescent="0.2">
      <c r="A1199" t="s">
        <v>43</v>
      </c>
      <c r="B1199" t="s">
        <v>9</v>
      </c>
      <c r="C1199" t="s">
        <v>33</v>
      </c>
      <c r="D1199" t="s">
        <v>44</v>
      </c>
      <c r="E1199" t="s">
        <v>1528</v>
      </c>
      <c r="G1199" t="s">
        <v>31</v>
      </c>
      <c r="H1199" t="s">
        <v>27</v>
      </c>
    </row>
    <row r="1200" spans="1:8" hidden="1" x14ac:dyDescent="0.2">
      <c r="A1200" t="s">
        <v>43</v>
      </c>
      <c r="B1200" t="s">
        <v>9</v>
      </c>
      <c r="C1200" t="s">
        <v>33</v>
      </c>
      <c r="D1200" t="s">
        <v>44</v>
      </c>
      <c r="E1200" t="s">
        <v>1529</v>
      </c>
      <c r="G1200" t="s">
        <v>31</v>
      </c>
      <c r="H1200" t="s">
        <v>27</v>
      </c>
    </row>
    <row r="1201" spans="1:8" hidden="1" x14ac:dyDescent="0.2">
      <c r="A1201" t="s">
        <v>43</v>
      </c>
      <c r="B1201" t="s">
        <v>9</v>
      </c>
      <c r="C1201" t="s">
        <v>33</v>
      </c>
      <c r="D1201" t="s">
        <v>44</v>
      </c>
      <c r="E1201" t="s">
        <v>1530</v>
      </c>
      <c r="G1201" t="s">
        <v>31</v>
      </c>
      <c r="H1201" t="s">
        <v>27</v>
      </c>
    </row>
    <row r="1202" spans="1:8" hidden="1" x14ac:dyDescent="0.2">
      <c r="A1202" t="s">
        <v>43</v>
      </c>
      <c r="B1202" t="s">
        <v>9</v>
      </c>
      <c r="C1202" t="s">
        <v>33</v>
      </c>
      <c r="D1202" t="s">
        <v>44</v>
      </c>
      <c r="E1202" t="s">
        <v>1531</v>
      </c>
      <c r="G1202" t="s">
        <v>31</v>
      </c>
      <c r="H1202" t="s">
        <v>27</v>
      </c>
    </row>
    <row r="1203" spans="1:8" hidden="1" x14ac:dyDescent="0.2">
      <c r="A1203" t="s">
        <v>43</v>
      </c>
      <c r="B1203" t="s">
        <v>9</v>
      </c>
      <c r="C1203" t="s">
        <v>33</v>
      </c>
      <c r="D1203" t="s">
        <v>44</v>
      </c>
      <c r="E1203" t="s">
        <v>12</v>
      </c>
      <c r="F1203">
        <v>28</v>
      </c>
      <c r="G1203" t="s">
        <v>31</v>
      </c>
      <c r="H1203" t="s">
        <v>18</v>
      </c>
    </row>
    <row r="1204" spans="1:8" hidden="1" x14ac:dyDescent="0.2">
      <c r="A1204" t="s">
        <v>43</v>
      </c>
      <c r="B1204" t="s">
        <v>9</v>
      </c>
      <c r="C1204" t="s">
        <v>33</v>
      </c>
      <c r="D1204" t="s">
        <v>44</v>
      </c>
      <c r="E1204" t="s">
        <v>21</v>
      </c>
      <c r="F1204">
        <v>70</v>
      </c>
      <c r="G1204" t="s">
        <v>31</v>
      </c>
      <c r="H1204" t="s">
        <v>27</v>
      </c>
    </row>
    <row r="1205" spans="1:8" hidden="1" x14ac:dyDescent="0.2">
      <c r="A1205" t="s">
        <v>43</v>
      </c>
      <c r="B1205" t="s">
        <v>9</v>
      </c>
      <c r="C1205" t="s">
        <v>33</v>
      </c>
      <c r="D1205" t="s">
        <v>44</v>
      </c>
      <c r="E1205" t="s">
        <v>20</v>
      </c>
      <c r="F1205">
        <v>56</v>
      </c>
      <c r="G1205" t="s">
        <v>31</v>
      </c>
      <c r="H1205" t="s">
        <v>27</v>
      </c>
    </row>
    <row r="1206" spans="1:8" hidden="1" x14ac:dyDescent="0.2">
      <c r="A1206" t="s">
        <v>43</v>
      </c>
      <c r="B1206" t="s">
        <v>9</v>
      </c>
      <c r="C1206" t="s">
        <v>33</v>
      </c>
      <c r="D1206" t="s">
        <v>44</v>
      </c>
      <c r="E1206" t="s">
        <v>19</v>
      </c>
      <c r="F1206">
        <v>56</v>
      </c>
      <c r="G1206" t="s">
        <v>31</v>
      </c>
      <c r="H1206" t="s">
        <v>27</v>
      </c>
    </row>
    <row r="1207" spans="1:8" hidden="1" x14ac:dyDescent="0.2">
      <c r="A1207" t="s">
        <v>43</v>
      </c>
      <c r="B1207" t="s">
        <v>9</v>
      </c>
      <c r="C1207" t="s">
        <v>33</v>
      </c>
      <c r="D1207" t="s">
        <v>44</v>
      </c>
      <c r="E1207" t="s">
        <v>17</v>
      </c>
      <c r="F1207">
        <v>70</v>
      </c>
      <c r="G1207" t="s">
        <v>31</v>
      </c>
      <c r="H1207" t="s">
        <v>27</v>
      </c>
    </row>
    <row r="1208" spans="1:8" hidden="1" x14ac:dyDescent="0.2">
      <c r="A1208" t="s">
        <v>41</v>
      </c>
      <c r="B1208" t="s">
        <v>9</v>
      </c>
      <c r="C1208" t="s">
        <v>33</v>
      </c>
      <c r="D1208" t="s">
        <v>42</v>
      </c>
      <c r="E1208" t="s">
        <v>22</v>
      </c>
      <c r="F1208">
        <v>140</v>
      </c>
      <c r="G1208" t="s">
        <v>31</v>
      </c>
      <c r="H1208" t="s">
        <v>27</v>
      </c>
    </row>
    <row r="1209" spans="1:8" hidden="1" x14ac:dyDescent="0.2">
      <c r="A1209" t="s">
        <v>41</v>
      </c>
      <c r="B1209" t="s">
        <v>9</v>
      </c>
      <c r="C1209" t="s">
        <v>33</v>
      </c>
      <c r="D1209" t="s">
        <v>42</v>
      </c>
      <c r="E1209" t="s">
        <v>1528</v>
      </c>
      <c r="G1209" t="s">
        <v>31</v>
      </c>
      <c r="H1209" t="s">
        <v>27</v>
      </c>
    </row>
    <row r="1210" spans="1:8" hidden="1" x14ac:dyDescent="0.2">
      <c r="A1210" t="s">
        <v>41</v>
      </c>
      <c r="B1210" t="s">
        <v>9</v>
      </c>
      <c r="C1210" t="s">
        <v>33</v>
      </c>
      <c r="D1210" t="s">
        <v>42</v>
      </c>
      <c r="E1210" t="s">
        <v>1529</v>
      </c>
      <c r="G1210" t="s">
        <v>31</v>
      </c>
      <c r="H1210" t="s">
        <v>27</v>
      </c>
    </row>
    <row r="1211" spans="1:8" hidden="1" x14ac:dyDescent="0.2">
      <c r="A1211" t="s">
        <v>41</v>
      </c>
      <c r="B1211" t="s">
        <v>9</v>
      </c>
      <c r="C1211" t="s">
        <v>33</v>
      </c>
      <c r="D1211" t="s">
        <v>42</v>
      </c>
      <c r="E1211" t="s">
        <v>1530</v>
      </c>
      <c r="G1211" t="s">
        <v>31</v>
      </c>
      <c r="H1211" t="s">
        <v>27</v>
      </c>
    </row>
    <row r="1212" spans="1:8" hidden="1" x14ac:dyDescent="0.2">
      <c r="A1212" t="s">
        <v>41</v>
      </c>
      <c r="B1212" t="s">
        <v>9</v>
      </c>
      <c r="C1212" t="s">
        <v>33</v>
      </c>
      <c r="D1212" t="s">
        <v>42</v>
      </c>
      <c r="E1212" t="s">
        <v>1531</v>
      </c>
      <c r="G1212" t="s">
        <v>31</v>
      </c>
      <c r="H1212" t="s">
        <v>27</v>
      </c>
    </row>
    <row r="1213" spans="1:8" hidden="1" x14ac:dyDescent="0.2">
      <c r="A1213" t="s">
        <v>41</v>
      </c>
      <c r="B1213" t="s">
        <v>9</v>
      </c>
      <c r="C1213" t="s">
        <v>33</v>
      </c>
      <c r="D1213" t="s">
        <v>42</v>
      </c>
      <c r="E1213" t="s">
        <v>12</v>
      </c>
      <c r="F1213">
        <v>28</v>
      </c>
      <c r="G1213" t="s">
        <v>31</v>
      </c>
      <c r="H1213" t="s">
        <v>18</v>
      </c>
    </row>
    <row r="1214" spans="1:8" hidden="1" x14ac:dyDescent="0.2">
      <c r="A1214" t="s">
        <v>41</v>
      </c>
      <c r="B1214" t="s">
        <v>9</v>
      </c>
      <c r="C1214" t="s">
        <v>33</v>
      </c>
      <c r="D1214" t="s">
        <v>42</v>
      </c>
      <c r="E1214" t="s">
        <v>21</v>
      </c>
      <c r="F1214">
        <v>70</v>
      </c>
      <c r="G1214" t="s">
        <v>31</v>
      </c>
      <c r="H1214" t="s">
        <v>27</v>
      </c>
    </row>
    <row r="1215" spans="1:8" hidden="1" x14ac:dyDescent="0.2">
      <c r="A1215" t="s">
        <v>41</v>
      </c>
      <c r="B1215" t="s">
        <v>9</v>
      </c>
      <c r="C1215" t="s">
        <v>33</v>
      </c>
      <c r="D1215" t="s">
        <v>42</v>
      </c>
      <c r="E1215" t="s">
        <v>20</v>
      </c>
      <c r="F1215">
        <v>56</v>
      </c>
      <c r="G1215" t="s">
        <v>31</v>
      </c>
      <c r="H1215" t="s">
        <v>27</v>
      </c>
    </row>
    <row r="1216" spans="1:8" hidden="1" x14ac:dyDescent="0.2">
      <c r="A1216" t="s">
        <v>41</v>
      </c>
      <c r="B1216" t="s">
        <v>9</v>
      </c>
      <c r="C1216" t="s">
        <v>33</v>
      </c>
      <c r="D1216" t="s">
        <v>42</v>
      </c>
      <c r="E1216" t="s">
        <v>19</v>
      </c>
      <c r="F1216">
        <v>56</v>
      </c>
      <c r="G1216" t="s">
        <v>31</v>
      </c>
      <c r="H1216" t="s">
        <v>27</v>
      </c>
    </row>
    <row r="1217" spans="1:8" hidden="1" x14ac:dyDescent="0.2">
      <c r="A1217" t="s">
        <v>41</v>
      </c>
      <c r="B1217" t="s">
        <v>9</v>
      </c>
      <c r="C1217" t="s">
        <v>33</v>
      </c>
      <c r="D1217" t="s">
        <v>42</v>
      </c>
      <c r="E1217" t="s">
        <v>17</v>
      </c>
      <c r="F1217">
        <v>70</v>
      </c>
      <c r="G1217" t="s">
        <v>31</v>
      </c>
      <c r="H1217" t="s">
        <v>27</v>
      </c>
    </row>
    <row r="1218" spans="1:8" hidden="1" x14ac:dyDescent="0.2">
      <c r="A1218" t="s">
        <v>39</v>
      </c>
      <c r="B1218" t="s">
        <v>9</v>
      </c>
      <c r="C1218" t="s">
        <v>33</v>
      </c>
      <c r="D1218" t="s">
        <v>40</v>
      </c>
      <c r="E1218" t="s">
        <v>22</v>
      </c>
      <c r="F1218">
        <v>140</v>
      </c>
      <c r="G1218" t="s">
        <v>31</v>
      </c>
      <c r="H1218" t="s">
        <v>27</v>
      </c>
    </row>
    <row r="1219" spans="1:8" hidden="1" x14ac:dyDescent="0.2">
      <c r="A1219" t="s">
        <v>39</v>
      </c>
      <c r="B1219" t="s">
        <v>9</v>
      </c>
      <c r="C1219" t="s">
        <v>33</v>
      </c>
      <c r="D1219" t="s">
        <v>40</v>
      </c>
      <c r="E1219" t="s">
        <v>1528</v>
      </c>
      <c r="G1219" t="s">
        <v>31</v>
      </c>
      <c r="H1219" t="s">
        <v>27</v>
      </c>
    </row>
    <row r="1220" spans="1:8" hidden="1" x14ac:dyDescent="0.2">
      <c r="A1220" t="s">
        <v>39</v>
      </c>
      <c r="B1220" t="s">
        <v>9</v>
      </c>
      <c r="C1220" t="s">
        <v>33</v>
      </c>
      <c r="D1220" t="s">
        <v>40</v>
      </c>
      <c r="E1220" t="s">
        <v>1529</v>
      </c>
      <c r="G1220" t="s">
        <v>31</v>
      </c>
      <c r="H1220" t="s">
        <v>27</v>
      </c>
    </row>
    <row r="1221" spans="1:8" hidden="1" x14ac:dyDescent="0.2">
      <c r="A1221" t="s">
        <v>39</v>
      </c>
      <c r="B1221" t="s">
        <v>9</v>
      </c>
      <c r="C1221" t="s">
        <v>33</v>
      </c>
      <c r="D1221" t="s">
        <v>40</v>
      </c>
      <c r="E1221" t="s">
        <v>1530</v>
      </c>
      <c r="G1221" t="s">
        <v>31</v>
      </c>
      <c r="H1221" t="s">
        <v>27</v>
      </c>
    </row>
    <row r="1222" spans="1:8" hidden="1" x14ac:dyDescent="0.2">
      <c r="A1222" t="s">
        <v>39</v>
      </c>
      <c r="B1222" t="s">
        <v>9</v>
      </c>
      <c r="C1222" t="s">
        <v>33</v>
      </c>
      <c r="D1222" t="s">
        <v>40</v>
      </c>
      <c r="E1222" t="s">
        <v>1531</v>
      </c>
      <c r="G1222" t="s">
        <v>31</v>
      </c>
      <c r="H1222" t="s">
        <v>27</v>
      </c>
    </row>
    <row r="1223" spans="1:8" hidden="1" x14ac:dyDescent="0.2">
      <c r="A1223" t="s">
        <v>39</v>
      </c>
      <c r="B1223" t="s">
        <v>9</v>
      </c>
      <c r="C1223" t="s">
        <v>33</v>
      </c>
      <c r="D1223" t="s">
        <v>40</v>
      </c>
      <c r="E1223" t="s">
        <v>12</v>
      </c>
      <c r="F1223">
        <v>28</v>
      </c>
      <c r="G1223" t="s">
        <v>31</v>
      </c>
      <c r="H1223" t="s">
        <v>18</v>
      </c>
    </row>
    <row r="1224" spans="1:8" hidden="1" x14ac:dyDescent="0.2">
      <c r="A1224" t="s">
        <v>39</v>
      </c>
      <c r="B1224" t="s">
        <v>9</v>
      </c>
      <c r="C1224" t="s">
        <v>33</v>
      </c>
      <c r="D1224" t="s">
        <v>40</v>
      </c>
      <c r="E1224" t="s">
        <v>21</v>
      </c>
      <c r="F1224">
        <v>70</v>
      </c>
      <c r="G1224" t="s">
        <v>31</v>
      </c>
      <c r="H1224" t="s">
        <v>27</v>
      </c>
    </row>
    <row r="1225" spans="1:8" hidden="1" x14ac:dyDescent="0.2">
      <c r="A1225" t="s">
        <v>39</v>
      </c>
      <c r="B1225" t="s">
        <v>9</v>
      </c>
      <c r="C1225" t="s">
        <v>33</v>
      </c>
      <c r="D1225" t="s">
        <v>40</v>
      </c>
      <c r="E1225" t="s">
        <v>20</v>
      </c>
      <c r="F1225">
        <v>56</v>
      </c>
      <c r="G1225" t="s">
        <v>31</v>
      </c>
      <c r="H1225" t="s">
        <v>27</v>
      </c>
    </row>
    <row r="1226" spans="1:8" hidden="1" x14ac:dyDescent="0.2">
      <c r="A1226" t="s">
        <v>39</v>
      </c>
      <c r="B1226" t="s">
        <v>9</v>
      </c>
      <c r="C1226" t="s">
        <v>33</v>
      </c>
      <c r="D1226" t="s">
        <v>40</v>
      </c>
      <c r="E1226" t="s">
        <v>19</v>
      </c>
      <c r="F1226">
        <v>56</v>
      </c>
      <c r="G1226" t="s">
        <v>31</v>
      </c>
      <c r="H1226" t="s">
        <v>27</v>
      </c>
    </row>
    <row r="1227" spans="1:8" hidden="1" x14ac:dyDescent="0.2">
      <c r="A1227" t="s">
        <v>39</v>
      </c>
      <c r="B1227" t="s">
        <v>9</v>
      </c>
      <c r="C1227" t="s">
        <v>33</v>
      </c>
      <c r="D1227" t="s">
        <v>40</v>
      </c>
      <c r="E1227" t="s">
        <v>17</v>
      </c>
      <c r="F1227">
        <v>70</v>
      </c>
      <c r="G1227" t="s">
        <v>31</v>
      </c>
      <c r="H1227" t="s">
        <v>27</v>
      </c>
    </row>
    <row r="1228" spans="1:8" hidden="1" x14ac:dyDescent="0.2">
      <c r="A1228" t="s">
        <v>37</v>
      </c>
      <c r="B1228" t="s">
        <v>9</v>
      </c>
      <c r="C1228" t="s">
        <v>33</v>
      </c>
      <c r="D1228" t="s">
        <v>38</v>
      </c>
      <c r="E1228" t="s">
        <v>22</v>
      </c>
      <c r="F1228">
        <v>140</v>
      </c>
      <c r="G1228" t="s">
        <v>31</v>
      </c>
      <c r="H1228" t="s">
        <v>27</v>
      </c>
    </row>
    <row r="1229" spans="1:8" hidden="1" x14ac:dyDescent="0.2">
      <c r="A1229" t="s">
        <v>37</v>
      </c>
      <c r="B1229" t="s">
        <v>9</v>
      </c>
      <c r="C1229" t="s">
        <v>33</v>
      </c>
      <c r="D1229" t="s">
        <v>38</v>
      </c>
      <c r="E1229" t="s">
        <v>1528</v>
      </c>
      <c r="G1229" t="s">
        <v>31</v>
      </c>
      <c r="H1229" t="s">
        <v>27</v>
      </c>
    </row>
    <row r="1230" spans="1:8" hidden="1" x14ac:dyDescent="0.2">
      <c r="A1230" t="s">
        <v>37</v>
      </c>
      <c r="B1230" t="s">
        <v>9</v>
      </c>
      <c r="C1230" t="s">
        <v>33</v>
      </c>
      <c r="D1230" t="s">
        <v>38</v>
      </c>
      <c r="E1230" t="s">
        <v>1529</v>
      </c>
      <c r="G1230" t="s">
        <v>31</v>
      </c>
      <c r="H1230" t="s">
        <v>27</v>
      </c>
    </row>
    <row r="1231" spans="1:8" hidden="1" x14ac:dyDescent="0.2">
      <c r="A1231" t="s">
        <v>37</v>
      </c>
      <c r="B1231" t="s">
        <v>9</v>
      </c>
      <c r="C1231" t="s">
        <v>33</v>
      </c>
      <c r="D1231" t="s">
        <v>38</v>
      </c>
      <c r="E1231" t="s">
        <v>1530</v>
      </c>
      <c r="G1231" t="s">
        <v>31</v>
      </c>
      <c r="H1231" t="s">
        <v>27</v>
      </c>
    </row>
    <row r="1232" spans="1:8" hidden="1" x14ac:dyDescent="0.2">
      <c r="A1232" t="s">
        <v>37</v>
      </c>
      <c r="B1232" t="s">
        <v>9</v>
      </c>
      <c r="C1232" t="s">
        <v>33</v>
      </c>
      <c r="D1232" t="s">
        <v>38</v>
      </c>
      <c r="E1232" t="s">
        <v>1531</v>
      </c>
      <c r="G1232" t="s">
        <v>31</v>
      </c>
      <c r="H1232" t="s">
        <v>27</v>
      </c>
    </row>
    <row r="1233" spans="1:8" hidden="1" x14ac:dyDescent="0.2">
      <c r="A1233" t="s">
        <v>37</v>
      </c>
      <c r="B1233" t="s">
        <v>9</v>
      </c>
      <c r="C1233" t="s">
        <v>33</v>
      </c>
      <c r="D1233" t="s">
        <v>38</v>
      </c>
      <c r="E1233" t="s">
        <v>12</v>
      </c>
      <c r="F1233">
        <v>28</v>
      </c>
      <c r="G1233" t="s">
        <v>31</v>
      </c>
      <c r="H1233" t="s">
        <v>18</v>
      </c>
    </row>
    <row r="1234" spans="1:8" hidden="1" x14ac:dyDescent="0.2">
      <c r="A1234" t="s">
        <v>37</v>
      </c>
      <c r="B1234" t="s">
        <v>9</v>
      </c>
      <c r="C1234" t="s">
        <v>33</v>
      </c>
      <c r="D1234" t="s">
        <v>38</v>
      </c>
      <c r="E1234" t="s">
        <v>21</v>
      </c>
      <c r="F1234">
        <v>70</v>
      </c>
      <c r="G1234" t="s">
        <v>31</v>
      </c>
      <c r="H1234" t="s">
        <v>27</v>
      </c>
    </row>
    <row r="1235" spans="1:8" hidden="1" x14ac:dyDescent="0.2">
      <c r="A1235" t="s">
        <v>37</v>
      </c>
      <c r="B1235" t="s">
        <v>9</v>
      </c>
      <c r="C1235" t="s">
        <v>33</v>
      </c>
      <c r="D1235" t="s">
        <v>38</v>
      </c>
      <c r="E1235" t="s">
        <v>20</v>
      </c>
      <c r="F1235">
        <v>56</v>
      </c>
      <c r="G1235" t="s">
        <v>31</v>
      </c>
      <c r="H1235" t="s">
        <v>27</v>
      </c>
    </row>
    <row r="1236" spans="1:8" hidden="1" x14ac:dyDescent="0.2">
      <c r="A1236" t="s">
        <v>37</v>
      </c>
      <c r="B1236" t="s">
        <v>9</v>
      </c>
      <c r="C1236" t="s">
        <v>33</v>
      </c>
      <c r="D1236" t="s">
        <v>38</v>
      </c>
      <c r="E1236" t="s">
        <v>19</v>
      </c>
      <c r="F1236">
        <v>56</v>
      </c>
      <c r="G1236" t="s">
        <v>31</v>
      </c>
      <c r="H1236" t="s">
        <v>27</v>
      </c>
    </row>
    <row r="1237" spans="1:8" hidden="1" x14ac:dyDescent="0.2">
      <c r="A1237" t="s">
        <v>37</v>
      </c>
      <c r="B1237" t="s">
        <v>9</v>
      </c>
      <c r="C1237" t="s">
        <v>33</v>
      </c>
      <c r="D1237" t="s">
        <v>38</v>
      </c>
      <c r="E1237" t="s">
        <v>17</v>
      </c>
      <c r="F1237">
        <v>70</v>
      </c>
      <c r="G1237" t="s">
        <v>31</v>
      </c>
      <c r="H1237" t="s">
        <v>27</v>
      </c>
    </row>
    <row r="1238" spans="1:8" hidden="1" x14ac:dyDescent="0.2">
      <c r="A1238" t="s">
        <v>1583</v>
      </c>
      <c r="D1238" t="s">
        <v>1584</v>
      </c>
      <c r="E1238" t="s">
        <v>22</v>
      </c>
      <c r="G1238" t="s">
        <v>31</v>
      </c>
      <c r="H1238" t="s">
        <v>51</v>
      </c>
    </row>
    <row r="1239" spans="1:8" hidden="1" x14ac:dyDescent="0.2">
      <c r="A1239" t="s">
        <v>1583</v>
      </c>
      <c r="D1239" t="s">
        <v>1584</v>
      </c>
      <c r="E1239" t="s">
        <v>12</v>
      </c>
      <c r="G1239" t="s">
        <v>31</v>
      </c>
      <c r="H1239" t="s">
        <v>27</v>
      </c>
    </row>
    <row r="1240" spans="1:8" hidden="1" x14ac:dyDescent="0.2">
      <c r="A1240" t="s">
        <v>1583</v>
      </c>
      <c r="D1240" t="s">
        <v>1584</v>
      </c>
      <c r="E1240" t="s">
        <v>21</v>
      </c>
      <c r="G1240" t="s">
        <v>31</v>
      </c>
      <c r="H1240" t="s">
        <v>51</v>
      </c>
    </row>
    <row r="1241" spans="1:8" hidden="1" x14ac:dyDescent="0.2">
      <c r="A1241" t="s">
        <v>1583</v>
      </c>
      <c r="D1241" t="s">
        <v>1584</v>
      </c>
      <c r="E1241" t="s">
        <v>20</v>
      </c>
      <c r="G1241" t="s">
        <v>31</v>
      </c>
      <c r="H1241" t="s">
        <v>51</v>
      </c>
    </row>
    <row r="1242" spans="1:8" hidden="1" x14ac:dyDescent="0.2">
      <c r="A1242" t="s">
        <v>1583</v>
      </c>
      <c r="D1242" t="s">
        <v>1584</v>
      </c>
      <c r="E1242" t="s">
        <v>19</v>
      </c>
      <c r="G1242" t="s">
        <v>31</v>
      </c>
      <c r="H1242" t="s">
        <v>51</v>
      </c>
    </row>
    <row r="1243" spans="1:8" hidden="1" x14ac:dyDescent="0.2">
      <c r="A1243" t="s">
        <v>1583</v>
      </c>
      <c r="D1243" t="s">
        <v>1584</v>
      </c>
      <c r="E1243" t="s">
        <v>17</v>
      </c>
      <c r="G1243" t="s">
        <v>31</v>
      </c>
      <c r="H1243" t="s">
        <v>51</v>
      </c>
    </row>
    <row r="1244" spans="1:8" hidden="1" x14ac:dyDescent="0.2">
      <c r="A1244" t="s">
        <v>323</v>
      </c>
      <c r="B1244" t="s">
        <v>56</v>
      </c>
      <c r="C1244" t="s">
        <v>60</v>
      </c>
      <c r="D1244" t="s">
        <v>324</v>
      </c>
      <c r="E1244" t="s">
        <v>22</v>
      </c>
      <c r="F1244">
        <v>136</v>
      </c>
      <c r="G1244" t="s">
        <v>26</v>
      </c>
      <c r="H1244" t="s">
        <v>14</v>
      </c>
    </row>
    <row r="1245" spans="1:8" hidden="1" x14ac:dyDescent="0.2">
      <c r="A1245" t="s">
        <v>323</v>
      </c>
      <c r="B1245" t="s">
        <v>56</v>
      </c>
      <c r="C1245" t="s">
        <v>60</v>
      </c>
      <c r="D1245" t="s">
        <v>324</v>
      </c>
      <c r="E1245" t="s">
        <v>1528</v>
      </c>
      <c r="G1245" t="s">
        <v>26</v>
      </c>
      <c r="H1245" t="s">
        <v>14</v>
      </c>
    </row>
    <row r="1246" spans="1:8" hidden="1" x14ac:dyDescent="0.2">
      <c r="A1246" t="s">
        <v>323</v>
      </c>
      <c r="B1246" t="s">
        <v>56</v>
      </c>
      <c r="C1246" t="s">
        <v>60</v>
      </c>
      <c r="D1246" t="s">
        <v>324</v>
      </c>
      <c r="E1246" t="s">
        <v>1529</v>
      </c>
      <c r="G1246" t="s">
        <v>26</v>
      </c>
      <c r="H1246" t="s">
        <v>14</v>
      </c>
    </row>
    <row r="1247" spans="1:8" hidden="1" x14ac:dyDescent="0.2">
      <c r="A1247" t="s">
        <v>323</v>
      </c>
      <c r="B1247" t="s">
        <v>56</v>
      </c>
      <c r="C1247" t="s">
        <v>60</v>
      </c>
      <c r="D1247" t="s">
        <v>324</v>
      </c>
      <c r="E1247" t="s">
        <v>1530</v>
      </c>
      <c r="G1247" t="s">
        <v>26</v>
      </c>
      <c r="H1247" t="s">
        <v>14</v>
      </c>
    </row>
    <row r="1248" spans="1:8" hidden="1" x14ac:dyDescent="0.2">
      <c r="A1248" t="s">
        <v>323</v>
      </c>
      <c r="B1248" t="s">
        <v>56</v>
      </c>
      <c r="C1248" t="s">
        <v>60</v>
      </c>
      <c r="D1248" t="s">
        <v>324</v>
      </c>
      <c r="E1248" t="s">
        <v>1531</v>
      </c>
      <c r="G1248" t="s">
        <v>26</v>
      </c>
      <c r="H1248" t="s">
        <v>14</v>
      </c>
    </row>
    <row r="1249" spans="1:8" hidden="1" x14ac:dyDescent="0.2">
      <c r="A1249" t="s">
        <v>323</v>
      </c>
      <c r="B1249" t="s">
        <v>56</v>
      </c>
      <c r="C1249" t="s">
        <v>60</v>
      </c>
      <c r="D1249" t="s">
        <v>324</v>
      </c>
      <c r="E1249" t="s">
        <v>12</v>
      </c>
      <c r="F1249">
        <v>27.2</v>
      </c>
      <c r="G1249" t="s">
        <v>26</v>
      </c>
      <c r="H1249" t="s">
        <v>50</v>
      </c>
    </row>
    <row r="1250" spans="1:8" hidden="1" x14ac:dyDescent="0.2">
      <c r="A1250" t="s">
        <v>323</v>
      </c>
      <c r="B1250" t="s">
        <v>56</v>
      </c>
      <c r="C1250" t="s">
        <v>60</v>
      </c>
      <c r="D1250" t="s">
        <v>324</v>
      </c>
      <c r="E1250" t="s">
        <v>21</v>
      </c>
      <c r="F1250">
        <v>68</v>
      </c>
      <c r="G1250" t="s">
        <v>26</v>
      </c>
      <c r="H1250" t="s">
        <v>14</v>
      </c>
    </row>
    <row r="1251" spans="1:8" hidden="1" x14ac:dyDescent="0.2">
      <c r="A1251" t="s">
        <v>323</v>
      </c>
      <c r="B1251" t="s">
        <v>56</v>
      </c>
      <c r="C1251" t="s">
        <v>60</v>
      </c>
      <c r="D1251" t="s">
        <v>324</v>
      </c>
      <c r="E1251" t="s">
        <v>20</v>
      </c>
      <c r="F1251">
        <v>54.4</v>
      </c>
      <c r="G1251" t="s">
        <v>26</v>
      </c>
      <c r="H1251" t="s">
        <v>14</v>
      </c>
    </row>
    <row r="1252" spans="1:8" hidden="1" x14ac:dyDescent="0.2">
      <c r="A1252" t="s">
        <v>323</v>
      </c>
      <c r="B1252" t="s">
        <v>56</v>
      </c>
      <c r="C1252" t="s">
        <v>60</v>
      </c>
      <c r="D1252" t="s">
        <v>324</v>
      </c>
      <c r="E1252" t="s">
        <v>19</v>
      </c>
      <c r="F1252">
        <v>54.4</v>
      </c>
      <c r="G1252" t="s">
        <v>26</v>
      </c>
      <c r="H1252" t="s">
        <v>14</v>
      </c>
    </row>
    <row r="1253" spans="1:8" hidden="1" x14ac:dyDescent="0.2">
      <c r="A1253" t="s">
        <v>323</v>
      </c>
      <c r="B1253" t="s">
        <v>56</v>
      </c>
      <c r="C1253" t="s">
        <v>60</v>
      </c>
      <c r="D1253" t="s">
        <v>324</v>
      </c>
      <c r="E1253" t="s">
        <v>17</v>
      </c>
      <c r="F1253">
        <v>68</v>
      </c>
      <c r="G1253" t="s">
        <v>26</v>
      </c>
      <c r="H1253" t="s">
        <v>14</v>
      </c>
    </row>
    <row r="1254" spans="1:8" hidden="1" x14ac:dyDescent="0.2">
      <c r="A1254" t="s">
        <v>325</v>
      </c>
      <c r="B1254" t="s">
        <v>56</v>
      </c>
      <c r="C1254" t="s">
        <v>62</v>
      </c>
      <c r="D1254" t="s">
        <v>326</v>
      </c>
      <c r="E1254" t="s">
        <v>22</v>
      </c>
      <c r="F1254">
        <v>37.299999999999997</v>
      </c>
      <c r="G1254" t="s">
        <v>26</v>
      </c>
      <c r="H1254" t="s">
        <v>14</v>
      </c>
    </row>
    <row r="1255" spans="1:8" hidden="1" x14ac:dyDescent="0.2">
      <c r="A1255" t="s">
        <v>325</v>
      </c>
      <c r="B1255" t="s">
        <v>56</v>
      </c>
      <c r="C1255" t="s">
        <v>62</v>
      </c>
      <c r="D1255" t="s">
        <v>326</v>
      </c>
      <c r="E1255" t="s">
        <v>1528</v>
      </c>
      <c r="G1255" t="s">
        <v>26</v>
      </c>
      <c r="H1255" t="s">
        <v>14</v>
      </c>
    </row>
    <row r="1256" spans="1:8" hidden="1" x14ac:dyDescent="0.2">
      <c r="A1256" t="s">
        <v>325</v>
      </c>
      <c r="B1256" t="s">
        <v>56</v>
      </c>
      <c r="C1256" t="s">
        <v>62</v>
      </c>
      <c r="D1256" t="s">
        <v>326</v>
      </c>
      <c r="E1256" t="s">
        <v>1529</v>
      </c>
      <c r="G1256" t="s">
        <v>26</v>
      </c>
      <c r="H1256" t="s">
        <v>14</v>
      </c>
    </row>
    <row r="1257" spans="1:8" hidden="1" x14ac:dyDescent="0.2">
      <c r="A1257" t="s">
        <v>325</v>
      </c>
      <c r="B1257" t="s">
        <v>56</v>
      </c>
      <c r="C1257" t="s">
        <v>62</v>
      </c>
      <c r="D1257" t="s">
        <v>326</v>
      </c>
      <c r="E1257" t="s">
        <v>1530</v>
      </c>
      <c r="G1257" t="s">
        <v>26</v>
      </c>
      <c r="H1257" t="s">
        <v>14</v>
      </c>
    </row>
    <row r="1258" spans="1:8" hidden="1" x14ac:dyDescent="0.2">
      <c r="A1258" t="s">
        <v>325</v>
      </c>
      <c r="B1258" t="s">
        <v>56</v>
      </c>
      <c r="C1258" t="s">
        <v>62</v>
      </c>
      <c r="D1258" t="s">
        <v>326</v>
      </c>
      <c r="E1258" t="s">
        <v>1531</v>
      </c>
      <c r="G1258" t="s">
        <v>26</v>
      </c>
      <c r="H1258" t="s">
        <v>14</v>
      </c>
    </row>
    <row r="1259" spans="1:8" hidden="1" x14ac:dyDescent="0.2">
      <c r="A1259" t="s">
        <v>325</v>
      </c>
      <c r="B1259" t="s">
        <v>56</v>
      </c>
      <c r="C1259" t="s">
        <v>62</v>
      </c>
      <c r="D1259" t="s">
        <v>326</v>
      </c>
      <c r="E1259" t="s">
        <v>12</v>
      </c>
      <c r="F1259">
        <v>7.5</v>
      </c>
      <c r="G1259" t="s">
        <v>26</v>
      </c>
      <c r="H1259" t="s">
        <v>50</v>
      </c>
    </row>
    <row r="1260" spans="1:8" hidden="1" x14ac:dyDescent="0.2">
      <c r="A1260" t="s">
        <v>325</v>
      </c>
      <c r="B1260" t="s">
        <v>56</v>
      </c>
      <c r="C1260" t="s">
        <v>62</v>
      </c>
      <c r="D1260" t="s">
        <v>326</v>
      </c>
      <c r="E1260" t="s">
        <v>21</v>
      </c>
      <c r="F1260">
        <v>18.600000000000001</v>
      </c>
      <c r="G1260" t="s">
        <v>26</v>
      </c>
      <c r="H1260" t="s">
        <v>14</v>
      </c>
    </row>
    <row r="1261" spans="1:8" hidden="1" x14ac:dyDescent="0.2">
      <c r="A1261" t="s">
        <v>325</v>
      </c>
      <c r="B1261" t="s">
        <v>56</v>
      </c>
      <c r="C1261" t="s">
        <v>62</v>
      </c>
      <c r="D1261" t="s">
        <v>326</v>
      </c>
      <c r="E1261" t="s">
        <v>20</v>
      </c>
      <c r="F1261">
        <v>14.9</v>
      </c>
      <c r="G1261" t="s">
        <v>26</v>
      </c>
      <c r="H1261" t="s">
        <v>14</v>
      </c>
    </row>
    <row r="1262" spans="1:8" hidden="1" x14ac:dyDescent="0.2">
      <c r="A1262" t="s">
        <v>325</v>
      </c>
      <c r="B1262" t="s">
        <v>56</v>
      </c>
      <c r="C1262" t="s">
        <v>62</v>
      </c>
      <c r="D1262" t="s">
        <v>326</v>
      </c>
      <c r="E1262" t="s">
        <v>19</v>
      </c>
      <c r="F1262">
        <v>14.9</v>
      </c>
      <c r="G1262" t="s">
        <v>26</v>
      </c>
      <c r="H1262" t="s">
        <v>14</v>
      </c>
    </row>
    <row r="1263" spans="1:8" hidden="1" x14ac:dyDescent="0.2">
      <c r="A1263" t="s">
        <v>325</v>
      </c>
      <c r="B1263" t="s">
        <v>56</v>
      </c>
      <c r="C1263" t="s">
        <v>62</v>
      </c>
      <c r="D1263" t="s">
        <v>326</v>
      </c>
      <c r="E1263" t="s">
        <v>17</v>
      </c>
      <c r="F1263">
        <v>18.600000000000001</v>
      </c>
      <c r="G1263" t="s">
        <v>26</v>
      </c>
      <c r="H1263" t="s">
        <v>14</v>
      </c>
    </row>
    <row r="1264" spans="1:8" hidden="1" x14ac:dyDescent="0.2">
      <c r="A1264" t="s">
        <v>327</v>
      </c>
      <c r="B1264" t="s">
        <v>66</v>
      </c>
      <c r="C1264" t="s">
        <v>73</v>
      </c>
      <c r="D1264" t="s">
        <v>328</v>
      </c>
      <c r="E1264" t="s">
        <v>22</v>
      </c>
      <c r="F1264">
        <v>266.7</v>
      </c>
      <c r="G1264" t="s">
        <v>31</v>
      </c>
      <c r="H1264" t="s">
        <v>51</v>
      </c>
    </row>
    <row r="1265" spans="1:8" hidden="1" x14ac:dyDescent="0.2">
      <c r="A1265" t="s">
        <v>327</v>
      </c>
      <c r="B1265" t="s">
        <v>66</v>
      </c>
      <c r="C1265" t="s">
        <v>73</v>
      </c>
      <c r="D1265" t="s">
        <v>328</v>
      </c>
      <c r="E1265" t="s">
        <v>1528</v>
      </c>
      <c r="G1265" t="s">
        <v>31</v>
      </c>
      <c r="H1265" t="s">
        <v>51</v>
      </c>
    </row>
    <row r="1266" spans="1:8" hidden="1" x14ac:dyDescent="0.2">
      <c r="A1266" t="s">
        <v>327</v>
      </c>
      <c r="B1266" t="s">
        <v>66</v>
      </c>
      <c r="C1266" t="s">
        <v>73</v>
      </c>
      <c r="D1266" t="s">
        <v>328</v>
      </c>
      <c r="E1266" t="s">
        <v>1529</v>
      </c>
      <c r="G1266" t="s">
        <v>31</v>
      </c>
      <c r="H1266" t="s">
        <v>51</v>
      </c>
    </row>
    <row r="1267" spans="1:8" hidden="1" x14ac:dyDescent="0.2">
      <c r="A1267" t="s">
        <v>327</v>
      </c>
      <c r="B1267" t="s">
        <v>66</v>
      </c>
      <c r="C1267" t="s">
        <v>73</v>
      </c>
      <c r="D1267" t="s">
        <v>328</v>
      </c>
      <c r="E1267" t="s">
        <v>1530</v>
      </c>
      <c r="G1267" t="s">
        <v>31</v>
      </c>
      <c r="H1267" t="s">
        <v>51</v>
      </c>
    </row>
    <row r="1268" spans="1:8" hidden="1" x14ac:dyDescent="0.2">
      <c r="A1268" t="s">
        <v>327</v>
      </c>
      <c r="B1268" t="s">
        <v>66</v>
      </c>
      <c r="C1268" t="s">
        <v>73</v>
      </c>
      <c r="D1268" t="s">
        <v>328</v>
      </c>
      <c r="E1268" t="s">
        <v>1531</v>
      </c>
      <c r="G1268" t="s">
        <v>31</v>
      </c>
      <c r="H1268" t="s">
        <v>51</v>
      </c>
    </row>
    <row r="1269" spans="1:8" hidden="1" x14ac:dyDescent="0.2">
      <c r="A1269" t="s">
        <v>327</v>
      </c>
      <c r="B1269" t="s">
        <v>66</v>
      </c>
      <c r="C1269" t="s">
        <v>73</v>
      </c>
      <c r="D1269" t="s">
        <v>328</v>
      </c>
      <c r="E1269" t="s">
        <v>12</v>
      </c>
      <c r="F1269">
        <v>53.3</v>
      </c>
      <c r="G1269" t="s">
        <v>31</v>
      </c>
      <c r="H1269" t="s">
        <v>27</v>
      </c>
    </row>
    <row r="1270" spans="1:8" hidden="1" x14ac:dyDescent="0.2">
      <c r="A1270" t="s">
        <v>327</v>
      </c>
      <c r="B1270" t="s">
        <v>66</v>
      </c>
      <c r="C1270" t="s">
        <v>73</v>
      </c>
      <c r="D1270" t="s">
        <v>328</v>
      </c>
      <c r="E1270" t="s">
        <v>21</v>
      </c>
      <c r="F1270">
        <v>133.4</v>
      </c>
      <c r="G1270" t="s">
        <v>31</v>
      </c>
      <c r="H1270" t="s">
        <v>51</v>
      </c>
    </row>
    <row r="1271" spans="1:8" hidden="1" x14ac:dyDescent="0.2">
      <c r="A1271" t="s">
        <v>327</v>
      </c>
      <c r="B1271" t="s">
        <v>66</v>
      </c>
      <c r="C1271" t="s">
        <v>73</v>
      </c>
      <c r="D1271" t="s">
        <v>328</v>
      </c>
      <c r="E1271" t="s">
        <v>20</v>
      </c>
      <c r="F1271">
        <v>106.7</v>
      </c>
      <c r="G1271" t="s">
        <v>31</v>
      </c>
      <c r="H1271" t="s">
        <v>51</v>
      </c>
    </row>
    <row r="1272" spans="1:8" hidden="1" x14ac:dyDescent="0.2">
      <c r="A1272" t="s">
        <v>327</v>
      </c>
      <c r="B1272" t="s">
        <v>66</v>
      </c>
      <c r="C1272" t="s">
        <v>73</v>
      </c>
      <c r="D1272" t="s">
        <v>328</v>
      </c>
      <c r="E1272" t="s">
        <v>19</v>
      </c>
      <c r="F1272">
        <v>106.7</v>
      </c>
      <c r="G1272" t="s">
        <v>31</v>
      </c>
      <c r="H1272" t="s">
        <v>51</v>
      </c>
    </row>
    <row r="1273" spans="1:8" hidden="1" x14ac:dyDescent="0.2">
      <c r="A1273" t="s">
        <v>327</v>
      </c>
      <c r="B1273" t="s">
        <v>66</v>
      </c>
      <c r="C1273" t="s">
        <v>73</v>
      </c>
      <c r="D1273" t="s">
        <v>328</v>
      </c>
      <c r="E1273" t="s">
        <v>17</v>
      </c>
      <c r="F1273">
        <v>133.4</v>
      </c>
      <c r="G1273" t="s">
        <v>31</v>
      </c>
      <c r="H1273" t="s">
        <v>51</v>
      </c>
    </row>
    <row r="1274" spans="1:8" hidden="1" x14ac:dyDescent="0.2">
      <c r="A1274" t="s">
        <v>329</v>
      </c>
      <c r="B1274" t="s">
        <v>75</v>
      </c>
      <c r="C1274" t="s">
        <v>85</v>
      </c>
      <c r="D1274" t="s">
        <v>330</v>
      </c>
      <c r="E1274" t="s">
        <v>22</v>
      </c>
      <c r="G1274" t="s">
        <v>26</v>
      </c>
      <c r="H1274" t="s">
        <v>18</v>
      </c>
    </row>
    <row r="1275" spans="1:8" hidden="1" x14ac:dyDescent="0.2">
      <c r="A1275" t="s">
        <v>329</v>
      </c>
      <c r="B1275" t="s">
        <v>75</v>
      </c>
      <c r="C1275" t="s">
        <v>85</v>
      </c>
      <c r="D1275" t="s">
        <v>330</v>
      </c>
      <c r="E1275" t="s">
        <v>1528</v>
      </c>
      <c r="G1275" t="s">
        <v>26</v>
      </c>
      <c r="H1275" t="s">
        <v>18</v>
      </c>
    </row>
    <row r="1276" spans="1:8" hidden="1" x14ac:dyDescent="0.2">
      <c r="A1276" t="s">
        <v>329</v>
      </c>
      <c r="B1276" t="s">
        <v>75</v>
      </c>
      <c r="C1276" t="s">
        <v>85</v>
      </c>
      <c r="D1276" t="s">
        <v>330</v>
      </c>
      <c r="E1276" t="s">
        <v>1529</v>
      </c>
      <c r="G1276" t="s">
        <v>26</v>
      </c>
      <c r="H1276" t="s">
        <v>18</v>
      </c>
    </row>
    <row r="1277" spans="1:8" hidden="1" x14ac:dyDescent="0.2">
      <c r="A1277" t="s">
        <v>329</v>
      </c>
      <c r="B1277" t="s">
        <v>75</v>
      </c>
      <c r="C1277" t="s">
        <v>85</v>
      </c>
      <c r="D1277" t="s">
        <v>330</v>
      </c>
      <c r="E1277" t="s">
        <v>1530</v>
      </c>
      <c r="G1277" t="s">
        <v>26</v>
      </c>
      <c r="H1277" t="s">
        <v>18</v>
      </c>
    </row>
    <row r="1278" spans="1:8" hidden="1" x14ac:dyDescent="0.2">
      <c r="A1278" t="s">
        <v>329</v>
      </c>
      <c r="B1278" t="s">
        <v>75</v>
      </c>
      <c r="C1278" t="s">
        <v>85</v>
      </c>
      <c r="D1278" t="s">
        <v>330</v>
      </c>
      <c r="E1278" t="s">
        <v>1531</v>
      </c>
      <c r="G1278" t="s">
        <v>26</v>
      </c>
      <c r="H1278" t="s">
        <v>18</v>
      </c>
    </row>
    <row r="1279" spans="1:8" hidden="1" x14ac:dyDescent="0.2">
      <c r="A1279" t="s">
        <v>329</v>
      </c>
      <c r="B1279" t="s">
        <v>75</v>
      </c>
      <c r="C1279" t="s">
        <v>85</v>
      </c>
      <c r="D1279" t="s">
        <v>330</v>
      </c>
      <c r="E1279" t="s">
        <v>12</v>
      </c>
      <c r="G1279" t="s">
        <v>26</v>
      </c>
      <c r="H1279" t="s">
        <v>14</v>
      </c>
    </row>
    <row r="1280" spans="1:8" hidden="1" x14ac:dyDescent="0.2">
      <c r="A1280" t="s">
        <v>329</v>
      </c>
      <c r="B1280" t="s">
        <v>75</v>
      </c>
      <c r="C1280" t="s">
        <v>85</v>
      </c>
      <c r="D1280" t="s">
        <v>330</v>
      </c>
      <c r="E1280" t="s">
        <v>21</v>
      </c>
      <c r="G1280" t="s">
        <v>26</v>
      </c>
      <c r="H1280" t="s">
        <v>18</v>
      </c>
    </row>
    <row r="1281" spans="1:8" hidden="1" x14ac:dyDescent="0.2">
      <c r="A1281" t="s">
        <v>329</v>
      </c>
      <c r="B1281" t="s">
        <v>75</v>
      </c>
      <c r="C1281" t="s">
        <v>85</v>
      </c>
      <c r="D1281" t="s">
        <v>330</v>
      </c>
      <c r="E1281" t="s">
        <v>20</v>
      </c>
      <c r="G1281" t="s">
        <v>26</v>
      </c>
      <c r="H1281" t="s">
        <v>18</v>
      </c>
    </row>
    <row r="1282" spans="1:8" hidden="1" x14ac:dyDescent="0.2">
      <c r="A1282" t="s">
        <v>329</v>
      </c>
      <c r="B1282" t="s">
        <v>75</v>
      </c>
      <c r="C1282" t="s">
        <v>85</v>
      </c>
      <c r="D1282" t="s">
        <v>330</v>
      </c>
      <c r="E1282" t="s">
        <v>19</v>
      </c>
      <c r="G1282" t="s">
        <v>26</v>
      </c>
      <c r="H1282" t="s">
        <v>18</v>
      </c>
    </row>
    <row r="1283" spans="1:8" hidden="1" x14ac:dyDescent="0.2">
      <c r="A1283" t="s">
        <v>329</v>
      </c>
      <c r="B1283" t="s">
        <v>75</v>
      </c>
      <c r="C1283" t="s">
        <v>85</v>
      </c>
      <c r="D1283" t="s">
        <v>330</v>
      </c>
      <c r="E1283" t="s">
        <v>17</v>
      </c>
      <c r="G1283" t="s">
        <v>26</v>
      </c>
      <c r="H1283" t="s">
        <v>18</v>
      </c>
    </row>
    <row r="1284" spans="1:8" hidden="1" x14ac:dyDescent="0.2">
      <c r="A1284" t="s">
        <v>331</v>
      </c>
      <c r="B1284" t="s">
        <v>63</v>
      </c>
      <c r="C1284" t="s">
        <v>64</v>
      </c>
      <c r="D1284" t="s">
        <v>332</v>
      </c>
      <c r="E1284" t="s">
        <v>22</v>
      </c>
      <c r="F1284">
        <v>264</v>
      </c>
      <c r="G1284" t="s">
        <v>26</v>
      </c>
      <c r="H1284" t="s">
        <v>18</v>
      </c>
    </row>
    <row r="1285" spans="1:8" hidden="1" x14ac:dyDescent="0.2">
      <c r="A1285" t="s">
        <v>331</v>
      </c>
      <c r="B1285" t="s">
        <v>63</v>
      </c>
      <c r="C1285" t="s">
        <v>64</v>
      </c>
      <c r="D1285" t="s">
        <v>332</v>
      </c>
      <c r="E1285" t="s">
        <v>1528</v>
      </c>
      <c r="G1285" t="s">
        <v>26</v>
      </c>
      <c r="H1285" t="s">
        <v>18</v>
      </c>
    </row>
    <row r="1286" spans="1:8" hidden="1" x14ac:dyDescent="0.2">
      <c r="A1286" t="s">
        <v>331</v>
      </c>
      <c r="B1286" t="s">
        <v>63</v>
      </c>
      <c r="C1286" t="s">
        <v>64</v>
      </c>
      <c r="D1286" t="s">
        <v>332</v>
      </c>
      <c r="E1286" t="s">
        <v>1529</v>
      </c>
      <c r="G1286" t="s">
        <v>26</v>
      </c>
      <c r="H1286" t="s">
        <v>18</v>
      </c>
    </row>
    <row r="1287" spans="1:8" hidden="1" x14ac:dyDescent="0.2">
      <c r="A1287" t="s">
        <v>331</v>
      </c>
      <c r="B1287" t="s">
        <v>63</v>
      </c>
      <c r="C1287" t="s">
        <v>64</v>
      </c>
      <c r="D1287" t="s">
        <v>332</v>
      </c>
      <c r="E1287" t="s">
        <v>1530</v>
      </c>
      <c r="G1287" t="s">
        <v>26</v>
      </c>
      <c r="H1287" t="s">
        <v>18</v>
      </c>
    </row>
    <row r="1288" spans="1:8" hidden="1" x14ac:dyDescent="0.2">
      <c r="A1288" t="s">
        <v>331</v>
      </c>
      <c r="B1288" t="s">
        <v>63</v>
      </c>
      <c r="C1288" t="s">
        <v>64</v>
      </c>
      <c r="D1288" t="s">
        <v>332</v>
      </c>
      <c r="E1288" t="s">
        <v>1531</v>
      </c>
      <c r="G1288" t="s">
        <v>26</v>
      </c>
      <c r="H1288" t="s">
        <v>18</v>
      </c>
    </row>
    <row r="1289" spans="1:8" hidden="1" x14ac:dyDescent="0.2">
      <c r="A1289" t="s">
        <v>331</v>
      </c>
      <c r="B1289" t="s">
        <v>63</v>
      </c>
      <c r="C1289" t="s">
        <v>64</v>
      </c>
      <c r="D1289" t="s">
        <v>332</v>
      </c>
      <c r="E1289" t="s">
        <v>12</v>
      </c>
      <c r="F1289">
        <v>52.8</v>
      </c>
      <c r="G1289" t="s">
        <v>26</v>
      </c>
      <c r="H1289" t="s">
        <v>14</v>
      </c>
    </row>
    <row r="1290" spans="1:8" hidden="1" x14ac:dyDescent="0.2">
      <c r="A1290" t="s">
        <v>331</v>
      </c>
      <c r="B1290" t="s">
        <v>63</v>
      </c>
      <c r="C1290" t="s">
        <v>64</v>
      </c>
      <c r="D1290" t="s">
        <v>332</v>
      </c>
      <c r="E1290" t="s">
        <v>21</v>
      </c>
      <c r="F1290">
        <v>132</v>
      </c>
      <c r="G1290" t="s">
        <v>26</v>
      </c>
      <c r="H1290" t="s">
        <v>18</v>
      </c>
    </row>
    <row r="1291" spans="1:8" hidden="1" x14ac:dyDescent="0.2">
      <c r="A1291" t="s">
        <v>331</v>
      </c>
      <c r="B1291" t="s">
        <v>63</v>
      </c>
      <c r="C1291" t="s">
        <v>64</v>
      </c>
      <c r="D1291" t="s">
        <v>332</v>
      </c>
      <c r="E1291" t="s">
        <v>20</v>
      </c>
      <c r="F1291">
        <v>105.6</v>
      </c>
      <c r="G1291" t="s">
        <v>26</v>
      </c>
      <c r="H1291" t="s">
        <v>18</v>
      </c>
    </row>
    <row r="1292" spans="1:8" hidden="1" x14ac:dyDescent="0.2">
      <c r="A1292" t="s">
        <v>331</v>
      </c>
      <c r="B1292" t="s">
        <v>63</v>
      </c>
      <c r="C1292" t="s">
        <v>64</v>
      </c>
      <c r="D1292" t="s">
        <v>332</v>
      </c>
      <c r="E1292" t="s">
        <v>19</v>
      </c>
      <c r="F1292">
        <v>105.6</v>
      </c>
      <c r="G1292" t="s">
        <v>26</v>
      </c>
      <c r="H1292" t="s">
        <v>18</v>
      </c>
    </row>
    <row r="1293" spans="1:8" hidden="1" x14ac:dyDescent="0.2">
      <c r="A1293" t="s">
        <v>331</v>
      </c>
      <c r="B1293" t="s">
        <v>63</v>
      </c>
      <c r="C1293" t="s">
        <v>64</v>
      </c>
      <c r="D1293" t="s">
        <v>332</v>
      </c>
      <c r="E1293" t="s">
        <v>17</v>
      </c>
      <c r="F1293">
        <v>132</v>
      </c>
      <c r="G1293" t="s">
        <v>26</v>
      </c>
      <c r="H1293" t="s">
        <v>18</v>
      </c>
    </row>
    <row r="1294" spans="1:8" hidden="1" x14ac:dyDescent="0.2">
      <c r="A1294" t="s">
        <v>333</v>
      </c>
      <c r="B1294" t="s">
        <v>63</v>
      </c>
      <c r="C1294" t="s">
        <v>65</v>
      </c>
      <c r="D1294" t="s">
        <v>334</v>
      </c>
      <c r="E1294" t="s">
        <v>22</v>
      </c>
      <c r="F1294">
        <v>160</v>
      </c>
      <c r="G1294" t="s">
        <v>26</v>
      </c>
      <c r="H1294" t="s">
        <v>18</v>
      </c>
    </row>
    <row r="1295" spans="1:8" hidden="1" x14ac:dyDescent="0.2">
      <c r="A1295" t="s">
        <v>333</v>
      </c>
      <c r="B1295" t="s">
        <v>63</v>
      </c>
      <c r="C1295" t="s">
        <v>65</v>
      </c>
      <c r="D1295" t="s">
        <v>334</v>
      </c>
      <c r="E1295" t="s">
        <v>1528</v>
      </c>
      <c r="G1295" t="s">
        <v>26</v>
      </c>
      <c r="H1295" t="s">
        <v>18</v>
      </c>
    </row>
    <row r="1296" spans="1:8" hidden="1" x14ac:dyDescent="0.2">
      <c r="A1296" t="s">
        <v>333</v>
      </c>
      <c r="B1296" t="s">
        <v>63</v>
      </c>
      <c r="C1296" t="s">
        <v>65</v>
      </c>
      <c r="D1296" t="s">
        <v>334</v>
      </c>
      <c r="E1296" t="s">
        <v>1529</v>
      </c>
      <c r="G1296" t="s">
        <v>26</v>
      </c>
      <c r="H1296" t="s">
        <v>18</v>
      </c>
    </row>
    <row r="1297" spans="1:8" hidden="1" x14ac:dyDescent="0.2">
      <c r="A1297" t="s">
        <v>333</v>
      </c>
      <c r="B1297" t="s">
        <v>63</v>
      </c>
      <c r="C1297" t="s">
        <v>65</v>
      </c>
      <c r="D1297" t="s">
        <v>334</v>
      </c>
      <c r="E1297" t="s">
        <v>1530</v>
      </c>
      <c r="G1297" t="s">
        <v>26</v>
      </c>
      <c r="H1297" t="s">
        <v>18</v>
      </c>
    </row>
    <row r="1298" spans="1:8" hidden="1" x14ac:dyDescent="0.2">
      <c r="A1298" t="s">
        <v>333</v>
      </c>
      <c r="B1298" t="s">
        <v>63</v>
      </c>
      <c r="C1298" t="s">
        <v>65</v>
      </c>
      <c r="D1298" t="s">
        <v>334</v>
      </c>
      <c r="E1298" t="s">
        <v>1531</v>
      </c>
      <c r="G1298" t="s">
        <v>26</v>
      </c>
      <c r="H1298" t="s">
        <v>18</v>
      </c>
    </row>
    <row r="1299" spans="1:8" hidden="1" x14ac:dyDescent="0.2">
      <c r="A1299" t="s">
        <v>333</v>
      </c>
      <c r="B1299" t="s">
        <v>63</v>
      </c>
      <c r="C1299" t="s">
        <v>65</v>
      </c>
      <c r="D1299" t="s">
        <v>334</v>
      </c>
      <c r="E1299" t="s">
        <v>12</v>
      </c>
      <c r="F1299">
        <v>32</v>
      </c>
      <c r="G1299" t="s">
        <v>26</v>
      </c>
      <c r="H1299" t="s">
        <v>14</v>
      </c>
    </row>
    <row r="1300" spans="1:8" hidden="1" x14ac:dyDescent="0.2">
      <c r="A1300" t="s">
        <v>333</v>
      </c>
      <c r="B1300" t="s">
        <v>63</v>
      </c>
      <c r="C1300" t="s">
        <v>65</v>
      </c>
      <c r="D1300" t="s">
        <v>334</v>
      </c>
      <c r="E1300" t="s">
        <v>21</v>
      </c>
      <c r="F1300">
        <v>80</v>
      </c>
      <c r="G1300" t="s">
        <v>26</v>
      </c>
      <c r="H1300" t="s">
        <v>18</v>
      </c>
    </row>
    <row r="1301" spans="1:8" hidden="1" x14ac:dyDescent="0.2">
      <c r="A1301" t="s">
        <v>333</v>
      </c>
      <c r="B1301" t="s">
        <v>63</v>
      </c>
      <c r="C1301" t="s">
        <v>65</v>
      </c>
      <c r="D1301" t="s">
        <v>334</v>
      </c>
      <c r="E1301" t="s">
        <v>20</v>
      </c>
      <c r="F1301">
        <v>64</v>
      </c>
      <c r="G1301" t="s">
        <v>26</v>
      </c>
      <c r="H1301" t="s">
        <v>18</v>
      </c>
    </row>
    <row r="1302" spans="1:8" hidden="1" x14ac:dyDescent="0.2">
      <c r="A1302" t="s">
        <v>333</v>
      </c>
      <c r="B1302" t="s">
        <v>63</v>
      </c>
      <c r="C1302" t="s">
        <v>65</v>
      </c>
      <c r="D1302" t="s">
        <v>334</v>
      </c>
      <c r="E1302" t="s">
        <v>19</v>
      </c>
      <c r="F1302">
        <v>64</v>
      </c>
      <c r="G1302" t="s">
        <v>26</v>
      </c>
      <c r="H1302" t="s">
        <v>18</v>
      </c>
    </row>
    <row r="1303" spans="1:8" hidden="1" x14ac:dyDescent="0.2">
      <c r="A1303" t="s">
        <v>333</v>
      </c>
      <c r="B1303" t="s">
        <v>63</v>
      </c>
      <c r="C1303" t="s">
        <v>65</v>
      </c>
      <c r="D1303" t="s">
        <v>334</v>
      </c>
      <c r="E1303" t="s">
        <v>17</v>
      </c>
      <c r="F1303">
        <v>80</v>
      </c>
      <c r="G1303" t="s">
        <v>26</v>
      </c>
      <c r="H1303" t="s">
        <v>18</v>
      </c>
    </row>
    <row r="1304" spans="1:8" hidden="1" x14ac:dyDescent="0.2">
      <c r="A1304" t="s">
        <v>335</v>
      </c>
      <c r="B1304" t="s">
        <v>63</v>
      </c>
      <c r="C1304" t="s">
        <v>65</v>
      </c>
      <c r="D1304" t="s">
        <v>336</v>
      </c>
      <c r="E1304" t="s">
        <v>22</v>
      </c>
      <c r="F1304">
        <v>160</v>
      </c>
      <c r="G1304" t="s">
        <v>26</v>
      </c>
      <c r="H1304" t="s">
        <v>18</v>
      </c>
    </row>
    <row r="1305" spans="1:8" hidden="1" x14ac:dyDescent="0.2">
      <c r="A1305" t="s">
        <v>335</v>
      </c>
      <c r="B1305" t="s">
        <v>63</v>
      </c>
      <c r="C1305" t="s">
        <v>65</v>
      </c>
      <c r="D1305" t="s">
        <v>336</v>
      </c>
      <c r="E1305" t="s">
        <v>1528</v>
      </c>
      <c r="G1305" t="s">
        <v>26</v>
      </c>
      <c r="H1305" t="s">
        <v>18</v>
      </c>
    </row>
    <row r="1306" spans="1:8" hidden="1" x14ac:dyDescent="0.2">
      <c r="A1306" t="s">
        <v>335</v>
      </c>
      <c r="B1306" t="s">
        <v>63</v>
      </c>
      <c r="C1306" t="s">
        <v>65</v>
      </c>
      <c r="D1306" t="s">
        <v>336</v>
      </c>
      <c r="E1306" t="s">
        <v>1529</v>
      </c>
      <c r="G1306" t="s">
        <v>26</v>
      </c>
      <c r="H1306" t="s">
        <v>18</v>
      </c>
    </row>
    <row r="1307" spans="1:8" hidden="1" x14ac:dyDescent="0.2">
      <c r="A1307" t="s">
        <v>335</v>
      </c>
      <c r="B1307" t="s">
        <v>63</v>
      </c>
      <c r="C1307" t="s">
        <v>65</v>
      </c>
      <c r="D1307" t="s">
        <v>336</v>
      </c>
      <c r="E1307" t="s">
        <v>1530</v>
      </c>
      <c r="G1307" t="s">
        <v>26</v>
      </c>
      <c r="H1307" t="s">
        <v>18</v>
      </c>
    </row>
    <row r="1308" spans="1:8" hidden="1" x14ac:dyDescent="0.2">
      <c r="A1308" t="s">
        <v>335</v>
      </c>
      <c r="B1308" t="s">
        <v>63</v>
      </c>
      <c r="C1308" t="s">
        <v>65</v>
      </c>
      <c r="D1308" t="s">
        <v>336</v>
      </c>
      <c r="E1308" t="s">
        <v>1531</v>
      </c>
      <c r="G1308" t="s">
        <v>26</v>
      </c>
      <c r="H1308" t="s">
        <v>18</v>
      </c>
    </row>
    <row r="1309" spans="1:8" hidden="1" x14ac:dyDescent="0.2">
      <c r="A1309" t="s">
        <v>335</v>
      </c>
      <c r="B1309" t="s">
        <v>63</v>
      </c>
      <c r="C1309" t="s">
        <v>65</v>
      </c>
      <c r="D1309" t="s">
        <v>336</v>
      </c>
      <c r="E1309" t="s">
        <v>12</v>
      </c>
      <c r="F1309">
        <v>32</v>
      </c>
      <c r="G1309" t="s">
        <v>26</v>
      </c>
      <c r="H1309" t="s">
        <v>14</v>
      </c>
    </row>
    <row r="1310" spans="1:8" hidden="1" x14ac:dyDescent="0.2">
      <c r="A1310" t="s">
        <v>335</v>
      </c>
      <c r="B1310" t="s">
        <v>63</v>
      </c>
      <c r="C1310" t="s">
        <v>65</v>
      </c>
      <c r="D1310" t="s">
        <v>336</v>
      </c>
      <c r="E1310" t="s">
        <v>21</v>
      </c>
      <c r="F1310">
        <v>80</v>
      </c>
      <c r="G1310" t="s">
        <v>26</v>
      </c>
      <c r="H1310" t="s">
        <v>18</v>
      </c>
    </row>
    <row r="1311" spans="1:8" hidden="1" x14ac:dyDescent="0.2">
      <c r="A1311" t="s">
        <v>335</v>
      </c>
      <c r="B1311" t="s">
        <v>63</v>
      </c>
      <c r="C1311" t="s">
        <v>65</v>
      </c>
      <c r="D1311" t="s">
        <v>336</v>
      </c>
      <c r="E1311" t="s">
        <v>20</v>
      </c>
      <c r="F1311">
        <v>64</v>
      </c>
      <c r="G1311" t="s">
        <v>26</v>
      </c>
      <c r="H1311" t="s">
        <v>18</v>
      </c>
    </row>
    <row r="1312" spans="1:8" hidden="1" x14ac:dyDescent="0.2">
      <c r="A1312" t="s">
        <v>335</v>
      </c>
      <c r="B1312" t="s">
        <v>63</v>
      </c>
      <c r="C1312" t="s">
        <v>65</v>
      </c>
      <c r="D1312" t="s">
        <v>336</v>
      </c>
      <c r="E1312" t="s">
        <v>19</v>
      </c>
      <c r="F1312">
        <v>64</v>
      </c>
      <c r="G1312" t="s">
        <v>26</v>
      </c>
      <c r="H1312" t="s">
        <v>18</v>
      </c>
    </row>
    <row r="1313" spans="1:8" hidden="1" x14ac:dyDescent="0.2">
      <c r="A1313" t="s">
        <v>335</v>
      </c>
      <c r="B1313" t="s">
        <v>63</v>
      </c>
      <c r="C1313" t="s">
        <v>65</v>
      </c>
      <c r="D1313" t="s">
        <v>336</v>
      </c>
      <c r="E1313" t="s">
        <v>17</v>
      </c>
      <c r="F1313">
        <v>80</v>
      </c>
      <c r="G1313" t="s">
        <v>26</v>
      </c>
      <c r="H1313" t="s">
        <v>18</v>
      </c>
    </row>
    <row r="1314" spans="1:8" hidden="1" x14ac:dyDescent="0.2">
      <c r="A1314" t="s">
        <v>337</v>
      </c>
      <c r="B1314" t="s">
        <v>63</v>
      </c>
      <c r="C1314" t="s">
        <v>65</v>
      </c>
      <c r="D1314" t="s">
        <v>338</v>
      </c>
      <c r="E1314" t="s">
        <v>22</v>
      </c>
      <c r="F1314">
        <v>533.29999999999995</v>
      </c>
      <c r="G1314" t="s">
        <v>26</v>
      </c>
      <c r="H1314" t="s">
        <v>18</v>
      </c>
    </row>
    <row r="1315" spans="1:8" hidden="1" x14ac:dyDescent="0.2">
      <c r="A1315" t="s">
        <v>337</v>
      </c>
      <c r="B1315" t="s">
        <v>63</v>
      </c>
      <c r="C1315" t="s">
        <v>65</v>
      </c>
      <c r="D1315" t="s">
        <v>338</v>
      </c>
      <c r="E1315" t="s">
        <v>1528</v>
      </c>
      <c r="G1315" t="s">
        <v>26</v>
      </c>
      <c r="H1315" t="s">
        <v>18</v>
      </c>
    </row>
    <row r="1316" spans="1:8" hidden="1" x14ac:dyDescent="0.2">
      <c r="A1316" t="s">
        <v>337</v>
      </c>
      <c r="B1316" t="s">
        <v>63</v>
      </c>
      <c r="C1316" t="s">
        <v>65</v>
      </c>
      <c r="D1316" t="s">
        <v>338</v>
      </c>
      <c r="E1316" t="s">
        <v>1529</v>
      </c>
      <c r="G1316" t="s">
        <v>26</v>
      </c>
      <c r="H1316" t="s">
        <v>18</v>
      </c>
    </row>
    <row r="1317" spans="1:8" hidden="1" x14ac:dyDescent="0.2">
      <c r="A1317" t="s">
        <v>337</v>
      </c>
      <c r="B1317" t="s">
        <v>63</v>
      </c>
      <c r="C1317" t="s">
        <v>65</v>
      </c>
      <c r="D1317" t="s">
        <v>338</v>
      </c>
      <c r="E1317" t="s">
        <v>1530</v>
      </c>
      <c r="G1317" t="s">
        <v>26</v>
      </c>
      <c r="H1317" t="s">
        <v>18</v>
      </c>
    </row>
    <row r="1318" spans="1:8" hidden="1" x14ac:dyDescent="0.2">
      <c r="A1318" t="s">
        <v>337</v>
      </c>
      <c r="B1318" t="s">
        <v>63</v>
      </c>
      <c r="C1318" t="s">
        <v>65</v>
      </c>
      <c r="D1318" t="s">
        <v>338</v>
      </c>
      <c r="E1318" t="s">
        <v>1531</v>
      </c>
      <c r="G1318" t="s">
        <v>26</v>
      </c>
      <c r="H1318" t="s">
        <v>18</v>
      </c>
    </row>
    <row r="1319" spans="1:8" hidden="1" x14ac:dyDescent="0.2">
      <c r="A1319" t="s">
        <v>337</v>
      </c>
      <c r="B1319" t="s">
        <v>63</v>
      </c>
      <c r="C1319" t="s">
        <v>65</v>
      </c>
      <c r="D1319" t="s">
        <v>338</v>
      </c>
      <c r="E1319" t="s">
        <v>12</v>
      </c>
      <c r="F1319">
        <v>106.7</v>
      </c>
      <c r="G1319" t="s">
        <v>26</v>
      </c>
      <c r="H1319" t="s">
        <v>14</v>
      </c>
    </row>
    <row r="1320" spans="1:8" hidden="1" x14ac:dyDescent="0.2">
      <c r="A1320" t="s">
        <v>337</v>
      </c>
      <c r="B1320" t="s">
        <v>63</v>
      </c>
      <c r="C1320" t="s">
        <v>65</v>
      </c>
      <c r="D1320" t="s">
        <v>338</v>
      </c>
      <c r="E1320" t="s">
        <v>21</v>
      </c>
      <c r="F1320">
        <v>266.60000000000002</v>
      </c>
      <c r="G1320" t="s">
        <v>26</v>
      </c>
      <c r="H1320" t="s">
        <v>18</v>
      </c>
    </row>
    <row r="1321" spans="1:8" hidden="1" x14ac:dyDescent="0.2">
      <c r="A1321" t="s">
        <v>337</v>
      </c>
      <c r="B1321" t="s">
        <v>63</v>
      </c>
      <c r="C1321" t="s">
        <v>65</v>
      </c>
      <c r="D1321" t="s">
        <v>338</v>
      </c>
      <c r="E1321" t="s">
        <v>20</v>
      </c>
      <c r="F1321">
        <v>213.3</v>
      </c>
      <c r="G1321" t="s">
        <v>26</v>
      </c>
      <c r="H1321" t="s">
        <v>18</v>
      </c>
    </row>
    <row r="1322" spans="1:8" hidden="1" x14ac:dyDescent="0.2">
      <c r="A1322" t="s">
        <v>337</v>
      </c>
      <c r="B1322" t="s">
        <v>63</v>
      </c>
      <c r="C1322" t="s">
        <v>65</v>
      </c>
      <c r="D1322" t="s">
        <v>338</v>
      </c>
      <c r="E1322" t="s">
        <v>19</v>
      </c>
      <c r="F1322">
        <v>213.3</v>
      </c>
      <c r="G1322" t="s">
        <v>26</v>
      </c>
      <c r="H1322" t="s">
        <v>18</v>
      </c>
    </row>
    <row r="1323" spans="1:8" hidden="1" x14ac:dyDescent="0.2">
      <c r="A1323" t="s">
        <v>337</v>
      </c>
      <c r="B1323" t="s">
        <v>63</v>
      </c>
      <c r="C1323" t="s">
        <v>65</v>
      </c>
      <c r="D1323" t="s">
        <v>338</v>
      </c>
      <c r="E1323" t="s">
        <v>17</v>
      </c>
      <c r="F1323">
        <v>266.60000000000002</v>
      </c>
      <c r="G1323" t="s">
        <v>26</v>
      </c>
      <c r="H1323" t="s">
        <v>18</v>
      </c>
    </row>
    <row r="1324" spans="1:8" hidden="1" x14ac:dyDescent="0.2">
      <c r="A1324" t="s">
        <v>339</v>
      </c>
      <c r="B1324" t="s">
        <v>63</v>
      </c>
      <c r="C1324" t="s">
        <v>65</v>
      </c>
      <c r="D1324" t="s">
        <v>340</v>
      </c>
      <c r="E1324" t="s">
        <v>22</v>
      </c>
      <c r="F1324">
        <v>1066.7</v>
      </c>
      <c r="G1324" t="s">
        <v>31</v>
      </c>
      <c r="H1324" t="s">
        <v>27</v>
      </c>
    </row>
    <row r="1325" spans="1:8" hidden="1" x14ac:dyDescent="0.2">
      <c r="A1325" t="s">
        <v>339</v>
      </c>
      <c r="B1325" t="s">
        <v>63</v>
      </c>
      <c r="C1325" t="s">
        <v>65</v>
      </c>
      <c r="D1325" t="s">
        <v>340</v>
      </c>
      <c r="E1325" t="s">
        <v>1528</v>
      </c>
      <c r="G1325" t="s">
        <v>31</v>
      </c>
      <c r="H1325" t="s">
        <v>27</v>
      </c>
    </row>
    <row r="1326" spans="1:8" hidden="1" x14ac:dyDescent="0.2">
      <c r="A1326" t="s">
        <v>339</v>
      </c>
      <c r="B1326" t="s">
        <v>63</v>
      </c>
      <c r="C1326" t="s">
        <v>65</v>
      </c>
      <c r="D1326" t="s">
        <v>340</v>
      </c>
      <c r="E1326" t="s">
        <v>1529</v>
      </c>
      <c r="G1326" t="s">
        <v>31</v>
      </c>
      <c r="H1326" t="s">
        <v>27</v>
      </c>
    </row>
    <row r="1327" spans="1:8" hidden="1" x14ac:dyDescent="0.2">
      <c r="A1327" t="s">
        <v>339</v>
      </c>
      <c r="B1327" t="s">
        <v>63</v>
      </c>
      <c r="C1327" t="s">
        <v>65</v>
      </c>
      <c r="D1327" t="s">
        <v>340</v>
      </c>
      <c r="E1327" t="s">
        <v>1530</v>
      </c>
      <c r="G1327" t="s">
        <v>31</v>
      </c>
      <c r="H1327" t="s">
        <v>27</v>
      </c>
    </row>
    <row r="1328" spans="1:8" hidden="1" x14ac:dyDescent="0.2">
      <c r="A1328" t="s">
        <v>339</v>
      </c>
      <c r="B1328" t="s">
        <v>63</v>
      </c>
      <c r="C1328" t="s">
        <v>65</v>
      </c>
      <c r="D1328" t="s">
        <v>340</v>
      </c>
      <c r="E1328" t="s">
        <v>1531</v>
      </c>
      <c r="G1328" t="s">
        <v>31</v>
      </c>
      <c r="H1328" t="s">
        <v>27</v>
      </c>
    </row>
    <row r="1329" spans="1:8" hidden="1" x14ac:dyDescent="0.2">
      <c r="A1329" t="s">
        <v>339</v>
      </c>
      <c r="B1329" t="s">
        <v>63</v>
      </c>
      <c r="C1329" t="s">
        <v>65</v>
      </c>
      <c r="D1329" t="s">
        <v>340</v>
      </c>
      <c r="E1329" t="s">
        <v>12</v>
      </c>
      <c r="F1329">
        <v>213.3</v>
      </c>
      <c r="G1329" t="s">
        <v>31</v>
      </c>
      <c r="H1329" t="s">
        <v>18</v>
      </c>
    </row>
    <row r="1330" spans="1:8" hidden="1" x14ac:dyDescent="0.2">
      <c r="A1330" t="s">
        <v>339</v>
      </c>
      <c r="B1330" t="s">
        <v>63</v>
      </c>
      <c r="C1330" t="s">
        <v>65</v>
      </c>
      <c r="D1330" t="s">
        <v>340</v>
      </c>
      <c r="E1330" t="s">
        <v>21</v>
      </c>
      <c r="F1330">
        <v>533.4</v>
      </c>
      <c r="G1330" t="s">
        <v>31</v>
      </c>
      <c r="H1330" t="s">
        <v>27</v>
      </c>
    </row>
    <row r="1331" spans="1:8" hidden="1" x14ac:dyDescent="0.2">
      <c r="A1331" t="s">
        <v>339</v>
      </c>
      <c r="B1331" t="s">
        <v>63</v>
      </c>
      <c r="C1331" t="s">
        <v>65</v>
      </c>
      <c r="D1331" t="s">
        <v>340</v>
      </c>
      <c r="E1331" t="s">
        <v>20</v>
      </c>
      <c r="F1331">
        <v>426.7</v>
      </c>
      <c r="G1331" t="s">
        <v>31</v>
      </c>
      <c r="H1331" t="s">
        <v>27</v>
      </c>
    </row>
    <row r="1332" spans="1:8" hidden="1" x14ac:dyDescent="0.2">
      <c r="A1332" t="s">
        <v>339</v>
      </c>
      <c r="B1332" t="s">
        <v>63</v>
      </c>
      <c r="C1332" t="s">
        <v>65</v>
      </c>
      <c r="D1332" t="s">
        <v>340</v>
      </c>
      <c r="E1332" t="s">
        <v>19</v>
      </c>
      <c r="F1332">
        <v>426.7</v>
      </c>
      <c r="G1332" t="s">
        <v>31</v>
      </c>
      <c r="H1332" t="s">
        <v>27</v>
      </c>
    </row>
    <row r="1333" spans="1:8" hidden="1" x14ac:dyDescent="0.2">
      <c r="A1333" t="s">
        <v>339</v>
      </c>
      <c r="B1333" t="s">
        <v>63</v>
      </c>
      <c r="C1333" t="s">
        <v>65</v>
      </c>
      <c r="D1333" t="s">
        <v>340</v>
      </c>
      <c r="E1333" t="s">
        <v>17</v>
      </c>
      <c r="F1333">
        <v>533.4</v>
      </c>
      <c r="G1333" t="s">
        <v>31</v>
      </c>
      <c r="H1333" t="s">
        <v>27</v>
      </c>
    </row>
    <row r="1334" spans="1:8" x14ac:dyDescent="0.2">
      <c r="A1334" t="s">
        <v>341</v>
      </c>
      <c r="B1334" t="s">
        <v>66</v>
      </c>
      <c r="C1334" t="s">
        <v>70</v>
      </c>
      <c r="D1334" t="s">
        <v>342</v>
      </c>
      <c r="E1334" t="s">
        <v>22</v>
      </c>
      <c r="F1334">
        <v>480</v>
      </c>
      <c r="G1334" t="s">
        <v>26</v>
      </c>
      <c r="H1334" t="s">
        <v>18</v>
      </c>
    </row>
    <row r="1335" spans="1:8" x14ac:dyDescent="0.2">
      <c r="A1335" t="s">
        <v>341</v>
      </c>
      <c r="B1335" t="s">
        <v>66</v>
      </c>
      <c r="C1335" t="s">
        <v>70</v>
      </c>
      <c r="D1335" t="s">
        <v>342</v>
      </c>
      <c r="E1335" t="s">
        <v>1528</v>
      </c>
      <c r="G1335" t="s">
        <v>26</v>
      </c>
      <c r="H1335" t="s">
        <v>18</v>
      </c>
    </row>
    <row r="1336" spans="1:8" x14ac:dyDescent="0.2">
      <c r="A1336" t="s">
        <v>341</v>
      </c>
      <c r="B1336" t="s">
        <v>66</v>
      </c>
      <c r="C1336" t="s">
        <v>70</v>
      </c>
      <c r="D1336" t="s">
        <v>342</v>
      </c>
      <c r="E1336" t="s">
        <v>1529</v>
      </c>
      <c r="G1336" t="s">
        <v>26</v>
      </c>
      <c r="H1336" t="s">
        <v>18</v>
      </c>
    </row>
    <row r="1337" spans="1:8" x14ac:dyDescent="0.2">
      <c r="A1337" t="s">
        <v>341</v>
      </c>
      <c r="B1337" t="s">
        <v>66</v>
      </c>
      <c r="C1337" t="s">
        <v>70</v>
      </c>
      <c r="D1337" t="s">
        <v>342</v>
      </c>
      <c r="E1337" t="s">
        <v>1530</v>
      </c>
      <c r="G1337" t="s">
        <v>26</v>
      </c>
      <c r="H1337" t="s">
        <v>18</v>
      </c>
    </row>
    <row r="1338" spans="1:8" x14ac:dyDescent="0.2">
      <c r="A1338" t="s">
        <v>341</v>
      </c>
      <c r="B1338" t="s">
        <v>66</v>
      </c>
      <c r="C1338" t="s">
        <v>70</v>
      </c>
      <c r="D1338" t="s">
        <v>342</v>
      </c>
      <c r="E1338" t="s">
        <v>1531</v>
      </c>
      <c r="G1338" t="s">
        <v>26</v>
      </c>
      <c r="H1338" t="s">
        <v>18</v>
      </c>
    </row>
    <row r="1339" spans="1:8" hidden="1" x14ac:dyDescent="0.2">
      <c r="A1339" t="s">
        <v>341</v>
      </c>
      <c r="B1339" t="s">
        <v>66</v>
      </c>
      <c r="C1339" t="s">
        <v>70</v>
      </c>
      <c r="D1339" t="s">
        <v>342</v>
      </c>
      <c r="E1339" t="s">
        <v>12</v>
      </c>
      <c r="F1339">
        <v>96</v>
      </c>
      <c r="G1339" t="s">
        <v>26</v>
      </c>
      <c r="H1339" t="s">
        <v>14</v>
      </c>
    </row>
    <row r="1340" spans="1:8" x14ac:dyDescent="0.2">
      <c r="A1340" t="s">
        <v>341</v>
      </c>
      <c r="B1340" t="s">
        <v>66</v>
      </c>
      <c r="C1340" t="s">
        <v>70</v>
      </c>
      <c r="D1340" t="s">
        <v>342</v>
      </c>
      <c r="E1340" t="s">
        <v>21</v>
      </c>
      <c r="F1340">
        <v>240</v>
      </c>
      <c r="G1340" t="s">
        <v>26</v>
      </c>
      <c r="H1340" t="s">
        <v>18</v>
      </c>
    </row>
    <row r="1341" spans="1:8" x14ac:dyDescent="0.2">
      <c r="A1341" t="s">
        <v>341</v>
      </c>
      <c r="B1341" t="s">
        <v>66</v>
      </c>
      <c r="C1341" t="s">
        <v>70</v>
      </c>
      <c r="D1341" t="s">
        <v>342</v>
      </c>
      <c r="E1341" t="s">
        <v>20</v>
      </c>
      <c r="F1341">
        <v>192</v>
      </c>
      <c r="G1341" t="s">
        <v>26</v>
      </c>
      <c r="H1341" t="s">
        <v>18</v>
      </c>
    </row>
    <row r="1342" spans="1:8" x14ac:dyDescent="0.2">
      <c r="A1342" t="s">
        <v>341</v>
      </c>
      <c r="B1342" t="s">
        <v>66</v>
      </c>
      <c r="C1342" t="s">
        <v>70</v>
      </c>
      <c r="D1342" t="s">
        <v>342</v>
      </c>
      <c r="E1342" t="s">
        <v>19</v>
      </c>
      <c r="F1342">
        <v>192</v>
      </c>
      <c r="G1342" t="s">
        <v>26</v>
      </c>
      <c r="H1342" t="s">
        <v>18</v>
      </c>
    </row>
    <row r="1343" spans="1:8" x14ac:dyDescent="0.2">
      <c r="A1343" t="s">
        <v>341</v>
      </c>
      <c r="B1343" t="s">
        <v>66</v>
      </c>
      <c r="C1343" t="s">
        <v>70</v>
      </c>
      <c r="D1343" t="s">
        <v>342</v>
      </c>
      <c r="E1343" t="s">
        <v>17</v>
      </c>
      <c r="F1343">
        <v>240</v>
      </c>
      <c r="G1343" t="s">
        <v>26</v>
      </c>
      <c r="H1343" t="s">
        <v>18</v>
      </c>
    </row>
    <row r="1344" spans="1:8" hidden="1" x14ac:dyDescent="0.2">
      <c r="A1344" t="s">
        <v>343</v>
      </c>
      <c r="B1344" t="s">
        <v>75</v>
      </c>
      <c r="C1344" t="s">
        <v>82</v>
      </c>
      <c r="D1344" t="s">
        <v>344</v>
      </c>
      <c r="E1344" t="s">
        <v>22</v>
      </c>
      <c r="F1344">
        <v>147.69999999999999</v>
      </c>
      <c r="G1344" t="s">
        <v>26</v>
      </c>
      <c r="H1344" t="s">
        <v>14</v>
      </c>
    </row>
    <row r="1345" spans="1:8" hidden="1" x14ac:dyDescent="0.2">
      <c r="A1345" t="s">
        <v>343</v>
      </c>
      <c r="B1345" t="s">
        <v>75</v>
      </c>
      <c r="C1345" t="s">
        <v>82</v>
      </c>
      <c r="D1345" t="s">
        <v>344</v>
      </c>
      <c r="E1345" t="s">
        <v>1528</v>
      </c>
      <c r="G1345" t="s">
        <v>26</v>
      </c>
      <c r="H1345" t="s">
        <v>14</v>
      </c>
    </row>
    <row r="1346" spans="1:8" hidden="1" x14ac:dyDescent="0.2">
      <c r="A1346" t="s">
        <v>343</v>
      </c>
      <c r="B1346" t="s">
        <v>75</v>
      </c>
      <c r="C1346" t="s">
        <v>82</v>
      </c>
      <c r="D1346" t="s">
        <v>344</v>
      </c>
      <c r="E1346" t="s">
        <v>1529</v>
      </c>
      <c r="G1346" t="s">
        <v>26</v>
      </c>
      <c r="H1346" t="s">
        <v>14</v>
      </c>
    </row>
    <row r="1347" spans="1:8" hidden="1" x14ac:dyDescent="0.2">
      <c r="A1347" t="s">
        <v>343</v>
      </c>
      <c r="B1347" t="s">
        <v>75</v>
      </c>
      <c r="C1347" t="s">
        <v>82</v>
      </c>
      <c r="D1347" t="s">
        <v>344</v>
      </c>
      <c r="E1347" t="s">
        <v>1530</v>
      </c>
      <c r="G1347" t="s">
        <v>26</v>
      </c>
      <c r="H1347" t="s">
        <v>14</v>
      </c>
    </row>
    <row r="1348" spans="1:8" hidden="1" x14ac:dyDescent="0.2">
      <c r="A1348" t="s">
        <v>343</v>
      </c>
      <c r="B1348" t="s">
        <v>75</v>
      </c>
      <c r="C1348" t="s">
        <v>82</v>
      </c>
      <c r="D1348" t="s">
        <v>344</v>
      </c>
      <c r="E1348" t="s">
        <v>1531</v>
      </c>
      <c r="G1348" t="s">
        <v>26</v>
      </c>
      <c r="H1348" t="s">
        <v>14</v>
      </c>
    </row>
    <row r="1349" spans="1:8" hidden="1" x14ac:dyDescent="0.2">
      <c r="A1349" t="s">
        <v>343</v>
      </c>
      <c r="B1349" t="s">
        <v>75</v>
      </c>
      <c r="C1349" t="s">
        <v>82</v>
      </c>
      <c r="D1349" t="s">
        <v>344</v>
      </c>
      <c r="E1349" t="s">
        <v>12</v>
      </c>
      <c r="F1349">
        <v>29.5</v>
      </c>
      <c r="G1349" t="s">
        <v>26</v>
      </c>
      <c r="H1349" t="s">
        <v>50</v>
      </c>
    </row>
    <row r="1350" spans="1:8" hidden="1" x14ac:dyDescent="0.2">
      <c r="A1350" t="s">
        <v>343</v>
      </c>
      <c r="B1350" t="s">
        <v>75</v>
      </c>
      <c r="C1350" t="s">
        <v>82</v>
      </c>
      <c r="D1350" t="s">
        <v>344</v>
      </c>
      <c r="E1350" t="s">
        <v>21</v>
      </c>
      <c r="F1350">
        <v>73.8</v>
      </c>
      <c r="G1350" t="s">
        <v>26</v>
      </c>
      <c r="H1350" t="s">
        <v>14</v>
      </c>
    </row>
    <row r="1351" spans="1:8" hidden="1" x14ac:dyDescent="0.2">
      <c r="A1351" t="s">
        <v>343</v>
      </c>
      <c r="B1351" t="s">
        <v>75</v>
      </c>
      <c r="C1351" t="s">
        <v>82</v>
      </c>
      <c r="D1351" t="s">
        <v>344</v>
      </c>
      <c r="E1351" t="s">
        <v>20</v>
      </c>
      <c r="F1351">
        <v>59.1</v>
      </c>
      <c r="G1351" t="s">
        <v>26</v>
      </c>
      <c r="H1351" t="s">
        <v>14</v>
      </c>
    </row>
    <row r="1352" spans="1:8" hidden="1" x14ac:dyDescent="0.2">
      <c r="A1352" t="s">
        <v>343</v>
      </c>
      <c r="B1352" t="s">
        <v>75</v>
      </c>
      <c r="C1352" t="s">
        <v>82</v>
      </c>
      <c r="D1352" t="s">
        <v>344</v>
      </c>
      <c r="E1352" t="s">
        <v>19</v>
      </c>
      <c r="F1352">
        <v>59.1</v>
      </c>
      <c r="G1352" t="s">
        <v>26</v>
      </c>
      <c r="H1352" t="s">
        <v>14</v>
      </c>
    </row>
    <row r="1353" spans="1:8" hidden="1" x14ac:dyDescent="0.2">
      <c r="A1353" t="s">
        <v>343</v>
      </c>
      <c r="B1353" t="s">
        <v>75</v>
      </c>
      <c r="C1353" t="s">
        <v>82</v>
      </c>
      <c r="D1353" t="s">
        <v>344</v>
      </c>
      <c r="E1353" t="s">
        <v>17</v>
      </c>
      <c r="F1353">
        <v>73.8</v>
      </c>
      <c r="G1353" t="s">
        <v>26</v>
      </c>
      <c r="H1353" t="s">
        <v>14</v>
      </c>
    </row>
    <row r="1354" spans="1:8" hidden="1" x14ac:dyDescent="0.2">
      <c r="A1354" t="s">
        <v>345</v>
      </c>
      <c r="B1354" t="s">
        <v>75</v>
      </c>
      <c r="C1354" t="s">
        <v>81</v>
      </c>
      <c r="D1354" t="s">
        <v>346</v>
      </c>
      <c r="E1354" t="s">
        <v>22</v>
      </c>
      <c r="F1354">
        <v>533.29999999999995</v>
      </c>
      <c r="G1354" t="s">
        <v>26</v>
      </c>
      <c r="H1354" t="s">
        <v>18</v>
      </c>
    </row>
    <row r="1355" spans="1:8" hidden="1" x14ac:dyDescent="0.2">
      <c r="A1355" t="s">
        <v>345</v>
      </c>
      <c r="B1355" t="s">
        <v>75</v>
      </c>
      <c r="C1355" t="s">
        <v>81</v>
      </c>
      <c r="D1355" t="s">
        <v>346</v>
      </c>
      <c r="E1355" t="s">
        <v>1528</v>
      </c>
      <c r="G1355" t="s">
        <v>26</v>
      </c>
      <c r="H1355" t="s">
        <v>18</v>
      </c>
    </row>
    <row r="1356" spans="1:8" hidden="1" x14ac:dyDescent="0.2">
      <c r="A1356" t="s">
        <v>345</v>
      </c>
      <c r="B1356" t="s">
        <v>75</v>
      </c>
      <c r="C1356" t="s">
        <v>81</v>
      </c>
      <c r="D1356" t="s">
        <v>346</v>
      </c>
      <c r="E1356" t="s">
        <v>1529</v>
      </c>
      <c r="G1356" t="s">
        <v>26</v>
      </c>
      <c r="H1356" t="s">
        <v>18</v>
      </c>
    </row>
    <row r="1357" spans="1:8" hidden="1" x14ac:dyDescent="0.2">
      <c r="A1357" t="s">
        <v>345</v>
      </c>
      <c r="B1357" t="s">
        <v>75</v>
      </c>
      <c r="C1357" t="s">
        <v>81</v>
      </c>
      <c r="D1357" t="s">
        <v>346</v>
      </c>
      <c r="E1357" t="s">
        <v>1530</v>
      </c>
      <c r="G1357" t="s">
        <v>26</v>
      </c>
      <c r="H1357" t="s">
        <v>18</v>
      </c>
    </row>
    <row r="1358" spans="1:8" hidden="1" x14ac:dyDescent="0.2">
      <c r="A1358" t="s">
        <v>345</v>
      </c>
      <c r="B1358" t="s">
        <v>75</v>
      </c>
      <c r="C1358" t="s">
        <v>81</v>
      </c>
      <c r="D1358" t="s">
        <v>346</v>
      </c>
      <c r="E1358" t="s">
        <v>1531</v>
      </c>
      <c r="G1358" t="s">
        <v>26</v>
      </c>
      <c r="H1358" t="s">
        <v>18</v>
      </c>
    </row>
    <row r="1359" spans="1:8" hidden="1" x14ac:dyDescent="0.2">
      <c r="A1359" t="s">
        <v>345</v>
      </c>
      <c r="B1359" t="s">
        <v>75</v>
      </c>
      <c r="C1359" t="s">
        <v>81</v>
      </c>
      <c r="D1359" t="s">
        <v>346</v>
      </c>
      <c r="E1359" t="s">
        <v>12</v>
      </c>
      <c r="F1359">
        <v>106.7</v>
      </c>
      <c r="G1359" t="s">
        <v>26</v>
      </c>
      <c r="H1359" t="s">
        <v>14</v>
      </c>
    </row>
    <row r="1360" spans="1:8" hidden="1" x14ac:dyDescent="0.2">
      <c r="A1360" t="s">
        <v>345</v>
      </c>
      <c r="B1360" t="s">
        <v>75</v>
      </c>
      <c r="C1360" t="s">
        <v>81</v>
      </c>
      <c r="D1360" t="s">
        <v>346</v>
      </c>
      <c r="E1360" t="s">
        <v>21</v>
      </c>
      <c r="F1360">
        <v>266.60000000000002</v>
      </c>
      <c r="G1360" t="s">
        <v>26</v>
      </c>
      <c r="H1360" t="s">
        <v>18</v>
      </c>
    </row>
    <row r="1361" spans="1:8" hidden="1" x14ac:dyDescent="0.2">
      <c r="A1361" t="s">
        <v>345</v>
      </c>
      <c r="B1361" t="s">
        <v>75</v>
      </c>
      <c r="C1361" t="s">
        <v>81</v>
      </c>
      <c r="D1361" t="s">
        <v>346</v>
      </c>
      <c r="E1361" t="s">
        <v>20</v>
      </c>
      <c r="F1361">
        <v>213.3</v>
      </c>
      <c r="G1361" t="s">
        <v>26</v>
      </c>
      <c r="H1361" t="s">
        <v>18</v>
      </c>
    </row>
    <row r="1362" spans="1:8" hidden="1" x14ac:dyDescent="0.2">
      <c r="A1362" t="s">
        <v>345</v>
      </c>
      <c r="B1362" t="s">
        <v>75</v>
      </c>
      <c r="C1362" t="s">
        <v>81</v>
      </c>
      <c r="D1362" t="s">
        <v>346</v>
      </c>
      <c r="E1362" t="s">
        <v>19</v>
      </c>
      <c r="F1362">
        <v>213.3</v>
      </c>
      <c r="G1362" t="s">
        <v>26</v>
      </c>
      <c r="H1362" t="s">
        <v>18</v>
      </c>
    </row>
    <row r="1363" spans="1:8" hidden="1" x14ac:dyDescent="0.2">
      <c r="A1363" t="s">
        <v>345</v>
      </c>
      <c r="B1363" t="s">
        <v>75</v>
      </c>
      <c r="C1363" t="s">
        <v>81</v>
      </c>
      <c r="D1363" t="s">
        <v>346</v>
      </c>
      <c r="E1363" t="s">
        <v>17</v>
      </c>
      <c r="F1363">
        <v>266.60000000000002</v>
      </c>
      <c r="G1363" t="s">
        <v>26</v>
      </c>
      <c r="H1363" t="s">
        <v>18</v>
      </c>
    </row>
    <row r="1364" spans="1:8" hidden="1" x14ac:dyDescent="0.2">
      <c r="A1364" t="s">
        <v>347</v>
      </c>
      <c r="B1364" t="s">
        <v>66</v>
      </c>
      <c r="C1364" t="s">
        <v>73</v>
      </c>
      <c r="D1364" t="s">
        <v>348</v>
      </c>
      <c r="E1364" t="s">
        <v>22</v>
      </c>
      <c r="F1364">
        <v>42.7</v>
      </c>
      <c r="G1364" t="s">
        <v>26</v>
      </c>
      <c r="H1364" t="s">
        <v>14</v>
      </c>
    </row>
    <row r="1365" spans="1:8" hidden="1" x14ac:dyDescent="0.2">
      <c r="A1365" t="s">
        <v>347</v>
      </c>
      <c r="B1365" t="s">
        <v>66</v>
      </c>
      <c r="C1365" t="s">
        <v>73</v>
      </c>
      <c r="D1365" t="s">
        <v>348</v>
      </c>
      <c r="E1365" t="s">
        <v>1528</v>
      </c>
      <c r="G1365" t="s">
        <v>26</v>
      </c>
      <c r="H1365" t="s">
        <v>14</v>
      </c>
    </row>
    <row r="1366" spans="1:8" hidden="1" x14ac:dyDescent="0.2">
      <c r="A1366" t="s">
        <v>347</v>
      </c>
      <c r="B1366" t="s">
        <v>66</v>
      </c>
      <c r="C1366" t="s">
        <v>73</v>
      </c>
      <c r="D1366" t="s">
        <v>348</v>
      </c>
      <c r="E1366" t="s">
        <v>1529</v>
      </c>
      <c r="G1366" t="s">
        <v>26</v>
      </c>
      <c r="H1366" t="s">
        <v>14</v>
      </c>
    </row>
    <row r="1367" spans="1:8" hidden="1" x14ac:dyDescent="0.2">
      <c r="A1367" t="s">
        <v>347</v>
      </c>
      <c r="B1367" t="s">
        <v>66</v>
      </c>
      <c r="C1367" t="s">
        <v>73</v>
      </c>
      <c r="D1367" t="s">
        <v>348</v>
      </c>
      <c r="E1367" t="s">
        <v>1530</v>
      </c>
      <c r="G1367" t="s">
        <v>26</v>
      </c>
      <c r="H1367" t="s">
        <v>14</v>
      </c>
    </row>
    <row r="1368" spans="1:8" hidden="1" x14ac:dyDescent="0.2">
      <c r="A1368" t="s">
        <v>347</v>
      </c>
      <c r="B1368" t="s">
        <v>66</v>
      </c>
      <c r="C1368" t="s">
        <v>73</v>
      </c>
      <c r="D1368" t="s">
        <v>348</v>
      </c>
      <c r="E1368" t="s">
        <v>1531</v>
      </c>
      <c r="G1368" t="s">
        <v>26</v>
      </c>
      <c r="H1368" t="s">
        <v>14</v>
      </c>
    </row>
    <row r="1369" spans="1:8" hidden="1" x14ac:dyDescent="0.2">
      <c r="A1369" t="s">
        <v>347</v>
      </c>
      <c r="B1369" t="s">
        <v>66</v>
      </c>
      <c r="C1369" t="s">
        <v>73</v>
      </c>
      <c r="D1369" t="s">
        <v>348</v>
      </c>
      <c r="E1369" t="s">
        <v>12</v>
      </c>
      <c r="F1369">
        <v>8.5</v>
      </c>
      <c r="G1369" t="s">
        <v>26</v>
      </c>
      <c r="H1369" t="s">
        <v>50</v>
      </c>
    </row>
    <row r="1370" spans="1:8" hidden="1" x14ac:dyDescent="0.2">
      <c r="A1370" t="s">
        <v>347</v>
      </c>
      <c r="B1370" t="s">
        <v>66</v>
      </c>
      <c r="C1370" t="s">
        <v>73</v>
      </c>
      <c r="D1370" t="s">
        <v>348</v>
      </c>
      <c r="E1370" t="s">
        <v>21</v>
      </c>
      <c r="F1370">
        <v>21.4</v>
      </c>
      <c r="G1370" t="s">
        <v>26</v>
      </c>
      <c r="H1370" t="s">
        <v>14</v>
      </c>
    </row>
    <row r="1371" spans="1:8" hidden="1" x14ac:dyDescent="0.2">
      <c r="A1371" t="s">
        <v>347</v>
      </c>
      <c r="B1371" t="s">
        <v>66</v>
      </c>
      <c r="C1371" t="s">
        <v>73</v>
      </c>
      <c r="D1371" t="s">
        <v>348</v>
      </c>
      <c r="E1371" t="s">
        <v>20</v>
      </c>
      <c r="F1371">
        <v>17.100000000000001</v>
      </c>
      <c r="G1371" t="s">
        <v>26</v>
      </c>
      <c r="H1371" t="s">
        <v>14</v>
      </c>
    </row>
    <row r="1372" spans="1:8" hidden="1" x14ac:dyDescent="0.2">
      <c r="A1372" t="s">
        <v>347</v>
      </c>
      <c r="B1372" t="s">
        <v>66</v>
      </c>
      <c r="C1372" t="s">
        <v>73</v>
      </c>
      <c r="D1372" t="s">
        <v>348</v>
      </c>
      <c r="E1372" t="s">
        <v>19</v>
      </c>
      <c r="F1372">
        <v>17.100000000000001</v>
      </c>
      <c r="G1372" t="s">
        <v>26</v>
      </c>
      <c r="H1372" t="s">
        <v>14</v>
      </c>
    </row>
    <row r="1373" spans="1:8" hidden="1" x14ac:dyDescent="0.2">
      <c r="A1373" t="s">
        <v>347</v>
      </c>
      <c r="B1373" t="s">
        <v>66</v>
      </c>
      <c r="C1373" t="s">
        <v>73</v>
      </c>
      <c r="D1373" t="s">
        <v>348</v>
      </c>
      <c r="E1373" t="s">
        <v>17</v>
      </c>
      <c r="F1373">
        <v>21.4</v>
      </c>
      <c r="G1373" t="s">
        <v>26</v>
      </c>
      <c r="H1373" t="s">
        <v>14</v>
      </c>
    </row>
    <row r="1374" spans="1:8" hidden="1" x14ac:dyDescent="0.2">
      <c r="A1374" t="s">
        <v>349</v>
      </c>
      <c r="B1374" t="s">
        <v>56</v>
      </c>
      <c r="C1374" t="s">
        <v>60</v>
      </c>
      <c r="D1374" t="s">
        <v>350</v>
      </c>
      <c r="E1374" t="s">
        <v>22</v>
      </c>
      <c r="F1374">
        <v>320</v>
      </c>
      <c r="G1374" t="s">
        <v>26</v>
      </c>
      <c r="H1374" t="s">
        <v>18</v>
      </c>
    </row>
    <row r="1375" spans="1:8" hidden="1" x14ac:dyDescent="0.2">
      <c r="A1375" t="s">
        <v>349</v>
      </c>
      <c r="B1375" t="s">
        <v>56</v>
      </c>
      <c r="C1375" t="s">
        <v>60</v>
      </c>
      <c r="D1375" t="s">
        <v>350</v>
      </c>
      <c r="E1375" t="s">
        <v>1528</v>
      </c>
      <c r="G1375" t="s">
        <v>26</v>
      </c>
      <c r="H1375" t="s">
        <v>18</v>
      </c>
    </row>
    <row r="1376" spans="1:8" hidden="1" x14ac:dyDescent="0.2">
      <c r="A1376" t="s">
        <v>349</v>
      </c>
      <c r="B1376" t="s">
        <v>56</v>
      </c>
      <c r="C1376" t="s">
        <v>60</v>
      </c>
      <c r="D1376" t="s">
        <v>350</v>
      </c>
      <c r="E1376" t="s">
        <v>1529</v>
      </c>
      <c r="G1376" t="s">
        <v>26</v>
      </c>
      <c r="H1376" t="s">
        <v>18</v>
      </c>
    </row>
    <row r="1377" spans="1:8" hidden="1" x14ac:dyDescent="0.2">
      <c r="A1377" t="s">
        <v>349</v>
      </c>
      <c r="B1377" t="s">
        <v>56</v>
      </c>
      <c r="C1377" t="s">
        <v>60</v>
      </c>
      <c r="D1377" t="s">
        <v>350</v>
      </c>
      <c r="E1377" t="s">
        <v>1530</v>
      </c>
      <c r="G1377" t="s">
        <v>26</v>
      </c>
      <c r="H1377" t="s">
        <v>18</v>
      </c>
    </row>
    <row r="1378" spans="1:8" hidden="1" x14ac:dyDescent="0.2">
      <c r="A1378" t="s">
        <v>349</v>
      </c>
      <c r="B1378" t="s">
        <v>56</v>
      </c>
      <c r="C1378" t="s">
        <v>60</v>
      </c>
      <c r="D1378" t="s">
        <v>350</v>
      </c>
      <c r="E1378" t="s">
        <v>1531</v>
      </c>
      <c r="G1378" t="s">
        <v>26</v>
      </c>
      <c r="H1378" t="s">
        <v>18</v>
      </c>
    </row>
    <row r="1379" spans="1:8" hidden="1" x14ac:dyDescent="0.2">
      <c r="A1379" t="s">
        <v>349</v>
      </c>
      <c r="B1379" t="s">
        <v>56</v>
      </c>
      <c r="C1379" t="s">
        <v>60</v>
      </c>
      <c r="D1379" t="s">
        <v>350</v>
      </c>
      <c r="E1379" t="s">
        <v>12</v>
      </c>
      <c r="F1379">
        <v>64</v>
      </c>
      <c r="G1379" t="s">
        <v>26</v>
      </c>
      <c r="H1379" t="s">
        <v>14</v>
      </c>
    </row>
    <row r="1380" spans="1:8" hidden="1" x14ac:dyDescent="0.2">
      <c r="A1380" t="s">
        <v>349</v>
      </c>
      <c r="B1380" t="s">
        <v>56</v>
      </c>
      <c r="C1380" t="s">
        <v>60</v>
      </c>
      <c r="D1380" t="s">
        <v>350</v>
      </c>
      <c r="E1380" t="s">
        <v>21</v>
      </c>
      <c r="F1380">
        <v>160</v>
      </c>
      <c r="G1380" t="s">
        <v>26</v>
      </c>
      <c r="H1380" t="s">
        <v>18</v>
      </c>
    </row>
    <row r="1381" spans="1:8" hidden="1" x14ac:dyDescent="0.2">
      <c r="A1381" t="s">
        <v>349</v>
      </c>
      <c r="B1381" t="s">
        <v>56</v>
      </c>
      <c r="C1381" t="s">
        <v>60</v>
      </c>
      <c r="D1381" t="s">
        <v>350</v>
      </c>
      <c r="E1381" t="s">
        <v>20</v>
      </c>
      <c r="F1381">
        <v>128</v>
      </c>
      <c r="G1381" t="s">
        <v>26</v>
      </c>
      <c r="H1381" t="s">
        <v>18</v>
      </c>
    </row>
    <row r="1382" spans="1:8" hidden="1" x14ac:dyDescent="0.2">
      <c r="A1382" t="s">
        <v>349</v>
      </c>
      <c r="B1382" t="s">
        <v>56</v>
      </c>
      <c r="C1382" t="s">
        <v>60</v>
      </c>
      <c r="D1382" t="s">
        <v>350</v>
      </c>
      <c r="E1382" t="s">
        <v>19</v>
      </c>
      <c r="F1382">
        <v>128</v>
      </c>
      <c r="G1382" t="s">
        <v>26</v>
      </c>
      <c r="H1382" t="s">
        <v>18</v>
      </c>
    </row>
    <row r="1383" spans="1:8" hidden="1" x14ac:dyDescent="0.2">
      <c r="A1383" t="s">
        <v>349</v>
      </c>
      <c r="B1383" t="s">
        <v>56</v>
      </c>
      <c r="C1383" t="s">
        <v>60</v>
      </c>
      <c r="D1383" t="s">
        <v>350</v>
      </c>
      <c r="E1383" t="s">
        <v>17</v>
      </c>
      <c r="F1383">
        <v>160</v>
      </c>
      <c r="G1383" t="s">
        <v>26</v>
      </c>
      <c r="H1383" t="s">
        <v>18</v>
      </c>
    </row>
    <row r="1384" spans="1:8" hidden="1" x14ac:dyDescent="0.2">
      <c r="A1384" t="s">
        <v>35</v>
      </c>
      <c r="B1384" t="s">
        <v>9</v>
      </c>
      <c r="C1384" t="s">
        <v>33</v>
      </c>
      <c r="D1384" t="s">
        <v>36</v>
      </c>
      <c r="E1384" t="s">
        <v>22</v>
      </c>
      <c r="F1384">
        <v>181.3</v>
      </c>
      <c r="G1384" t="s">
        <v>26</v>
      </c>
      <c r="H1384" t="s">
        <v>27</v>
      </c>
    </row>
    <row r="1385" spans="1:8" hidden="1" x14ac:dyDescent="0.2">
      <c r="A1385" t="s">
        <v>35</v>
      </c>
      <c r="B1385" t="s">
        <v>9</v>
      </c>
      <c r="C1385" t="s">
        <v>33</v>
      </c>
      <c r="D1385" t="s">
        <v>36</v>
      </c>
      <c r="E1385" t="s">
        <v>1528</v>
      </c>
      <c r="G1385" t="s">
        <v>26</v>
      </c>
      <c r="H1385" t="s">
        <v>27</v>
      </c>
    </row>
    <row r="1386" spans="1:8" hidden="1" x14ac:dyDescent="0.2">
      <c r="A1386" t="s">
        <v>35</v>
      </c>
      <c r="B1386" t="s">
        <v>9</v>
      </c>
      <c r="C1386" t="s">
        <v>33</v>
      </c>
      <c r="D1386" t="s">
        <v>36</v>
      </c>
      <c r="E1386" t="s">
        <v>1529</v>
      </c>
      <c r="G1386" t="s">
        <v>26</v>
      </c>
      <c r="H1386" t="s">
        <v>27</v>
      </c>
    </row>
    <row r="1387" spans="1:8" hidden="1" x14ac:dyDescent="0.2">
      <c r="A1387" t="s">
        <v>35</v>
      </c>
      <c r="B1387" t="s">
        <v>9</v>
      </c>
      <c r="C1387" t="s">
        <v>33</v>
      </c>
      <c r="D1387" t="s">
        <v>36</v>
      </c>
      <c r="E1387" t="s">
        <v>1530</v>
      </c>
      <c r="G1387" t="s">
        <v>26</v>
      </c>
      <c r="H1387" t="s">
        <v>27</v>
      </c>
    </row>
    <row r="1388" spans="1:8" hidden="1" x14ac:dyDescent="0.2">
      <c r="A1388" t="s">
        <v>35</v>
      </c>
      <c r="B1388" t="s">
        <v>9</v>
      </c>
      <c r="C1388" t="s">
        <v>33</v>
      </c>
      <c r="D1388" t="s">
        <v>36</v>
      </c>
      <c r="E1388" t="s">
        <v>1531</v>
      </c>
      <c r="G1388" t="s">
        <v>26</v>
      </c>
      <c r="H1388" t="s">
        <v>27</v>
      </c>
    </row>
    <row r="1389" spans="1:8" hidden="1" x14ac:dyDescent="0.2">
      <c r="A1389" t="s">
        <v>35</v>
      </c>
      <c r="B1389" t="s">
        <v>9</v>
      </c>
      <c r="C1389" t="s">
        <v>33</v>
      </c>
      <c r="D1389" t="s">
        <v>36</v>
      </c>
      <c r="E1389" t="s">
        <v>12</v>
      </c>
      <c r="F1389">
        <v>36.299999999999997</v>
      </c>
      <c r="G1389" t="s">
        <v>26</v>
      </c>
      <c r="H1389" t="s">
        <v>18</v>
      </c>
    </row>
    <row r="1390" spans="1:8" hidden="1" x14ac:dyDescent="0.2">
      <c r="A1390" t="s">
        <v>35</v>
      </c>
      <c r="B1390" t="s">
        <v>9</v>
      </c>
      <c r="C1390" t="s">
        <v>33</v>
      </c>
      <c r="D1390" t="s">
        <v>36</v>
      </c>
      <c r="E1390" t="s">
        <v>21</v>
      </c>
      <c r="F1390">
        <v>90.6</v>
      </c>
      <c r="G1390" t="s">
        <v>26</v>
      </c>
      <c r="H1390" t="s">
        <v>27</v>
      </c>
    </row>
    <row r="1391" spans="1:8" hidden="1" x14ac:dyDescent="0.2">
      <c r="A1391" t="s">
        <v>35</v>
      </c>
      <c r="B1391" t="s">
        <v>9</v>
      </c>
      <c r="C1391" t="s">
        <v>33</v>
      </c>
      <c r="D1391" t="s">
        <v>36</v>
      </c>
      <c r="E1391" t="s">
        <v>20</v>
      </c>
      <c r="F1391">
        <v>72.5</v>
      </c>
      <c r="G1391" t="s">
        <v>26</v>
      </c>
      <c r="H1391" t="s">
        <v>27</v>
      </c>
    </row>
    <row r="1392" spans="1:8" hidden="1" x14ac:dyDescent="0.2">
      <c r="A1392" t="s">
        <v>35</v>
      </c>
      <c r="B1392" t="s">
        <v>9</v>
      </c>
      <c r="C1392" t="s">
        <v>33</v>
      </c>
      <c r="D1392" t="s">
        <v>36</v>
      </c>
      <c r="E1392" t="s">
        <v>19</v>
      </c>
      <c r="F1392">
        <v>72.5</v>
      </c>
      <c r="G1392" t="s">
        <v>26</v>
      </c>
      <c r="H1392" t="s">
        <v>27</v>
      </c>
    </row>
    <row r="1393" spans="1:8" hidden="1" x14ac:dyDescent="0.2">
      <c r="A1393" t="s">
        <v>35</v>
      </c>
      <c r="B1393" t="s">
        <v>9</v>
      </c>
      <c r="C1393" t="s">
        <v>33</v>
      </c>
      <c r="D1393" t="s">
        <v>36</v>
      </c>
      <c r="E1393" t="s">
        <v>17</v>
      </c>
      <c r="F1393">
        <v>90.6</v>
      </c>
      <c r="G1393" t="s">
        <v>26</v>
      </c>
      <c r="H1393" t="s">
        <v>27</v>
      </c>
    </row>
    <row r="1394" spans="1:8" hidden="1" x14ac:dyDescent="0.2">
      <c r="A1394" t="s">
        <v>351</v>
      </c>
      <c r="B1394" t="s">
        <v>75</v>
      </c>
      <c r="C1394" t="s">
        <v>78</v>
      </c>
      <c r="D1394" t="s">
        <v>352</v>
      </c>
      <c r="E1394" t="s">
        <v>22</v>
      </c>
      <c r="F1394">
        <v>69.3</v>
      </c>
      <c r="G1394" t="s">
        <v>31</v>
      </c>
      <c r="H1394" t="s">
        <v>27</v>
      </c>
    </row>
    <row r="1395" spans="1:8" hidden="1" x14ac:dyDescent="0.2">
      <c r="A1395" t="s">
        <v>351</v>
      </c>
      <c r="B1395" t="s">
        <v>75</v>
      </c>
      <c r="C1395" t="s">
        <v>78</v>
      </c>
      <c r="D1395" t="s">
        <v>352</v>
      </c>
      <c r="E1395" t="s">
        <v>1528</v>
      </c>
      <c r="G1395" t="s">
        <v>31</v>
      </c>
      <c r="H1395" t="s">
        <v>27</v>
      </c>
    </row>
    <row r="1396" spans="1:8" hidden="1" x14ac:dyDescent="0.2">
      <c r="A1396" t="s">
        <v>351</v>
      </c>
      <c r="B1396" t="s">
        <v>75</v>
      </c>
      <c r="C1396" t="s">
        <v>78</v>
      </c>
      <c r="D1396" t="s">
        <v>352</v>
      </c>
      <c r="E1396" t="s">
        <v>1529</v>
      </c>
      <c r="G1396" t="s">
        <v>31</v>
      </c>
      <c r="H1396" t="s">
        <v>27</v>
      </c>
    </row>
    <row r="1397" spans="1:8" hidden="1" x14ac:dyDescent="0.2">
      <c r="A1397" t="s">
        <v>351</v>
      </c>
      <c r="B1397" t="s">
        <v>75</v>
      </c>
      <c r="C1397" t="s">
        <v>78</v>
      </c>
      <c r="D1397" t="s">
        <v>352</v>
      </c>
      <c r="E1397" t="s">
        <v>1530</v>
      </c>
      <c r="G1397" t="s">
        <v>31</v>
      </c>
      <c r="H1397" t="s">
        <v>27</v>
      </c>
    </row>
    <row r="1398" spans="1:8" hidden="1" x14ac:dyDescent="0.2">
      <c r="A1398" t="s">
        <v>351</v>
      </c>
      <c r="B1398" t="s">
        <v>75</v>
      </c>
      <c r="C1398" t="s">
        <v>78</v>
      </c>
      <c r="D1398" t="s">
        <v>352</v>
      </c>
      <c r="E1398" t="s">
        <v>1531</v>
      </c>
      <c r="G1398" t="s">
        <v>31</v>
      </c>
      <c r="H1398" t="s">
        <v>27</v>
      </c>
    </row>
    <row r="1399" spans="1:8" hidden="1" x14ac:dyDescent="0.2">
      <c r="A1399" t="s">
        <v>351</v>
      </c>
      <c r="B1399" t="s">
        <v>75</v>
      </c>
      <c r="C1399" t="s">
        <v>78</v>
      </c>
      <c r="D1399" t="s">
        <v>352</v>
      </c>
      <c r="E1399" t="s">
        <v>12</v>
      </c>
      <c r="F1399">
        <v>13.9</v>
      </c>
      <c r="G1399" t="s">
        <v>31</v>
      </c>
      <c r="H1399" t="s">
        <v>18</v>
      </c>
    </row>
    <row r="1400" spans="1:8" hidden="1" x14ac:dyDescent="0.2">
      <c r="A1400" t="s">
        <v>351</v>
      </c>
      <c r="B1400" t="s">
        <v>75</v>
      </c>
      <c r="C1400" t="s">
        <v>78</v>
      </c>
      <c r="D1400" t="s">
        <v>352</v>
      </c>
      <c r="E1400" t="s">
        <v>21</v>
      </c>
      <c r="F1400">
        <v>34.6</v>
      </c>
      <c r="G1400" t="s">
        <v>31</v>
      </c>
      <c r="H1400" t="s">
        <v>27</v>
      </c>
    </row>
    <row r="1401" spans="1:8" hidden="1" x14ac:dyDescent="0.2">
      <c r="A1401" t="s">
        <v>351</v>
      </c>
      <c r="B1401" t="s">
        <v>75</v>
      </c>
      <c r="C1401" t="s">
        <v>78</v>
      </c>
      <c r="D1401" t="s">
        <v>352</v>
      </c>
      <c r="E1401" t="s">
        <v>20</v>
      </c>
      <c r="F1401">
        <v>27.7</v>
      </c>
      <c r="G1401" t="s">
        <v>31</v>
      </c>
      <c r="H1401" t="s">
        <v>27</v>
      </c>
    </row>
    <row r="1402" spans="1:8" hidden="1" x14ac:dyDescent="0.2">
      <c r="A1402" t="s">
        <v>351</v>
      </c>
      <c r="B1402" t="s">
        <v>75</v>
      </c>
      <c r="C1402" t="s">
        <v>78</v>
      </c>
      <c r="D1402" t="s">
        <v>352</v>
      </c>
      <c r="E1402" t="s">
        <v>19</v>
      </c>
      <c r="F1402">
        <v>27.7</v>
      </c>
      <c r="G1402" t="s">
        <v>31</v>
      </c>
      <c r="H1402" t="s">
        <v>27</v>
      </c>
    </row>
    <row r="1403" spans="1:8" hidden="1" x14ac:dyDescent="0.2">
      <c r="A1403" t="s">
        <v>351</v>
      </c>
      <c r="B1403" t="s">
        <v>75</v>
      </c>
      <c r="C1403" t="s">
        <v>78</v>
      </c>
      <c r="D1403" t="s">
        <v>352</v>
      </c>
      <c r="E1403" t="s">
        <v>17</v>
      </c>
      <c r="F1403">
        <v>34.6</v>
      </c>
      <c r="G1403" t="s">
        <v>31</v>
      </c>
      <c r="H1403" t="s">
        <v>27</v>
      </c>
    </row>
    <row r="1404" spans="1:8" hidden="1" x14ac:dyDescent="0.2">
      <c r="A1404" t="s">
        <v>353</v>
      </c>
      <c r="B1404" t="s">
        <v>66</v>
      </c>
      <c r="C1404" t="s">
        <v>71</v>
      </c>
      <c r="D1404" t="s">
        <v>354</v>
      </c>
      <c r="E1404" t="s">
        <v>22</v>
      </c>
      <c r="F1404">
        <v>42.7</v>
      </c>
      <c r="G1404" t="s">
        <v>26</v>
      </c>
      <c r="H1404" t="s">
        <v>14</v>
      </c>
    </row>
    <row r="1405" spans="1:8" hidden="1" x14ac:dyDescent="0.2">
      <c r="A1405" t="s">
        <v>353</v>
      </c>
      <c r="B1405" t="s">
        <v>66</v>
      </c>
      <c r="C1405" t="s">
        <v>71</v>
      </c>
      <c r="D1405" t="s">
        <v>354</v>
      </c>
      <c r="E1405" t="s">
        <v>1528</v>
      </c>
      <c r="G1405" t="s">
        <v>26</v>
      </c>
      <c r="H1405" t="s">
        <v>14</v>
      </c>
    </row>
    <row r="1406" spans="1:8" hidden="1" x14ac:dyDescent="0.2">
      <c r="A1406" t="s">
        <v>353</v>
      </c>
      <c r="B1406" t="s">
        <v>66</v>
      </c>
      <c r="C1406" t="s">
        <v>71</v>
      </c>
      <c r="D1406" t="s">
        <v>354</v>
      </c>
      <c r="E1406" t="s">
        <v>1529</v>
      </c>
      <c r="G1406" t="s">
        <v>26</v>
      </c>
      <c r="H1406" t="s">
        <v>14</v>
      </c>
    </row>
    <row r="1407" spans="1:8" hidden="1" x14ac:dyDescent="0.2">
      <c r="A1407" t="s">
        <v>353</v>
      </c>
      <c r="B1407" t="s">
        <v>66</v>
      </c>
      <c r="C1407" t="s">
        <v>71</v>
      </c>
      <c r="D1407" t="s">
        <v>354</v>
      </c>
      <c r="E1407" t="s">
        <v>1530</v>
      </c>
      <c r="G1407" t="s">
        <v>26</v>
      </c>
      <c r="H1407" t="s">
        <v>14</v>
      </c>
    </row>
    <row r="1408" spans="1:8" hidden="1" x14ac:dyDescent="0.2">
      <c r="A1408" t="s">
        <v>353</v>
      </c>
      <c r="B1408" t="s">
        <v>66</v>
      </c>
      <c r="C1408" t="s">
        <v>71</v>
      </c>
      <c r="D1408" t="s">
        <v>354</v>
      </c>
      <c r="E1408" t="s">
        <v>1531</v>
      </c>
      <c r="G1408" t="s">
        <v>26</v>
      </c>
      <c r="H1408" t="s">
        <v>14</v>
      </c>
    </row>
    <row r="1409" spans="1:8" hidden="1" x14ac:dyDescent="0.2">
      <c r="A1409" t="s">
        <v>353</v>
      </c>
      <c r="B1409" t="s">
        <v>66</v>
      </c>
      <c r="C1409" t="s">
        <v>71</v>
      </c>
      <c r="D1409" t="s">
        <v>354</v>
      </c>
      <c r="E1409" t="s">
        <v>12</v>
      </c>
      <c r="F1409">
        <v>8.5</v>
      </c>
      <c r="G1409" t="s">
        <v>26</v>
      </c>
      <c r="H1409" t="s">
        <v>50</v>
      </c>
    </row>
    <row r="1410" spans="1:8" hidden="1" x14ac:dyDescent="0.2">
      <c r="A1410" t="s">
        <v>353</v>
      </c>
      <c r="B1410" t="s">
        <v>66</v>
      </c>
      <c r="C1410" t="s">
        <v>71</v>
      </c>
      <c r="D1410" t="s">
        <v>354</v>
      </c>
      <c r="E1410" t="s">
        <v>21</v>
      </c>
      <c r="F1410">
        <v>21.4</v>
      </c>
      <c r="G1410" t="s">
        <v>26</v>
      </c>
      <c r="H1410" t="s">
        <v>14</v>
      </c>
    </row>
    <row r="1411" spans="1:8" hidden="1" x14ac:dyDescent="0.2">
      <c r="A1411" t="s">
        <v>353</v>
      </c>
      <c r="B1411" t="s">
        <v>66</v>
      </c>
      <c r="C1411" t="s">
        <v>71</v>
      </c>
      <c r="D1411" t="s">
        <v>354</v>
      </c>
      <c r="E1411" t="s">
        <v>20</v>
      </c>
      <c r="F1411">
        <v>17.100000000000001</v>
      </c>
      <c r="G1411" t="s">
        <v>26</v>
      </c>
      <c r="H1411" t="s">
        <v>14</v>
      </c>
    </row>
    <row r="1412" spans="1:8" hidden="1" x14ac:dyDescent="0.2">
      <c r="A1412" t="s">
        <v>353</v>
      </c>
      <c r="B1412" t="s">
        <v>66</v>
      </c>
      <c r="C1412" t="s">
        <v>71</v>
      </c>
      <c r="D1412" t="s">
        <v>354</v>
      </c>
      <c r="E1412" t="s">
        <v>19</v>
      </c>
      <c r="F1412">
        <v>17.100000000000001</v>
      </c>
      <c r="G1412" t="s">
        <v>26</v>
      </c>
      <c r="H1412" t="s">
        <v>14</v>
      </c>
    </row>
    <row r="1413" spans="1:8" hidden="1" x14ac:dyDescent="0.2">
      <c r="A1413" t="s">
        <v>353</v>
      </c>
      <c r="B1413" t="s">
        <v>66</v>
      </c>
      <c r="C1413" t="s">
        <v>71</v>
      </c>
      <c r="D1413" t="s">
        <v>354</v>
      </c>
      <c r="E1413" t="s">
        <v>17</v>
      </c>
      <c r="F1413">
        <v>21.4</v>
      </c>
      <c r="G1413" t="s">
        <v>26</v>
      </c>
      <c r="H1413" t="s">
        <v>14</v>
      </c>
    </row>
    <row r="1414" spans="1:8" hidden="1" x14ac:dyDescent="0.2">
      <c r="A1414" t="s">
        <v>355</v>
      </c>
      <c r="B1414" t="s">
        <v>56</v>
      </c>
      <c r="C1414" t="s">
        <v>60</v>
      </c>
      <c r="D1414" t="s">
        <v>356</v>
      </c>
      <c r="E1414" t="s">
        <v>22</v>
      </c>
      <c r="F1414">
        <v>320</v>
      </c>
      <c r="G1414" t="s">
        <v>26</v>
      </c>
      <c r="H1414" t="s">
        <v>18</v>
      </c>
    </row>
    <row r="1415" spans="1:8" hidden="1" x14ac:dyDescent="0.2">
      <c r="A1415" t="s">
        <v>355</v>
      </c>
      <c r="B1415" t="s">
        <v>56</v>
      </c>
      <c r="C1415" t="s">
        <v>60</v>
      </c>
      <c r="D1415" t="s">
        <v>356</v>
      </c>
      <c r="E1415" t="s">
        <v>1528</v>
      </c>
      <c r="G1415" t="s">
        <v>26</v>
      </c>
      <c r="H1415" t="s">
        <v>18</v>
      </c>
    </row>
    <row r="1416" spans="1:8" hidden="1" x14ac:dyDescent="0.2">
      <c r="A1416" t="s">
        <v>355</v>
      </c>
      <c r="B1416" t="s">
        <v>56</v>
      </c>
      <c r="C1416" t="s">
        <v>60</v>
      </c>
      <c r="D1416" t="s">
        <v>356</v>
      </c>
      <c r="E1416" t="s">
        <v>1529</v>
      </c>
      <c r="G1416" t="s">
        <v>26</v>
      </c>
      <c r="H1416" t="s">
        <v>18</v>
      </c>
    </row>
    <row r="1417" spans="1:8" hidden="1" x14ac:dyDescent="0.2">
      <c r="A1417" t="s">
        <v>355</v>
      </c>
      <c r="B1417" t="s">
        <v>56</v>
      </c>
      <c r="C1417" t="s">
        <v>60</v>
      </c>
      <c r="D1417" t="s">
        <v>356</v>
      </c>
      <c r="E1417" t="s">
        <v>1530</v>
      </c>
      <c r="G1417" t="s">
        <v>26</v>
      </c>
      <c r="H1417" t="s">
        <v>18</v>
      </c>
    </row>
    <row r="1418" spans="1:8" hidden="1" x14ac:dyDescent="0.2">
      <c r="A1418" t="s">
        <v>355</v>
      </c>
      <c r="B1418" t="s">
        <v>56</v>
      </c>
      <c r="C1418" t="s">
        <v>60</v>
      </c>
      <c r="D1418" t="s">
        <v>356</v>
      </c>
      <c r="E1418" t="s">
        <v>1531</v>
      </c>
      <c r="G1418" t="s">
        <v>26</v>
      </c>
      <c r="H1418" t="s">
        <v>18</v>
      </c>
    </row>
    <row r="1419" spans="1:8" hidden="1" x14ac:dyDescent="0.2">
      <c r="A1419" t="s">
        <v>355</v>
      </c>
      <c r="B1419" t="s">
        <v>56</v>
      </c>
      <c r="C1419" t="s">
        <v>60</v>
      </c>
      <c r="D1419" t="s">
        <v>356</v>
      </c>
      <c r="E1419" t="s">
        <v>12</v>
      </c>
      <c r="F1419">
        <v>64</v>
      </c>
      <c r="G1419" t="s">
        <v>26</v>
      </c>
      <c r="H1419" t="s">
        <v>14</v>
      </c>
    </row>
    <row r="1420" spans="1:8" hidden="1" x14ac:dyDescent="0.2">
      <c r="A1420" t="s">
        <v>355</v>
      </c>
      <c r="B1420" t="s">
        <v>56</v>
      </c>
      <c r="C1420" t="s">
        <v>60</v>
      </c>
      <c r="D1420" t="s">
        <v>356</v>
      </c>
      <c r="E1420" t="s">
        <v>21</v>
      </c>
      <c r="F1420">
        <v>160</v>
      </c>
      <c r="G1420" t="s">
        <v>26</v>
      </c>
      <c r="H1420" t="s">
        <v>18</v>
      </c>
    </row>
    <row r="1421" spans="1:8" hidden="1" x14ac:dyDescent="0.2">
      <c r="A1421" t="s">
        <v>355</v>
      </c>
      <c r="B1421" t="s">
        <v>56</v>
      </c>
      <c r="C1421" t="s">
        <v>60</v>
      </c>
      <c r="D1421" t="s">
        <v>356</v>
      </c>
      <c r="E1421" t="s">
        <v>20</v>
      </c>
      <c r="F1421">
        <v>128</v>
      </c>
      <c r="G1421" t="s">
        <v>26</v>
      </c>
      <c r="H1421" t="s">
        <v>18</v>
      </c>
    </row>
    <row r="1422" spans="1:8" hidden="1" x14ac:dyDescent="0.2">
      <c r="A1422" t="s">
        <v>355</v>
      </c>
      <c r="B1422" t="s">
        <v>56</v>
      </c>
      <c r="C1422" t="s">
        <v>60</v>
      </c>
      <c r="D1422" t="s">
        <v>356</v>
      </c>
      <c r="E1422" t="s">
        <v>19</v>
      </c>
      <c r="F1422">
        <v>128</v>
      </c>
      <c r="G1422" t="s">
        <v>26</v>
      </c>
      <c r="H1422" t="s">
        <v>18</v>
      </c>
    </row>
    <row r="1423" spans="1:8" hidden="1" x14ac:dyDescent="0.2">
      <c r="A1423" t="s">
        <v>355</v>
      </c>
      <c r="B1423" t="s">
        <v>56</v>
      </c>
      <c r="C1423" t="s">
        <v>60</v>
      </c>
      <c r="D1423" t="s">
        <v>356</v>
      </c>
      <c r="E1423" t="s">
        <v>17</v>
      </c>
      <c r="F1423">
        <v>160</v>
      </c>
      <c r="G1423" t="s">
        <v>26</v>
      </c>
      <c r="H1423" t="s">
        <v>18</v>
      </c>
    </row>
    <row r="1424" spans="1:8" hidden="1" x14ac:dyDescent="0.2">
      <c r="A1424" t="s">
        <v>357</v>
      </c>
      <c r="B1424" t="s">
        <v>56</v>
      </c>
      <c r="C1424" t="s">
        <v>57</v>
      </c>
      <c r="D1424" t="s">
        <v>358</v>
      </c>
      <c r="E1424" t="s">
        <v>22</v>
      </c>
      <c r="F1424">
        <v>106.7</v>
      </c>
      <c r="G1424" t="s">
        <v>26</v>
      </c>
      <c r="H1424" t="s">
        <v>18</v>
      </c>
    </row>
    <row r="1425" spans="1:8" hidden="1" x14ac:dyDescent="0.2">
      <c r="A1425" t="s">
        <v>357</v>
      </c>
      <c r="B1425" t="s">
        <v>56</v>
      </c>
      <c r="C1425" t="s">
        <v>57</v>
      </c>
      <c r="D1425" t="s">
        <v>358</v>
      </c>
      <c r="E1425" t="s">
        <v>1528</v>
      </c>
      <c r="G1425" t="s">
        <v>26</v>
      </c>
      <c r="H1425" t="s">
        <v>18</v>
      </c>
    </row>
    <row r="1426" spans="1:8" hidden="1" x14ac:dyDescent="0.2">
      <c r="A1426" t="s">
        <v>357</v>
      </c>
      <c r="B1426" t="s">
        <v>56</v>
      </c>
      <c r="C1426" t="s">
        <v>57</v>
      </c>
      <c r="D1426" t="s">
        <v>358</v>
      </c>
      <c r="E1426" t="s">
        <v>1529</v>
      </c>
      <c r="G1426" t="s">
        <v>26</v>
      </c>
      <c r="H1426" t="s">
        <v>18</v>
      </c>
    </row>
    <row r="1427" spans="1:8" hidden="1" x14ac:dyDescent="0.2">
      <c r="A1427" t="s">
        <v>357</v>
      </c>
      <c r="B1427" t="s">
        <v>56</v>
      </c>
      <c r="C1427" t="s">
        <v>57</v>
      </c>
      <c r="D1427" t="s">
        <v>358</v>
      </c>
      <c r="E1427" t="s">
        <v>1530</v>
      </c>
      <c r="G1427" t="s">
        <v>26</v>
      </c>
      <c r="H1427" t="s">
        <v>18</v>
      </c>
    </row>
    <row r="1428" spans="1:8" hidden="1" x14ac:dyDescent="0.2">
      <c r="A1428" t="s">
        <v>357</v>
      </c>
      <c r="B1428" t="s">
        <v>56</v>
      </c>
      <c r="C1428" t="s">
        <v>57</v>
      </c>
      <c r="D1428" t="s">
        <v>358</v>
      </c>
      <c r="E1428" t="s">
        <v>1531</v>
      </c>
      <c r="G1428" t="s">
        <v>26</v>
      </c>
      <c r="H1428" t="s">
        <v>18</v>
      </c>
    </row>
    <row r="1429" spans="1:8" hidden="1" x14ac:dyDescent="0.2">
      <c r="A1429" t="s">
        <v>357</v>
      </c>
      <c r="B1429" t="s">
        <v>56</v>
      </c>
      <c r="C1429" t="s">
        <v>57</v>
      </c>
      <c r="D1429" t="s">
        <v>358</v>
      </c>
      <c r="E1429" t="s">
        <v>12</v>
      </c>
      <c r="F1429">
        <v>21.3</v>
      </c>
      <c r="G1429" t="s">
        <v>26</v>
      </c>
      <c r="H1429" t="s">
        <v>14</v>
      </c>
    </row>
    <row r="1430" spans="1:8" hidden="1" x14ac:dyDescent="0.2">
      <c r="A1430" t="s">
        <v>357</v>
      </c>
      <c r="B1430" t="s">
        <v>56</v>
      </c>
      <c r="C1430" t="s">
        <v>57</v>
      </c>
      <c r="D1430" t="s">
        <v>358</v>
      </c>
      <c r="E1430" t="s">
        <v>21</v>
      </c>
      <c r="F1430">
        <v>53.4</v>
      </c>
      <c r="G1430" t="s">
        <v>26</v>
      </c>
      <c r="H1430" t="s">
        <v>18</v>
      </c>
    </row>
    <row r="1431" spans="1:8" hidden="1" x14ac:dyDescent="0.2">
      <c r="A1431" t="s">
        <v>357</v>
      </c>
      <c r="B1431" t="s">
        <v>56</v>
      </c>
      <c r="C1431" t="s">
        <v>57</v>
      </c>
      <c r="D1431" t="s">
        <v>358</v>
      </c>
      <c r="E1431" t="s">
        <v>20</v>
      </c>
      <c r="F1431">
        <v>42.7</v>
      </c>
      <c r="G1431" t="s">
        <v>26</v>
      </c>
      <c r="H1431" t="s">
        <v>18</v>
      </c>
    </row>
    <row r="1432" spans="1:8" hidden="1" x14ac:dyDescent="0.2">
      <c r="A1432" t="s">
        <v>357</v>
      </c>
      <c r="B1432" t="s">
        <v>56</v>
      </c>
      <c r="C1432" t="s">
        <v>57</v>
      </c>
      <c r="D1432" t="s">
        <v>358</v>
      </c>
      <c r="E1432" t="s">
        <v>19</v>
      </c>
      <c r="F1432">
        <v>42.7</v>
      </c>
      <c r="G1432" t="s">
        <v>26</v>
      </c>
      <c r="H1432" t="s">
        <v>18</v>
      </c>
    </row>
    <row r="1433" spans="1:8" hidden="1" x14ac:dyDescent="0.2">
      <c r="A1433" t="s">
        <v>357</v>
      </c>
      <c r="B1433" t="s">
        <v>56</v>
      </c>
      <c r="C1433" t="s">
        <v>57</v>
      </c>
      <c r="D1433" t="s">
        <v>358</v>
      </c>
      <c r="E1433" t="s">
        <v>17</v>
      </c>
      <c r="F1433">
        <v>53.4</v>
      </c>
      <c r="G1433" t="s">
        <v>26</v>
      </c>
      <c r="H1433" t="s">
        <v>18</v>
      </c>
    </row>
    <row r="1434" spans="1:8" hidden="1" x14ac:dyDescent="0.2">
      <c r="A1434" t="s">
        <v>359</v>
      </c>
      <c r="B1434" t="s">
        <v>56</v>
      </c>
      <c r="C1434" t="s">
        <v>62</v>
      </c>
      <c r="D1434" t="s">
        <v>360</v>
      </c>
      <c r="E1434" t="s">
        <v>22</v>
      </c>
      <c r="F1434">
        <v>533.29999999999995</v>
      </c>
      <c r="G1434" t="s">
        <v>26</v>
      </c>
      <c r="H1434" t="s">
        <v>27</v>
      </c>
    </row>
    <row r="1435" spans="1:8" hidden="1" x14ac:dyDescent="0.2">
      <c r="A1435" t="s">
        <v>359</v>
      </c>
      <c r="B1435" t="s">
        <v>56</v>
      </c>
      <c r="C1435" t="s">
        <v>62</v>
      </c>
      <c r="D1435" t="s">
        <v>360</v>
      </c>
      <c r="E1435" t="s">
        <v>1528</v>
      </c>
      <c r="G1435" t="s">
        <v>26</v>
      </c>
      <c r="H1435" t="s">
        <v>27</v>
      </c>
    </row>
    <row r="1436" spans="1:8" hidden="1" x14ac:dyDescent="0.2">
      <c r="A1436" t="s">
        <v>359</v>
      </c>
      <c r="B1436" t="s">
        <v>56</v>
      </c>
      <c r="C1436" t="s">
        <v>62</v>
      </c>
      <c r="D1436" t="s">
        <v>360</v>
      </c>
      <c r="E1436" t="s">
        <v>1529</v>
      </c>
      <c r="G1436" t="s">
        <v>26</v>
      </c>
      <c r="H1436" t="s">
        <v>27</v>
      </c>
    </row>
    <row r="1437" spans="1:8" hidden="1" x14ac:dyDescent="0.2">
      <c r="A1437" t="s">
        <v>359</v>
      </c>
      <c r="B1437" t="s">
        <v>56</v>
      </c>
      <c r="C1437" t="s">
        <v>62</v>
      </c>
      <c r="D1437" t="s">
        <v>360</v>
      </c>
      <c r="E1437" t="s">
        <v>1530</v>
      </c>
      <c r="G1437" t="s">
        <v>26</v>
      </c>
      <c r="H1437" t="s">
        <v>27</v>
      </c>
    </row>
    <row r="1438" spans="1:8" hidden="1" x14ac:dyDescent="0.2">
      <c r="A1438" t="s">
        <v>359</v>
      </c>
      <c r="B1438" t="s">
        <v>56</v>
      </c>
      <c r="C1438" t="s">
        <v>62</v>
      </c>
      <c r="D1438" t="s">
        <v>360</v>
      </c>
      <c r="E1438" t="s">
        <v>1531</v>
      </c>
      <c r="G1438" t="s">
        <v>26</v>
      </c>
      <c r="H1438" t="s">
        <v>27</v>
      </c>
    </row>
    <row r="1439" spans="1:8" hidden="1" x14ac:dyDescent="0.2">
      <c r="A1439" t="s">
        <v>359</v>
      </c>
      <c r="B1439" t="s">
        <v>56</v>
      </c>
      <c r="C1439" t="s">
        <v>62</v>
      </c>
      <c r="D1439" t="s">
        <v>360</v>
      </c>
      <c r="E1439" t="s">
        <v>12</v>
      </c>
      <c r="F1439">
        <v>106.7</v>
      </c>
      <c r="G1439" t="s">
        <v>26</v>
      </c>
      <c r="H1439" t="s">
        <v>18</v>
      </c>
    </row>
    <row r="1440" spans="1:8" hidden="1" x14ac:dyDescent="0.2">
      <c r="A1440" t="s">
        <v>359</v>
      </c>
      <c r="B1440" t="s">
        <v>56</v>
      </c>
      <c r="C1440" t="s">
        <v>62</v>
      </c>
      <c r="D1440" t="s">
        <v>360</v>
      </c>
      <c r="E1440" t="s">
        <v>21</v>
      </c>
      <c r="F1440">
        <v>266.60000000000002</v>
      </c>
      <c r="G1440" t="s">
        <v>26</v>
      </c>
      <c r="H1440" t="s">
        <v>27</v>
      </c>
    </row>
    <row r="1441" spans="1:8" hidden="1" x14ac:dyDescent="0.2">
      <c r="A1441" t="s">
        <v>359</v>
      </c>
      <c r="B1441" t="s">
        <v>56</v>
      </c>
      <c r="C1441" t="s">
        <v>62</v>
      </c>
      <c r="D1441" t="s">
        <v>360</v>
      </c>
      <c r="E1441" t="s">
        <v>20</v>
      </c>
      <c r="F1441">
        <v>213.3</v>
      </c>
      <c r="G1441" t="s">
        <v>26</v>
      </c>
      <c r="H1441" t="s">
        <v>27</v>
      </c>
    </row>
    <row r="1442" spans="1:8" hidden="1" x14ac:dyDescent="0.2">
      <c r="A1442" t="s">
        <v>359</v>
      </c>
      <c r="B1442" t="s">
        <v>56</v>
      </c>
      <c r="C1442" t="s">
        <v>62</v>
      </c>
      <c r="D1442" t="s">
        <v>360</v>
      </c>
      <c r="E1442" t="s">
        <v>19</v>
      </c>
      <c r="F1442">
        <v>213.3</v>
      </c>
      <c r="G1442" t="s">
        <v>26</v>
      </c>
      <c r="H1442" t="s">
        <v>27</v>
      </c>
    </row>
    <row r="1443" spans="1:8" hidden="1" x14ac:dyDescent="0.2">
      <c r="A1443" t="s">
        <v>359</v>
      </c>
      <c r="B1443" t="s">
        <v>56</v>
      </c>
      <c r="C1443" t="s">
        <v>62</v>
      </c>
      <c r="D1443" t="s">
        <v>360</v>
      </c>
      <c r="E1443" t="s">
        <v>17</v>
      </c>
      <c r="F1443">
        <v>266.60000000000002</v>
      </c>
      <c r="G1443" t="s">
        <v>26</v>
      </c>
      <c r="H1443" t="s">
        <v>27</v>
      </c>
    </row>
    <row r="1444" spans="1:8" hidden="1" x14ac:dyDescent="0.2">
      <c r="A1444" t="s">
        <v>361</v>
      </c>
      <c r="B1444" t="s">
        <v>56</v>
      </c>
      <c r="C1444" t="s">
        <v>60</v>
      </c>
      <c r="D1444" t="s">
        <v>362</v>
      </c>
      <c r="E1444" t="s">
        <v>22</v>
      </c>
      <c r="F1444">
        <v>266.7</v>
      </c>
      <c r="G1444" t="s">
        <v>26</v>
      </c>
      <c r="H1444" t="s">
        <v>18</v>
      </c>
    </row>
    <row r="1445" spans="1:8" hidden="1" x14ac:dyDescent="0.2">
      <c r="A1445" t="s">
        <v>361</v>
      </c>
      <c r="B1445" t="s">
        <v>56</v>
      </c>
      <c r="C1445" t="s">
        <v>60</v>
      </c>
      <c r="D1445" t="s">
        <v>362</v>
      </c>
      <c r="E1445" t="s">
        <v>1528</v>
      </c>
      <c r="G1445" t="s">
        <v>26</v>
      </c>
      <c r="H1445" t="s">
        <v>18</v>
      </c>
    </row>
    <row r="1446" spans="1:8" hidden="1" x14ac:dyDescent="0.2">
      <c r="A1446" t="s">
        <v>361</v>
      </c>
      <c r="B1446" t="s">
        <v>56</v>
      </c>
      <c r="C1446" t="s">
        <v>60</v>
      </c>
      <c r="D1446" t="s">
        <v>362</v>
      </c>
      <c r="E1446" t="s">
        <v>1529</v>
      </c>
      <c r="G1446" t="s">
        <v>26</v>
      </c>
      <c r="H1446" t="s">
        <v>18</v>
      </c>
    </row>
    <row r="1447" spans="1:8" hidden="1" x14ac:dyDescent="0.2">
      <c r="A1447" t="s">
        <v>361</v>
      </c>
      <c r="B1447" t="s">
        <v>56</v>
      </c>
      <c r="C1447" t="s">
        <v>60</v>
      </c>
      <c r="D1447" t="s">
        <v>362</v>
      </c>
      <c r="E1447" t="s">
        <v>1530</v>
      </c>
      <c r="G1447" t="s">
        <v>26</v>
      </c>
      <c r="H1447" t="s">
        <v>18</v>
      </c>
    </row>
    <row r="1448" spans="1:8" hidden="1" x14ac:dyDescent="0.2">
      <c r="A1448" t="s">
        <v>361</v>
      </c>
      <c r="B1448" t="s">
        <v>56</v>
      </c>
      <c r="C1448" t="s">
        <v>60</v>
      </c>
      <c r="D1448" t="s">
        <v>362</v>
      </c>
      <c r="E1448" t="s">
        <v>1531</v>
      </c>
      <c r="G1448" t="s">
        <v>26</v>
      </c>
      <c r="H1448" t="s">
        <v>18</v>
      </c>
    </row>
    <row r="1449" spans="1:8" hidden="1" x14ac:dyDescent="0.2">
      <c r="A1449" t="s">
        <v>361</v>
      </c>
      <c r="B1449" t="s">
        <v>56</v>
      </c>
      <c r="C1449" t="s">
        <v>60</v>
      </c>
      <c r="D1449" t="s">
        <v>362</v>
      </c>
      <c r="E1449" t="s">
        <v>12</v>
      </c>
      <c r="F1449">
        <v>53.3</v>
      </c>
      <c r="G1449" t="s">
        <v>26</v>
      </c>
      <c r="H1449" t="s">
        <v>14</v>
      </c>
    </row>
    <row r="1450" spans="1:8" hidden="1" x14ac:dyDescent="0.2">
      <c r="A1450" t="s">
        <v>361</v>
      </c>
      <c r="B1450" t="s">
        <v>56</v>
      </c>
      <c r="C1450" t="s">
        <v>60</v>
      </c>
      <c r="D1450" t="s">
        <v>362</v>
      </c>
      <c r="E1450" t="s">
        <v>21</v>
      </c>
      <c r="F1450">
        <v>133.4</v>
      </c>
      <c r="G1450" t="s">
        <v>26</v>
      </c>
      <c r="H1450" t="s">
        <v>18</v>
      </c>
    </row>
    <row r="1451" spans="1:8" hidden="1" x14ac:dyDescent="0.2">
      <c r="A1451" t="s">
        <v>361</v>
      </c>
      <c r="B1451" t="s">
        <v>56</v>
      </c>
      <c r="C1451" t="s">
        <v>60</v>
      </c>
      <c r="D1451" t="s">
        <v>362</v>
      </c>
      <c r="E1451" t="s">
        <v>20</v>
      </c>
      <c r="F1451">
        <v>106.7</v>
      </c>
      <c r="G1451" t="s">
        <v>26</v>
      </c>
      <c r="H1451" t="s">
        <v>18</v>
      </c>
    </row>
    <row r="1452" spans="1:8" hidden="1" x14ac:dyDescent="0.2">
      <c r="A1452" t="s">
        <v>361</v>
      </c>
      <c r="B1452" t="s">
        <v>56</v>
      </c>
      <c r="C1452" t="s">
        <v>60</v>
      </c>
      <c r="D1452" t="s">
        <v>362</v>
      </c>
      <c r="E1452" t="s">
        <v>19</v>
      </c>
      <c r="F1452">
        <v>106.7</v>
      </c>
      <c r="G1452" t="s">
        <v>26</v>
      </c>
      <c r="H1452" t="s">
        <v>18</v>
      </c>
    </row>
    <row r="1453" spans="1:8" hidden="1" x14ac:dyDescent="0.2">
      <c r="A1453" t="s">
        <v>361</v>
      </c>
      <c r="B1453" t="s">
        <v>56</v>
      </c>
      <c r="C1453" t="s">
        <v>60</v>
      </c>
      <c r="D1453" t="s">
        <v>362</v>
      </c>
      <c r="E1453" t="s">
        <v>17</v>
      </c>
      <c r="F1453">
        <v>133.4</v>
      </c>
      <c r="G1453" t="s">
        <v>26</v>
      </c>
      <c r="H1453" t="s">
        <v>18</v>
      </c>
    </row>
    <row r="1454" spans="1:8" hidden="1" x14ac:dyDescent="0.2">
      <c r="A1454" t="s">
        <v>363</v>
      </c>
      <c r="B1454" t="s">
        <v>75</v>
      </c>
      <c r="C1454" t="s">
        <v>83</v>
      </c>
      <c r="D1454" t="s">
        <v>364</v>
      </c>
      <c r="E1454" t="s">
        <v>22</v>
      </c>
      <c r="G1454" t="s">
        <v>31</v>
      </c>
      <c r="H1454" t="s">
        <v>27</v>
      </c>
    </row>
    <row r="1455" spans="1:8" hidden="1" x14ac:dyDescent="0.2">
      <c r="A1455" t="s">
        <v>363</v>
      </c>
      <c r="B1455" t="s">
        <v>75</v>
      </c>
      <c r="C1455" t="s">
        <v>83</v>
      </c>
      <c r="D1455" t="s">
        <v>364</v>
      </c>
      <c r="E1455" t="s">
        <v>1528</v>
      </c>
      <c r="G1455" t="s">
        <v>31</v>
      </c>
      <c r="H1455" t="s">
        <v>27</v>
      </c>
    </row>
    <row r="1456" spans="1:8" hidden="1" x14ac:dyDescent="0.2">
      <c r="A1456" t="s">
        <v>363</v>
      </c>
      <c r="B1456" t="s">
        <v>75</v>
      </c>
      <c r="C1456" t="s">
        <v>83</v>
      </c>
      <c r="D1456" t="s">
        <v>364</v>
      </c>
      <c r="E1456" t="s">
        <v>1529</v>
      </c>
      <c r="G1456" t="s">
        <v>31</v>
      </c>
      <c r="H1456" t="s">
        <v>27</v>
      </c>
    </row>
    <row r="1457" spans="1:8" hidden="1" x14ac:dyDescent="0.2">
      <c r="A1457" t="s">
        <v>363</v>
      </c>
      <c r="B1457" t="s">
        <v>75</v>
      </c>
      <c r="C1457" t="s">
        <v>83</v>
      </c>
      <c r="D1457" t="s">
        <v>364</v>
      </c>
      <c r="E1457" t="s">
        <v>1530</v>
      </c>
      <c r="G1457" t="s">
        <v>31</v>
      </c>
      <c r="H1457" t="s">
        <v>27</v>
      </c>
    </row>
    <row r="1458" spans="1:8" hidden="1" x14ac:dyDescent="0.2">
      <c r="A1458" t="s">
        <v>363</v>
      </c>
      <c r="B1458" t="s">
        <v>75</v>
      </c>
      <c r="C1458" t="s">
        <v>83</v>
      </c>
      <c r="D1458" t="s">
        <v>364</v>
      </c>
      <c r="E1458" t="s">
        <v>1531</v>
      </c>
      <c r="G1458" t="s">
        <v>31</v>
      </c>
      <c r="H1458" t="s">
        <v>27</v>
      </c>
    </row>
    <row r="1459" spans="1:8" hidden="1" x14ac:dyDescent="0.2">
      <c r="A1459" t="s">
        <v>363</v>
      </c>
      <c r="B1459" t="s">
        <v>75</v>
      </c>
      <c r="C1459" t="s">
        <v>83</v>
      </c>
      <c r="D1459" t="s">
        <v>364</v>
      </c>
      <c r="E1459" t="s">
        <v>12</v>
      </c>
      <c r="G1459" t="s">
        <v>31</v>
      </c>
      <c r="H1459" t="s">
        <v>18</v>
      </c>
    </row>
    <row r="1460" spans="1:8" hidden="1" x14ac:dyDescent="0.2">
      <c r="A1460" t="s">
        <v>363</v>
      </c>
      <c r="B1460" t="s">
        <v>75</v>
      </c>
      <c r="C1460" t="s">
        <v>83</v>
      </c>
      <c r="D1460" t="s">
        <v>364</v>
      </c>
      <c r="E1460" t="s">
        <v>21</v>
      </c>
      <c r="G1460" t="s">
        <v>31</v>
      </c>
      <c r="H1460" t="s">
        <v>27</v>
      </c>
    </row>
    <row r="1461" spans="1:8" hidden="1" x14ac:dyDescent="0.2">
      <c r="A1461" t="s">
        <v>363</v>
      </c>
      <c r="B1461" t="s">
        <v>75</v>
      </c>
      <c r="C1461" t="s">
        <v>83</v>
      </c>
      <c r="D1461" t="s">
        <v>364</v>
      </c>
      <c r="E1461" t="s">
        <v>20</v>
      </c>
      <c r="G1461" t="s">
        <v>31</v>
      </c>
      <c r="H1461" t="s">
        <v>27</v>
      </c>
    </row>
    <row r="1462" spans="1:8" hidden="1" x14ac:dyDescent="0.2">
      <c r="A1462" t="s">
        <v>363</v>
      </c>
      <c r="B1462" t="s">
        <v>75</v>
      </c>
      <c r="C1462" t="s">
        <v>83</v>
      </c>
      <c r="D1462" t="s">
        <v>364</v>
      </c>
      <c r="E1462" t="s">
        <v>19</v>
      </c>
      <c r="G1462" t="s">
        <v>31</v>
      </c>
      <c r="H1462" t="s">
        <v>27</v>
      </c>
    </row>
    <row r="1463" spans="1:8" hidden="1" x14ac:dyDescent="0.2">
      <c r="A1463" t="s">
        <v>363</v>
      </c>
      <c r="B1463" t="s">
        <v>75</v>
      </c>
      <c r="C1463" t="s">
        <v>83</v>
      </c>
      <c r="D1463" t="s">
        <v>364</v>
      </c>
      <c r="E1463" t="s">
        <v>17</v>
      </c>
      <c r="G1463" t="s">
        <v>31</v>
      </c>
      <c r="H1463" t="s">
        <v>27</v>
      </c>
    </row>
    <row r="1464" spans="1:8" hidden="1" x14ac:dyDescent="0.2">
      <c r="A1464" t="s">
        <v>365</v>
      </c>
      <c r="B1464" t="s">
        <v>75</v>
      </c>
      <c r="C1464" t="s">
        <v>82</v>
      </c>
      <c r="D1464" t="s">
        <v>366</v>
      </c>
      <c r="E1464" t="s">
        <v>22</v>
      </c>
      <c r="F1464">
        <v>190.7</v>
      </c>
      <c r="G1464" t="s">
        <v>26</v>
      </c>
      <c r="H1464" t="s">
        <v>18</v>
      </c>
    </row>
    <row r="1465" spans="1:8" hidden="1" x14ac:dyDescent="0.2">
      <c r="A1465" t="s">
        <v>365</v>
      </c>
      <c r="B1465" t="s">
        <v>75</v>
      </c>
      <c r="C1465" t="s">
        <v>82</v>
      </c>
      <c r="D1465" t="s">
        <v>366</v>
      </c>
      <c r="E1465" t="s">
        <v>1528</v>
      </c>
      <c r="G1465" t="s">
        <v>26</v>
      </c>
      <c r="H1465" t="s">
        <v>18</v>
      </c>
    </row>
    <row r="1466" spans="1:8" hidden="1" x14ac:dyDescent="0.2">
      <c r="A1466" t="s">
        <v>365</v>
      </c>
      <c r="B1466" t="s">
        <v>75</v>
      </c>
      <c r="C1466" t="s">
        <v>82</v>
      </c>
      <c r="D1466" t="s">
        <v>366</v>
      </c>
      <c r="E1466" t="s">
        <v>1529</v>
      </c>
      <c r="G1466" t="s">
        <v>26</v>
      </c>
      <c r="H1466" t="s">
        <v>18</v>
      </c>
    </row>
    <row r="1467" spans="1:8" hidden="1" x14ac:dyDescent="0.2">
      <c r="A1467" t="s">
        <v>365</v>
      </c>
      <c r="B1467" t="s">
        <v>75</v>
      </c>
      <c r="C1467" t="s">
        <v>82</v>
      </c>
      <c r="D1467" t="s">
        <v>366</v>
      </c>
      <c r="E1467" t="s">
        <v>1530</v>
      </c>
      <c r="G1467" t="s">
        <v>26</v>
      </c>
      <c r="H1467" t="s">
        <v>18</v>
      </c>
    </row>
    <row r="1468" spans="1:8" hidden="1" x14ac:dyDescent="0.2">
      <c r="A1468" t="s">
        <v>365</v>
      </c>
      <c r="B1468" t="s">
        <v>75</v>
      </c>
      <c r="C1468" t="s">
        <v>82</v>
      </c>
      <c r="D1468" t="s">
        <v>366</v>
      </c>
      <c r="E1468" t="s">
        <v>1531</v>
      </c>
      <c r="G1468" t="s">
        <v>26</v>
      </c>
      <c r="H1468" t="s">
        <v>18</v>
      </c>
    </row>
    <row r="1469" spans="1:8" hidden="1" x14ac:dyDescent="0.2">
      <c r="A1469" t="s">
        <v>365</v>
      </c>
      <c r="B1469" t="s">
        <v>75</v>
      </c>
      <c r="C1469" t="s">
        <v>82</v>
      </c>
      <c r="D1469" t="s">
        <v>366</v>
      </c>
      <c r="E1469" t="s">
        <v>12</v>
      </c>
      <c r="F1469">
        <v>38.1</v>
      </c>
      <c r="G1469" t="s">
        <v>26</v>
      </c>
      <c r="H1469" t="s">
        <v>14</v>
      </c>
    </row>
    <row r="1470" spans="1:8" hidden="1" x14ac:dyDescent="0.2">
      <c r="A1470" t="s">
        <v>365</v>
      </c>
      <c r="B1470" t="s">
        <v>75</v>
      </c>
      <c r="C1470" t="s">
        <v>82</v>
      </c>
      <c r="D1470" t="s">
        <v>366</v>
      </c>
      <c r="E1470" t="s">
        <v>21</v>
      </c>
      <c r="F1470">
        <v>95.4</v>
      </c>
      <c r="G1470" t="s">
        <v>26</v>
      </c>
      <c r="H1470" t="s">
        <v>18</v>
      </c>
    </row>
    <row r="1471" spans="1:8" hidden="1" x14ac:dyDescent="0.2">
      <c r="A1471" t="s">
        <v>365</v>
      </c>
      <c r="B1471" t="s">
        <v>75</v>
      </c>
      <c r="C1471" t="s">
        <v>82</v>
      </c>
      <c r="D1471" t="s">
        <v>366</v>
      </c>
      <c r="E1471" t="s">
        <v>20</v>
      </c>
      <c r="F1471">
        <v>76.3</v>
      </c>
      <c r="G1471" t="s">
        <v>26</v>
      </c>
      <c r="H1471" t="s">
        <v>18</v>
      </c>
    </row>
    <row r="1472" spans="1:8" hidden="1" x14ac:dyDescent="0.2">
      <c r="A1472" t="s">
        <v>365</v>
      </c>
      <c r="B1472" t="s">
        <v>75</v>
      </c>
      <c r="C1472" t="s">
        <v>82</v>
      </c>
      <c r="D1472" t="s">
        <v>366</v>
      </c>
      <c r="E1472" t="s">
        <v>19</v>
      </c>
      <c r="F1472">
        <v>76.3</v>
      </c>
      <c r="G1472" t="s">
        <v>26</v>
      </c>
      <c r="H1472" t="s">
        <v>18</v>
      </c>
    </row>
    <row r="1473" spans="1:8" hidden="1" x14ac:dyDescent="0.2">
      <c r="A1473" t="s">
        <v>365</v>
      </c>
      <c r="B1473" t="s">
        <v>75</v>
      </c>
      <c r="C1473" t="s">
        <v>82</v>
      </c>
      <c r="D1473" t="s">
        <v>366</v>
      </c>
      <c r="E1473" t="s">
        <v>17</v>
      </c>
      <c r="F1473">
        <v>95.4</v>
      </c>
      <c r="G1473" t="s">
        <v>26</v>
      </c>
      <c r="H1473" t="s">
        <v>18</v>
      </c>
    </row>
    <row r="1474" spans="1:8" hidden="1" x14ac:dyDescent="0.2">
      <c r="A1474" t="s">
        <v>367</v>
      </c>
      <c r="B1474" t="s">
        <v>75</v>
      </c>
      <c r="C1474" t="s">
        <v>78</v>
      </c>
      <c r="D1474" t="s">
        <v>368</v>
      </c>
      <c r="E1474" t="s">
        <v>22</v>
      </c>
      <c r="F1474">
        <v>160</v>
      </c>
      <c r="G1474" t="s">
        <v>26</v>
      </c>
      <c r="H1474" t="s">
        <v>18</v>
      </c>
    </row>
    <row r="1475" spans="1:8" hidden="1" x14ac:dyDescent="0.2">
      <c r="A1475" t="s">
        <v>367</v>
      </c>
      <c r="B1475" t="s">
        <v>75</v>
      </c>
      <c r="C1475" t="s">
        <v>78</v>
      </c>
      <c r="D1475" t="s">
        <v>368</v>
      </c>
      <c r="E1475" t="s">
        <v>1528</v>
      </c>
      <c r="G1475" t="s">
        <v>26</v>
      </c>
      <c r="H1475" t="s">
        <v>18</v>
      </c>
    </row>
    <row r="1476" spans="1:8" hidden="1" x14ac:dyDescent="0.2">
      <c r="A1476" t="s">
        <v>367</v>
      </c>
      <c r="B1476" t="s">
        <v>75</v>
      </c>
      <c r="C1476" t="s">
        <v>78</v>
      </c>
      <c r="D1476" t="s">
        <v>368</v>
      </c>
      <c r="E1476" t="s">
        <v>1529</v>
      </c>
      <c r="G1476" t="s">
        <v>26</v>
      </c>
      <c r="H1476" t="s">
        <v>18</v>
      </c>
    </row>
    <row r="1477" spans="1:8" hidden="1" x14ac:dyDescent="0.2">
      <c r="A1477" t="s">
        <v>367</v>
      </c>
      <c r="B1477" t="s">
        <v>75</v>
      </c>
      <c r="C1477" t="s">
        <v>78</v>
      </c>
      <c r="D1477" t="s">
        <v>368</v>
      </c>
      <c r="E1477" t="s">
        <v>1530</v>
      </c>
      <c r="G1477" t="s">
        <v>26</v>
      </c>
      <c r="H1477" t="s">
        <v>18</v>
      </c>
    </row>
    <row r="1478" spans="1:8" hidden="1" x14ac:dyDescent="0.2">
      <c r="A1478" t="s">
        <v>367</v>
      </c>
      <c r="B1478" t="s">
        <v>75</v>
      </c>
      <c r="C1478" t="s">
        <v>78</v>
      </c>
      <c r="D1478" t="s">
        <v>368</v>
      </c>
      <c r="E1478" t="s">
        <v>1531</v>
      </c>
      <c r="G1478" t="s">
        <v>26</v>
      </c>
      <c r="H1478" t="s">
        <v>18</v>
      </c>
    </row>
    <row r="1479" spans="1:8" hidden="1" x14ac:dyDescent="0.2">
      <c r="A1479" t="s">
        <v>367</v>
      </c>
      <c r="B1479" t="s">
        <v>75</v>
      </c>
      <c r="C1479" t="s">
        <v>78</v>
      </c>
      <c r="D1479" t="s">
        <v>368</v>
      </c>
      <c r="E1479" t="s">
        <v>12</v>
      </c>
      <c r="F1479">
        <v>32</v>
      </c>
      <c r="G1479" t="s">
        <v>26</v>
      </c>
      <c r="H1479" t="s">
        <v>14</v>
      </c>
    </row>
    <row r="1480" spans="1:8" hidden="1" x14ac:dyDescent="0.2">
      <c r="A1480" t="s">
        <v>367</v>
      </c>
      <c r="B1480" t="s">
        <v>75</v>
      </c>
      <c r="C1480" t="s">
        <v>78</v>
      </c>
      <c r="D1480" t="s">
        <v>368</v>
      </c>
      <c r="E1480" t="s">
        <v>21</v>
      </c>
      <c r="F1480">
        <v>80</v>
      </c>
      <c r="G1480" t="s">
        <v>26</v>
      </c>
      <c r="H1480" t="s">
        <v>18</v>
      </c>
    </row>
    <row r="1481" spans="1:8" hidden="1" x14ac:dyDescent="0.2">
      <c r="A1481" t="s">
        <v>367</v>
      </c>
      <c r="B1481" t="s">
        <v>75</v>
      </c>
      <c r="C1481" t="s">
        <v>78</v>
      </c>
      <c r="D1481" t="s">
        <v>368</v>
      </c>
      <c r="E1481" t="s">
        <v>20</v>
      </c>
      <c r="F1481">
        <v>64</v>
      </c>
      <c r="G1481" t="s">
        <v>26</v>
      </c>
      <c r="H1481" t="s">
        <v>18</v>
      </c>
    </row>
    <row r="1482" spans="1:8" hidden="1" x14ac:dyDescent="0.2">
      <c r="A1482" t="s">
        <v>367</v>
      </c>
      <c r="B1482" t="s">
        <v>75</v>
      </c>
      <c r="C1482" t="s">
        <v>78</v>
      </c>
      <c r="D1482" t="s">
        <v>368</v>
      </c>
      <c r="E1482" t="s">
        <v>19</v>
      </c>
      <c r="F1482">
        <v>64</v>
      </c>
      <c r="G1482" t="s">
        <v>26</v>
      </c>
      <c r="H1482" t="s">
        <v>18</v>
      </c>
    </row>
    <row r="1483" spans="1:8" hidden="1" x14ac:dyDescent="0.2">
      <c r="A1483" t="s">
        <v>367</v>
      </c>
      <c r="B1483" t="s">
        <v>75</v>
      </c>
      <c r="C1483" t="s">
        <v>78</v>
      </c>
      <c r="D1483" t="s">
        <v>368</v>
      </c>
      <c r="E1483" t="s">
        <v>17</v>
      </c>
      <c r="F1483">
        <v>80</v>
      </c>
      <c r="G1483" t="s">
        <v>26</v>
      </c>
      <c r="H1483" t="s">
        <v>18</v>
      </c>
    </row>
    <row r="1484" spans="1:8" hidden="1" x14ac:dyDescent="0.2">
      <c r="A1484" t="s">
        <v>369</v>
      </c>
      <c r="B1484" t="s">
        <v>75</v>
      </c>
      <c r="C1484" t="s">
        <v>85</v>
      </c>
      <c r="D1484" t="s">
        <v>370</v>
      </c>
      <c r="E1484" t="s">
        <v>22</v>
      </c>
      <c r="F1484">
        <v>45.3</v>
      </c>
      <c r="G1484" t="s">
        <v>31</v>
      </c>
      <c r="H1484" t="s">
        <v>18</v>
      </c>
    </row>
    <row r="1485" spans="1:8" hidden="1" x14ac:dyDescent="0.2">
      <c r="A1485" t="s">
        <v>369</v>
      </c>
      <c r="B1485" t="s">
        <v>75</v>
      </c>
      <c r="C1485" t="s">
        <v>85</v>
      </c>
      <c r="D1485" t="s">
        <v>370</v>
      </c>
      <c r="E1485" t="s">
        <v>1528</v>
      </c>
      <c r="G1485" t="s">
        <v>31</v>
      </c>
      <c r="H1485" t="s">
        <v>18</v>
      </c>
    </row>
    <row r="1486" spans="1:8" hidden="1" x14ac:dyDescent="0.2">
      <c r="A1486" t="s">
        <v>369</v>
      </c>
      <c r="B1486" t="s">
        <v>75</v>
      </c>
      <c r="C1486" t="s">
        <v>85</v>
      </c>
      <c r="D1486" t="s">
        <v>370</v>
      </c>
      <c r="E1486" t="s">
        <v>1529</v>
      </c>
      <c r="G1486" t="s">
        <v>31</v>
      </c>
      <c r="H1486" t="s">
        <v>18</v>
      </c>
    </row>
    <row r="1487" spans="1:8" hidden="1" x14ac:dyDescent="0.2">
      <c r="A1487" t="s">
        <v>369</v>
      </c>
      <c r="B1487" t="s">
        <v>75</v>
      </c>
      <c r="C1487" t="s">
        <v>85</v>
      </c>
      <c r="D1487" t="s">
        <v>370</v>
      </c>
      <c r="E1487" t="s">
        <v>1530</v>
      </c>
      <c r="G1487" t="s">
        <v>31</v>
      </c>
      <c r="H1487" t="s">
        <v>18</v>
      </c>
    </row>
    <row r="1488" spans="1:8" hidden="1" x14ac:dyDescent="0.2">
      <c r="A1488" t="s">
        <v>369</v>
      </c>
      <c r="B1488" t="s">
        <v>75</v>
      </c>
      <c r="C1488" t="s">
        <v>85</v>
      </c>
      <c r="D1488" t="s">
        <v>370</v>
      </c>
      <c r="E1488" t="s">
        <v>1531</v>
      </c>
      <c r="G1488" t="s">
        <v>31</v>
      </c>
      <c r="H1488" t="s">
        <v>18</v>
      </c>
    </row>
    <row r="1489" spans="1:8" hidden="1" x14ac:dyDescent="0.2">
      <c r="A1489" t="s">
        <v>369</v>
      </c>
      <c r="B1489" t="s">
        <v>75</v>
      </c>
      <c r="C1489" t="s">
        <v>85</v>
      </c>
      <c r="D1489" t="s">
        <v>370</v>
      </c>
      <c r="E1489" t="s">
        <v>12</v>
      </c>
      <c r="F1489">
        <v>9.1</v>
      </c>
      <c r="G1489" t="s">
        <v>31</v>
      </c>
      <c r="H1489" t="s">
        <v>14</v>
      </c>
    </row>
    <row r="1490" spans="1:8" hidden="1" x14ac:dyDescent="0.2">
      <c r="A1490" t="s">
        <v>369</v>
      </c>
      <c r="B1490" t="s">
        <v>75</v>
      </c>
      <c r="C1490" t="s">
        <v>85</v>
      </c>
      <c r="D1490" t="s">
        <v>370</v>
      </c>
      <c r="E1490" t="s">
        <v>21</v>
      </c>
      <c r="F1490">
        <v>22.6</v>
      </c>
      <c r="G1490" t="s">
        <v>31</v>
      </c>
      <c r="H1490" t="s">
        <v>18</v>
      </c>
    </row>
    <row r="1491" spans="1:8" hidden="1" x14ac:dyDescent="0.2">
      <c r="A1491" t="s">
        <v>369</v>
      </c>
      <c r="B1491" t="s">
        <v>75</v>
      </c>
      <c r="C1491" t="s">
        <v>85</v>
      </c>
      <c r="D1491" t="s">
        <v>370</v>
      </c>
      <c r="E1491" t="s">
        <v>20</v>
      </c>
      <c r="F1491">
        <v>18.100000000000001</v>
      </c>
      <c r="G1491" t="s">
        <v>31</v>
      </c>
      <c r="H1491" t="s">
        <v>18</v>
      </c>
    </row>
    <row r="1492" spans="1:8" hidden="1" x14ac:dyDescent="0.2">
      <c r="A1492" t="s">
        <v>369</v>
      </c>
      <c r="B1492" t="s">
        <v>75</v>
      </c>
      <c r="C1492" t="s">
        <v>85</v>
      </c>
      <c r="D1492" t="s">
        <v>370</v>
      </c>
      <c r="E1492" t="s">
        <v>19</v>
      </c>
      <c r="F1492">
        <v>18.100000000000001</v>
      </c>
      <c r="G1492" t="s">
        <v>31</v>
      </c>
      <c r="H1492" t="s">
        <v>18</v>
      </c>
    </row>
    <row r="1493" spans="1:8" hidden="1" x14ac:dyDescent="0.2">
      <c r="A1493" t="s">
        <v>369</v>
      </c>
      <c r="B1493" t="s">
        <v>75</v>
      </c>
      <c r="C1493" t="s">
        <v>85</v>
      </c>
      <c r="D1493" t="s">
        <v>370</v>
      </c>
      <c r="E1493" t="s">
        <v>17</v>
      </c>
      <c r="F1493">
        <v>22.6</v>
      </c>
      <c r="G1493" t="s">
        <v>31</v>
      </c>
      <c r="H1493" t="s">
        <v>18</v>
      </c>
    </row>
    <row r="1494" spans="1:8" hidden="1" x14ac:dyDescent="0.2">
      <c r="A1494" t="s">
        <v>371</v>
      </c>
      <c r="B1494" t="s">
        <v>63</v>
      </c>
      <c r="C1494" t="s">
        <v>65</v>
      </c>
      <c r="D1494" t="s">
        <v>372</v>
      </c>
      <c r="E1494" t="s">
        <v>22</v>
      </c>
      <c r="F1494">
        <v>106.7</v>
      </c>
      <c r="G1494" t="s">
        <v>26</v>
      </c>
      <c r="H1494" t="s">
        <v>18</v>
      </c>
    </row>
    <row r="1495" spans="1:8" hidden="1" x14ac:dyDescent="0.2">
      <c r="A1495" t="s">
        <v>371</v>
      </c>
      <c r="B1495" t="s">
        <v>63</v>
      </c>
      <c r="C1495" t="s">
        <v>65</v>
      </c>
      <c r="D1495" t="s">
        <v>372</v>
      </c>
      <c r="E1495" t="s">
        <v>1528</v>
      </c>
      <c r="G1495" t="s">
        <v>26</v>
      </c>
      <c r="H1495" t="s">
        <v>18</v>
      </c>
    </row>
    <row r="1496" spans="1:8" hidden="1" x14ac:dyDescent="0.2">
      <c r="A1496" t="s">
        <v>371</v>
      </c>
      <c r="B1496" t="s">
        <v>63</v>
      </c>
      <c r="C1496" t="s">
        <v>65</v>
      </c>
      <c r="D1496" t="s">
        <v>372</v>
      </c>
      <c r="E1496" t="s">
        <v>1529</v>
      </c>
      <c r="G1496" t="s">
        <v>26</v>
      </c>
      <c r="H1496" t="s">
        <v>18</v>
      </c>
    </row>
    <row r="1497" spans="1:8" hidden="1" x14ac:dyDescent="0.2">
      <c r="A1497" t="s">
        <v>371</v>
      </c>
      <c r="B1497" t="s">
        <v>63</v>
      </c>
      <c r="C1497" t="s">
        <v>65</v>
      </c>
      <c r="D1497" t="s">
        <v>372</v>
      </c>
      <c r="E1497" t="s">
        <v>1530</v>
      </c>
      <c r="G1497" t="s">
        <v>26</v>
      </c>
      <c r="H1497" t="s">
        <v>18</v>
      </c>
    </row>
    <row r="1498" spans="1:8" hidden="1" x14ac:dyDescent="0.2">
      <c r="A1498" t="s">
        <v>371</v>
      </c>
      <c r="B1498" t="s">
        <v>63</v>
      </c>
      <c r="C1498" t="s">
        <v>65</v>
      </c>
      <c r="D1498" t="s">
        <v>372</v>
      </c>
      <c r="E1498" t="s">
        <v>1531</v>
      </c>
      <c r="G1498" t="s">
        <v>26</v>
      </c>
      <c r="H1498" t="s">
        <v>18</v>
      </c>
    </row>
    <row r="1499" spans="1:8" hidden="1" x14ac:dyDescent="0.2">
      <c r="A1499" t="s">
        <v>371</v>
      </c>
      <c r="B1499" t="s">
        <v>63</v>
      </c>
      <c r="C1499" t="s">
        <v>65</v>
      </c>
      <c r="D1499" t="s">
        <v>372</v>
      </c>
      <c r="E1499" t="s">
        <v>12</v>
      </c>
      <c r="F1499">
        <v>21.3</v>
      </c>
      <c r="G1499" t="s">
        <v>26</v>
      </c>
      <c r="H1499" t="s">
        <v>14</v>
      </c>
    </row>
    <row r="1500" spans="1:8" hidden="1" x14ac:dyDescent="0.2">
      <c r="A1500" t="s">
        <v>371</v>
      </c>
      <c r="B1500" t="s">
        <v>63</v>
      </c>
      <c r="C1500" t="s">
        <v>65</v>
      </c>
      <c r="D1500" t="s">
        <v>372</v>
      </c>
      <c r="E1500" t="s">
        <v>21</v>
      </c>
      <c r="F1500">
        <v>53.4</v>
      </c>
      <c r="G1500" t="s">
        <v>26</v>
      </c>
      <c r="H1500" t="s">
        <v>18</v>
      </c>
    </row>
    <row r="1501" spans="1:8" hidden="1" x14ac:dyDescent="0.2">
      <c r="A1501" t="s">
        <v>371</v>
      </c>
      <c r="B1501" t="s">
        <v>63</v>
      </c>
      <c r="C1501" t="s">
        <v>65</v>
      </c>
      <c r="D1501" t="s">
        <v>372</v>
      </c>
      <c r="E1501" t="s">
        <v>20</v>
      </c>
      <c r="F1501">
        <v>42.7</v>
      </c>
      <c r="G1501" t="s">
        <v>26</v>
      </c>
      <c r="H1501" t="s">
        <v>18</v>
      </c>
    </row>
    <row r="1502" spans="1:8" hidden="1" x14ac:dyDescent="0.2">
      <c r="A1502" t="s">
        <v>371</v>
      </c>
      <c r="B1502" t="s">
        <v>63</v>
      </c>
      <c r="C1502" t="s">
        <v>65</v>
      </c>
      <c r="D1502" t="s">
        <v>372</v>
      </c>
      <c r="E1502" t="s">
        <v>19</v>
      </c>
      <c r="F1502">
        <v>42.7</v>
      </c>
      <c r="G1502" t="s">
        <v>26</v>
      </c>
      <c r="H1502" t="s">
        <v>18</v>
      </c>
    </row>
    <row r="1503" spans="1:8" hidden="1" x14ac:dyDescent="0.2">
      <c r="A1503" t="s">
        <v>371</v>
      </c>
      <c r="B1503" t="s">
        <v>63</v>
      </c>
      <c r="C1503" t="s">
        <v>65</v>
      </c>
      <c r="D1503" t="s">
        <v>372</v>
      </c>
      <c r="E1503" t="s">
        <v>17</v>
      </c>
      <c r="F1503">
        <v>53.4</v>
      </c>
      <c r="G1503" t="s">
        <v>26</v>
      </c>
      <c r="H1503" t="s">
        <v>18</v>
      </c>
    </row>
    <row r="1504" spans="1:8" hidden="1" x14ac:dyDescent="0.2">
      <c r="A1504" t="s">
        <v>373</v>
      </c>
      <c r="B1504" t="s">
        <v>75</v>
      </c>
      <c r="C1504" t="s">
        <v>80</v>
      </c>
      <c r="D1504" t="s">
        <v>374</v>
      </c>
      <c r="E1504" t="s">
        <v>22</v>
      </c>
      <c r="F1504">
        <v>80</v>
      </c>
      <c r="G1504" t="s">
        <v>31</v>
      </c>
      <c r="H1504" t="s">
        <v>18</v>
      </c>
    </row>
    <row r="1505" spans="1:8" hidden="1" x14ac:dyDescent="0.2">
      <c r="A1505" t="s">
        <v>373</v>
      </c>
      <c r="B1505" t="s">
        <v>75</v>
      </c>
      <c r="C1505" t="s">
        <v>80</v>
      </c>
      <c r="D1505" t="s">
        <v>374</v>
      </c>
      <c r="E1505" t="s">
        <v>1528</v>
      </c>
      <c r="G1505" t="s">
        <v>31</v>
      </c>
      <c r="H1505" t="s">
        <v>18</v>
      </c>
    </row>
    <row r="1506" spans="1:8" hidden="1" x14ac:dyDescent="0.2">
      <c r="A1506" t="s">
        <v>373</v>
      </c>
      <c r="B1506" t="s">
        <v>75</v>
      </c>
      <c r="C1506" t="s">
        <v>80</v>
      </c>
      <c r="D1506" t="s">
        <v>374</v>
      </c>
      <c r="E1506" t="s">
        <v>1529</v>
      </c>
      <c r="G1506" t="s">
        <v>31</v>
      </c>
      <c r="H1506" t="s">
        <v>18</v>
      </c>
    </row>
    <row r="1507" spans="1:8" hidden="1" x14ac:dyDescent="0.2">
      <c r="A1507" t="s">
        <v>373</v>
      </c>
      <c r="B1507" t="s">
        <v>75</v>
      </c>
      <c r="C1507" t="s">
        <v>80</v>
      </c>
      <c r="D1507" t="s">
        <v>374</v>
      </c>
      <c r="E1507" t="s">
        <v>1530</v>
      </c>
      <c r="G1507" t="s">
        <v>31</v>
      </c>
      <c r="H1507" t="s">
        <v>18</v>
      </c>
    </row>
    <row r="1508" spans="1:8" hidden="1" x14ac:dyDescent="0.2">
      <c r="A1508" t="s">
        <v>373</v>
      </c>
      <c r="B1508" t="s">
        <v>75</v>
      </c>
      <c r="C1508" t="s">
        <v>80</v>
      </c>
      <c r="D1508" t="s">
        <v>374</v>
      </c>
      <c r="E1508" t="s">
        <v>1531</v>
      </c>
      <c r="G1508" t="s">
        <v>31</v>
      </c>
      <c r="H1508" t="s">
        <v>18</v>
      </c>
    </row>
    <row r="1509" spans="1:8" hidden="1" x14ac:dyDescent="0.2">
      <c r="A1509" t="s">
        <v>373</v>
      </c>
      <c r="B1509" t="s">
        <v>75</v>
      </c>
      <c r="C1509" t="s">
        <v>80</v>
      </c>
      <c r="D1509" t="s">
        <v>374</v>
      </c>
      <c r="E1509" t="s">
        <v>12</v>
      </c>
      <c r="F1509">
        <v>16</v>
      </c>
      <c r="G1509" t="s">
        <v>31</v>
      </c>
      <c r="H1509" t="s">
        <v>14</v>
      </c>
    </row>
    <row r="1510" spans="1:8" hidden="1" x14ac:dyDescent="0.2">
      <c r="A1510" t="s">
        <v>373</v>
      </c>
      <c r="B1510" t="s">
        <v>75</v>
      </c>
      <c r="C1510" t="s">
        <v>80</v>
      </c>
      <c r="D1510" t="s">
        <v>374</v>
      </c>
      <c r="E1510" t="s">
        <v>21</v>
      </c>
      <c r="F1510">
        <v>40</v>
      </c>
      <c r="G1510" t="s">
        <v>31</v>
      </c>
      <c r="H1510" t="s">
        <v>18</v>
      </c>
    </row>
    <row r="1511" spans="1:8" hidden="1" x14ac:dyDescent="0.2">
      <c r="A1511" t="s">
        <v>373</v>
      </c>
      <c r="B1511" t="s">
        <v>75</v>
      </c>
      <c r="C1511" t="s">
        <v>80</v>
      </c>
      <c r="D1511" t="s">
        <v>374</v>
      </c>
      <c r="E1511" t="s">
        <v>20</v>
      </c>
      <c r="F1511">
        <v>32</v>
      </c>
      <c r="G1511" t="s">
        <v>31</v>
      </c>
      <c r="H1511" t="s">
        <v>18</v>
      </c>
    </row>
    <row r="1512" spans="1:8" hidden="1" x14ac:dyDescent="0.2">
      <c r="A1512" t="s">
        <v>373</v>
      </c>
      <c r="B1512" t="s">
        <v>75</v>
      </c>
      <c r="C1512" t="s">
        <v>80</v>
      </c>
      <c r="D1512" t="s">
        <v>374</v>
      </c>
      <c r="E1512" t="s">
        <v>19</v>
      </c>
      <c r="F1512">
        <v>32</v>
      </c>
      <c r="G1512" t="s">
        <v>31</v>
      </c>
      <c r="H1512" t="s">
        <v>18</v>
      </c>
    </row>
    <row r="1513" spans="1:8" hidden="1" x14ac:dyDescent="0.2">
      <c r="A1513" t="s">
        <v>373</v>
      </c>
      <c r="B1513" t="s">
        <v>75</v>
      </c>
      <c r="C1513" t="s">
        <v>80</v>
      </c>
      <c r="D1513" t="s">
        <v>374</v>
      </c>
      <c r="E1513" t="s">
        <v>17</v>
      </c>
      <c r="F1513">
        <v>40</v>
      </c>
      <c r="G1513" t="s">
        <v>31</v>
      </c>
      <c r="H1513" t="s">
        <v>18</v>
      </c>
    </row>
    <row r="1514" spans="1:8" hidden="1" x14ac:dyDescent="0.2">
      <c r="A1514" t="s">
        <v>375</v>
      </c>
      <c r="B1514" t="s">
        <v>75</v>
      </c>
      <c r="C1514" t="s">
        <v>80</v>
      </c>
      <c r="D1514" t="s">
        <v>376</v>
      </c>
      <c r="E1514" t="s">
        <v>22</v>
      </c>
      <c r="F1514">
        <v>69.3</v>
      </c>
      <c r="G1514" t="s">
        <v>31</v>
      </c>
      <c r="H1514" t="s">
        <v>27</v>
      </c>
    </row>
    <row r="1515" spans="1:8" hidden="1" x14ac:dyDescent="0.2">
      <c r="A1515" t="s">
        <v>375</v>
      </c>
      <c r="B1515" t="s">
        <v>75</v>
      </c>
      <c r="C1515" t="s">
        <v>80</v>
      </c>
      <c r="D1515" t="s">
        <v>376</v>
      </c>
      <c r="E1515" t="s">
        <v>1528</v>
      </c>
      <c r="G1515" t="s">
        <v>31</v>
      </c>
      <c r="H1515" t="s">
        <v>27</v>
      </c>
    </row>
    <row r="1516" spans="1:8" hidden="1" x14ac:dyDescent="0.2">
      <c r="A1516" t="s">
        <v>375</v>
      </c>
      <c r="B1516" t="s">
        <v>75</v>
      </c>
      <c r="C1516" t="s">
        <v>80</v>
      </c>
      <c r="D1516" t="s">
        <v>376</v>
      </c>
      <c r="E1516" t="s">
        <v>1529</v>
      </c>
      <c r="G1516" t="s">
        <v>31</v>
      </c>
      <c r="H1516" t="s">
        <v>27</v>
      </c>
    </row>
    <row r="1517" spans="1:8" hidden="1" x14ac:dyDescent="0.2">
      <c r="A1517" t="s">
        <v>375</v>
      </c>
      <c r="B1517" t="s">
        <v>75</v>
      </c>
      <c r="C1517" t="s">
        <v>80</v>
      </c>
      <c r="D1517" t="s">
        <v>376</v>
      </c>
      <c r="E1517" t="s">
        <v>1530</v>
      </c>
      <c r="G1517" t="s">
        <v>31</v>
      </c>
      <c r="H1517" t="s">
        <v>27</v>
      </c>
    </row>
    <row r="1518" spans="1:8" hidden="1" x14ac:dyDescent="0.2">
      <c r="A1518" t="s">
        <v>375</v>
      </c>
      <c r="B1518" t="s">
        <v>75</v>
      </c>
      <c r="C1518" t="s">
        <v>80</v>
      </c>
      <c r="D1518" t="s">
        <v>376</v>
      </c>
      <c r="E1518" t="s">
        <v>1531</v>
      </c>
      <c r="G1518" t="s">
        <v>31</v>
      </c>
      <c r="H1518" t="s">
        <v>27</v>
      </c>
    </row>
    <row r="1519" spans="1:8" hidden="1" x14ac:dyDescent="0.2">
      <c r="A1519" t="s">
        <v>375</v>
      </c>
      <c r="B1519" t="s">
        <v>75</v>
      </c>
      <c r="C1519" t="s">
        <v>80</v>
      </c>
      <c r="D1519" t="s">
        <v>376</v>
      </c>
      <c r="E1519" t="s">
        <v>12</v>
      </c>
      <c r="F1519">
        <v>13.9</v>
      </c>
      <c r="G1519" t="s">
        <v>31</v>
      </c>
      <c r="H1519" t="s">
        <v>18</v>
      </c>
    </row>
    <row r="1520" spans="1:8" hidden="1" x14ac:dyDescent="0.2">
      <c r="A1520" t="s">
        <v>375</v>
      </c>
      <c r="B1520" t="s">
        <v>75</v>
      </c>
      <c r="C1520" t="s">
        <v>80</v>
      </c>
      <c r="D1520" t="s">
        <v>376</v>
      </c>
      <c r="E1520" t="s">
        <v>21</v>
      </c>
      <c r="F1520">
        <v>34.6</v>
      </c>
      <c r="G1520" t="s">
        <v>31</v>
      </c>
      <c r="H1520" t="s">
        <v>27</v>
      </c>
    </row>
    <row r="1521" spans="1:8" hidden="1" x14ac:dyDescent="0.2">
      <c r="A1521" t="s">
        <v>375</v>
      </c>
      <c r="B1521" t="s">
        <v>75</v>
      </c>
      <c r="C1521" t="s">
        <v>80</v>
      </c>
      <c r="D1521" t="s">
        <v>376</v>
      </c>
      <c r="E1521" t="s">
        <v>20</v>
      </c>
      <c r="F1521">
        <v>27.7</v>
      </c>
      <c r="G1521" t="s">
        <v>31</v>
      </c>
      <c r="H1521" t="s">
        <v>27</v>
      </c>
    </row>
    <row r="1522" spans="1:8" hidden="1" x14ac:dyDescent="0.2">
      <c r="A1522" t="s">
        <v>375</v>
      </c>
      <c r="B1522" t="s">
        <v>75</v>
      </c>
      <c r="C1522" t="s">
        <v>80</v>
      </c>
      <c r="D1522" t="s">
        <v>376</v>
      </c>
      <c r="E1522" t="s">
        <v>19</v>
      </c>
      <c r="F1522">
        <v>27.7</v>
      </c>
      <c r="G1522" t="s">
        <v>31</v>
      </c>
      <c r="H1522" t="s">
        <v>27</v>
      </c>
    </row>
    <row r="1523" spans="1:8" hidden="1" x14ac:dyDescent="0.2">
      <c r="A1523" t="s">
        <v>375</v>
      </c>
      <c r="B1523" t="s">
        <v>75</v>
      </c>
      <c r="C1523" t="s">
        <v>80</v>
      </c>
      <c r="D1523" t="s">
        <v>376</v>
      </c>
      <c r="E1523" t="s">
        <v>17</v>
      </c>
      <c r="F1523">
        <v>34.6</v>
      </c>
      <c r="G1523" t="s">
        <v>31</v>
      </c>
      <c r="H1523" t="s">
        <v>27</v>
      </c>
    </row>
    <row r="1524" spans="1:8" hidden="1" x14ac:dyDescent="0.2">
      <c r="A1524" t="s">
        <v>377</v>
      </c>
      <c r="B1524" t="s">
        <v>75</v>
      </c>
      <c r="C1524" t="s">
        <v>78</v>
      </c>
      <c r="D1524" t="s">
        <v>378</v>
      </c>
      <c r="E1524" t="s">
        <v>22</v>
      </c>
      <c r="F1524">
        <v>53.3</v>
      </c>
      <c r="G1524" t="s">
        <v>31</v>
      </c>
      <c r="H1524" t="s">
        <v>18</v>
      </c>
    </row>
    <row r="1525" spans="1:8" hidden="1" x14ac:dyDescent="0.2">
      <c r="A1525" t="s">
        <v>377</v>
      </c>
      <c r="B1525" t="s">
        <v>75</v>
      </c>
      <c r="C1525" t="s">
        <v>78</v>
      </c>
      <c r="D1525" t="s">
        <v>378</v>
      </c>
      <c r="E1525" t="s">
        <v>1528</v>
      </c>
      <c r="G1525" t="s">
        <v>31</v>
      </c>
      <c r="H1525" t="s">
        <v>18</v>
      </c>
    </row>
    <row r="1526" spans="1:8" hidden="1" x14ac:dyDescent="0.2">
      <c r="A1526" t="s">
        <v>377</v>
      </c>
      <c r="B1526" t="s">
        <v>75</v>
      </c>
      <c r="C1526" t="s">
        <v>78</v>
      </c>
      <c r="D1526" t="s">
        <v>378</v>
      </c>
      <c r="E1526" t="s">
        <v>1529</v>
      </c>
      <c r="G1526" t="s">
        <v>31</v>
      </c>
      <c r="H1526" t="s">
        <v>18</v>
      </c>
    </row>
    <row r="1527" spans="1:8" hidden="1" x14ac:dyDescent="0.2">
      <c r="A1527" t="s">
        <v>377</v>
      </c>
      <c r="B1527" t="s">
        <v>75</v>
      </c>
      <c r="C1527" t="s">
        <v>78</v>
      </c>
      <c r="D1527" t="s">
        <v>378</v>
      </c>
      <c r="E1527" t="s">
        <v>1530</v>
      </c>
      <c r="G1527" t="s">
        <v>31</v>
      </c>
      <c r="H1527" t="s">
        <v>18</v>
      </c>
    </row>
    <row r="1528" spans="1:8" hidden="1" x14ac:dyDescent="0.2">
      <c r="A1528" t="s">
        <v>377</v>
      </c>
      <c r="B1528" t="s">
        <v>75</v>
      </c>
      <c r="C1528" t="s">
        <v>78</v>
      </c>
      <c r="D1528" t="s">
        <v>378</v>
      </c>
      <c r="E1528" t="s">
        <v>1531</v>
      </c>
      <c r="G1528" t="s">
        <v>31</v>
      </c>
      <c r="H1528" t="s">
        <v>18</v>
      </c>
    </row>
    <row r="1529" spans="1:8" hidden="1" x14ac:dyDescent="0.2">
      <c r="A1529" t="s">
        <v>377</v>
      </c>
      <c r="B1529" t="s">
        <v>75</v>
      </c>
      <c r="C1529" t="s">
        <v>78</v>
      </c>
      <c r="D1529" t="s">
        <v>378</v>
      </c>
      <c r="E1529" t="s">
        <v>12</v>
      </c>
      <c r="F1529">
        <v>10.7</v>
      </c>
      <c r="G1529" t="s">
        <v>31</v>
      </c>
      <c r="H1529" t="s">
        <v>14</v>
      </c>
    </row>
    <row r="1530" spans="1:8" hidden="1" x14ac:dyDescent="0.2">
      <c r="A1530" t="s">
        <v>377</v>
      </c>
      <c r="B1530" t="s">
        <v>75</v>
      </c>
      <c r="C1530" t="s">
        <v>78</v>
      </c>
      <c r="D1530" t="s">
        <v>378</v>
      </c>
      <c r="E1530" t="s">
        <v>21</v>
      </c>
      <c r="F1530">
        <v>26.6</v>
      </c>
      <c r="G1530" t="s">
        <v>31</v>
      </c>
      <c r="H1530" t="s">
        <v>18</v>
      </c>
    </row>
    <row r="1531" spans="1:8" hidden="1" x14ac:dyDescent="0.2">
      <c r="A1531" t="s">
        <v>377</v>
      </c>
      <c r="B1531" t="s">
        <v>75</v>
      </c>
      <c r="C1531" t="s">
        <v>78</v>
      </c>
      <c r="D1531" t="s">
        <v>378</v>
      </c>
      <c r="E1531" t="s">
        <v>20</v>
      </c>
      <c r="F1531">
        <v>21.3</v>
      </c>
      <c r="G1531" t="s">
        <v>31</v>
      </c>
      <c r="H1531" t="s">
        <v>18</v>
      </c>
    </row>
    <row r="1532" spans="1:8" hidden="1" x14ac:dyDescent="0.2">
      <c r="A1532" t="s">
        <v>377</v>
      </c>
      <c r="B1532" t="s">
        <v>75</v>
      </c>
      <c r="C1532" t="s">
        <v>78</v>
      </c>
      <c r="D1532" t="s">
        <v>378</v>
      </c>
      <c r="E1532" t="s">
        <v>19</v>
      </c>
      <c r="F1532">
        <v>21.3</v>
      </c>
      <c r="G1532" t="s">
        <v>31</v>
      </c>
      <c r="H1532" t="s">
        <v>18</v>
      </c>
    </row>
    <row r="1533" spans="1:8" hidden="1" x14ac:dyDescent="0.2">
      <c r="A1533" t="s">
        <v>377</v>
      </c>
      <c r="B1533" t="s">
        <v>75</v>
      </c>
      <c r="C1533" t="s">
        <v>78</v>
      </c>
      <c r="D1533" t="s">
        <v>378</v>
      </c>
      <c r="E1533" t="s">
        <v>17</v>
      </c>
      <c r="F1533">
        <v>26.6</v>
      </c>
      <c r="G1533" t="s">
        <v>31</v>
      </c>
      <c r="H1533" t="s">
        <v>18</v>
      </c>
    </row>
    <row r="1534" spans="1:8" x14ac:dyDescent="0.2">
      <c r="A1534" t="s">
        <v>379</v>
      </c>
      <c r="B1534" t="s">
        <v>66</v>
      </c>
      <c r="C1534" t="s">
        <v>73</v>
      </c>
      <c r="D1534" t="s">
        <v>380</v>
      </c>
      <c r="E1534" t="s">
        <v>22</v>
      </c>
      <c r="F1534">
        <v>186.7</v>
      </c>
      <c r="G1534" t="s">
        <v>26</v>
      </c>
      <c r="H1534" t="s">
        <v>18</v>
      </c>
    </row>
    <row r="1535" spans="1:8" x14ac:dyDescent="0.2">
      <c r="A1535" t="s">
        <v>379</v>
      </c>
      <c r="B1535" t="s">
        <v>66</v>
      </c>
      <c r="C1535" t="s">
        <v>73</v>
      </c>
      <c r="D1535" t="s">
        <v>380</v>
      </c>
      <c r="E1535" t="s">
        <v>1528</v>
      </c>
      <c r="G1535" t="s">
        <v>26</v>
      </c>
      <c r="H1535" t="s">
        <v>18</v>
      </c>
    </row>
    <row r="1536" spans="1:8" x14ac:dyDescent="0.2">
      <c r="A1536" t="s">
        <v>379</v>
      </c>
      <c r="B1536" t="s">
        <v>66</v>
      </c>
      <c r="C1536" t="s">
        <v>73</v>
      </c>
      <c r="D1536" t="s">
        <v>380</v>
      </c>
      <c r="E1536" t="s">
        <v>1529</v>
      </c>
      <c r="G1536" t="s">
        <v>26</v>
      </c>
      <c r="H1536" t="s">
        <v>18</v>
      </c>
    </row>
    <row r="1537" spans="1:8" x14ac:dyDescent="0.2">
      <c r="A1537" t="s">
        <v>379</v>
      </c>
      <c r="B1537" t="s">
        <v>66</v>
      </c>
      <c r="C1537" t="s">
        <v>73</v>
      </c>
      <c r="D1537" t="s">
        <v>380</v>
      </c>
      <c r="E1537" t="s">
        <v>1530</v>
      </c>
      <c r="G1537" t="s">
        <v>26</v>
      </c>
      <c r="H1537" t="s">
        <v>18</v>
      </c>
    </row>
    <row r="1538" spans="1:8" x14ac:dyDescent="0.2">
      <c r="A1538" t="s">
        <v>379</v>
      </c>
      <c r="B1538" t="s">
        <v>66</v>
      </c>
      <c r="C1538" t="s">
        <v>73</v>
      </c>
      <c r="D1538" t="s">
        <v>380</v>
      </c>
      <c r="E1538" t="s">
        <v>1531</v>
      </c>
      <c r="G1538" t="s">
        <v>26</v>
      </c>
      <c r="H1538" t="s">
        <v>18</v>
      </c>
    </row>
    <row r="1539" spans="1:8" hidden="1" x14ac:dyDescent="0.2">
      <c r="A1539" t="s">
        <v>379</v>
      </c>
      <c r="B1539" t="s">
        <v>66</v>
      </c>
      <c r="C1539" t="s">
        <v>73</v>
      </c>
      <c r="D1539" t="s">
        <v>380</v>
      </c>
      <c r="E1539" t="s">
        <v>12</v>
      </c>
      <c r="F1539">
        <v>37.299999999999997</v>
      </c>
      <c r="G1539" t="s">
        <v>26</v>
      </c>
      <c r="H1539" t="s">
        <v>14</v>
      </c>
    </row>
    <row r="1540" spans="1:8" x14ac:dyDescent="0.2">
      <c r="A1540" t="s">
        <v>379</v>
      </c>
      <c r="B1540" t="s">
        <v>66</v>
      </c>
      <c r="C1540" t="s">
        <v>73</v>
      </c>
      <c r="D1540" t="s">
        <v>380</v>
      </c>
      <c r="E1540" t="s">
        <v>21</v>
      </c>
      <c r="F1540">
        <v>93.4</v>
      </c>
      <c r="G1540" t="s">
        <v>26</v>
      </c>
      <c r="H1540" t="s">
        <v>18</v>
      </c>
    </row>
    <row r="1541" spans="1:8" x14ac:dyDescent="0.2">
      <c r="A1541" t="s">
        <v>379</v>
      </c>
      <c r="B1541" t="s">
        <v>66</v>
      </c>
      <c r="C1541" t="s">
        <v>73</v>
      </c>
      <c r="D1541" t="s">
        <v>380</v>
      </c>
      <c r="E1541" t="s">
        <v>20</v>
      </c>
      <c r="F1541">
        <v>74.7</v>
      </c>
      <c r="G1541" t="s">
        <v>26</v>
      </c>
      <c r="H1541" t="s">
        <v>18</v>
      </c>
    </row>
    <row r="1542" spans="1:8" x14ac:dyDescent="0.2">
      <c r="A1542" t="s">
        <v>379</v>
      </c>
      <c r="B1542" t="s">
        <v>66</v>
      </c>
      <c r="C1542" t="s">
        <v>73</v>
      </c>
      <c r="D1542" t="s">
        <v>380</v>
      </c>
      <c r="E1542" t="s">
        <v>19</v>
      </c>
      <c r="F1542">
        <v>74.7</v>
      </c>
      <c r="G1542" t="s">
        <v>26</v>
      </c>
      <c r="H1542" t="s">
        <v>18</v>
      </c>
    </row>
    <row r="1543" spans="1:8" x14ac:dyDescent="0.2">
      <c r="A1543" t="s">
        <v>379</v>
      </c>
      <c r="B1543" t="s">
        <v>66</v>
      </c>
      <c r="C1543" t="s">
        <v>73</v>
      </c>
      <c r="D1543" t="s">
        <v>380</v>
      </c>
      <c r="E1543" t="s">
        <v>17</v>
      </c>
      <c r="F1543">
        <v>93.4</v>
      </c>
      <c r="G1543" t="s">
        <v>26</v>
      </c>
      <c r="H1543" t="s">
        <v>18</v>
      </c>
    </row>
    <row r="1544" spans="1:8" hidden="1" x14ac:dyDescent="0.2">
      <c r="A1544" t="s">
        <v>381</v>
      </c>
      <c r="B1544" t="s">
        <v>56</v>
      </c>
      <c r="C1544" t="s">
        <v>61</v>
      </c>
      <c r="D1544" t="s">
        <v>382</v>
      </c>
      <c r="E1544" t="s">
        <v>22</v>
      </c>
      <c r="F1544">
        <v>181.3</v>
      </c>
      <c r="G1544" t="s">
        <v>13</v>
      </c>
      <c r="H1544" t="s">
        <v>27</v>
      </c>
    </row>
    <row r="1545" spans="1:8" hidden="1" x14ac:dyDescent="0.2">
      <c r="A1545" t="s">
        <v>381</v>
      </c>
      <c r="B1545" t="s">
        <v>56</v>
      </c>
      <c r="C1545" t="s">
        <v>61</v>
      </c>
      <c r="D1545" t="s">
        <v>382</v>
      </c>
      <c r="E1545" t="s">
        <v>1528</v>
      </c>
      <c r="G1545" t="s">
        <v>13</v>
      </c>
      <c r="H1545" t="s">
        <v>27</v>
      </c>
    </row>
    <row r="1546" spans="1:8" hidden="1" x14ac:dyDescent="0.2">
      <c r="A1546" t="s">
        <v>381</v>
      </c>
      <c r="B1546" t="s">
        <v>56</v>
      </c>
      <c r="C1546" t="s">
        <v>61</v>
      </c>
      <c r="D1546" t="s">
        <v>382</v>
      </c>
      <c r="E1546" t="s">
        <v>1529</v>
      </c>
      <c r="G1546" t="s">
        <v>13</v>
      </c>
      <c r="H1546" t="s">
        <v>27</v>
      </c>
    </row>
    <row r="1547" spans="1:8" hidden="1" x14ac:dyDescent="0.2">
      <c r="A1547" t="s">
        <v>381</v>
      </c>
      <c r="B1547" t="s">
        <v>56</v>
      </c>
      <c r="C1547" t="s">
        <v>61</v>
      </c>
      <c r="D1547" t="s">
        <v>382</v>
      </c>
      <c r="E1547" t="s">
        <v>1530</v>
      </c>
      <c r="G1547" t="s">
        <v>13</v>
      </c>
      <c r="H1547" t="s">
        <v>27</v>
      </c>
    </row>
    <row r="1548" spans="1:8" hidden="1" x14ac:dyDescent="0.2">
      <c r="A1548" t="s">
        <v>381</v>
      </c>
      <c r="B1548" t="s">
        <v>56</v>
      </c>
      <c r="C1548" t="s">
        <v>61</v>
      </c>
      <c r="D1548" t="s">
        <v>382</v>
      </c>
      <c r="E1548" t="s">
        <v>1531</v>
      </c>
      <c r="G1548" t="s">
        <v>13</v>
      </c>
      <c r="H1548" t="s">
        <v>27</v>
      </c>
    </row>
    <row r="1549" spans="1:8" hidden="1" x14ac:dyDescent="0.2">
      <c r="A1549" t="s">
        <v>381</v>
      </c>
      <c r="B1549" t="s">
        <v>56</v>
      </c>
      <c r="C1549" t="s">
        <v>61</v>
      </c>
      <c r="D1549" t="s">
        <v>382</v>
      </c>
      <c r="E1549" t="s">
        <v>12</v>
      </c>
      <c r="F1549">
        <v>36.299999999999997</v>
      </c>
      <c r="G1549" t="s">
        <v>13</v>
      </c>
      <c r="H1549" t="s">
        <v>18</v>
      </c>
    </row>
    <row r="1550" spans="1:8" hidden="1" x14ac:dyDescent="0.2">
      <c r="A1550" t="s">
        <v>381</v>
      </c>
      <c r="B1550" t="s">
        <v>56</v>
      </c>
      <c r="C1550" t="s">
        <v>61</v>
      </c>
      <c r="D1550" t="s">
        <v>382</v>
      </c>
      <c r="E1550" t="s">
        <v>21</v>
      </c>
      <c r="F1550">
        <v>90.6</v>
      </c>
      <c r="G1550" t="s">
        <v>13</v>
      </c>
      <c r="H1550" t="s">
        <v>27</v>
      </c>
    </row>
    <row r="1551" spans="1:8" hidden="1" x14ac:dyDescent="0.2">
      <c r="A1551" t="s">
        <v>381</v>
      </c>
      <c r="B1551" t="s">
        <v>56</v>
      </c>
      <c r="C1551" t="s">
        <v>61</v>
      </c>
      <c r="D1551" t="s">
        <v>382</v>
      </c>
      <c r="E1551" t="s">
        <v>20</v>
      </c>
      <c r="F1551">
        <v>72.5</v>
      </c>
      <c r="G1551" t="s">
        <v>13</v>
      </c>
      <c r="H1551" t="s">
        <v>27</v>
      </c>
    </row>
    <row r="1552" spans="1:8" hidden="1" x14ac:dyDescent="0.2">
      <c r="A1552" t="s">
        <v>381</v>
      </c>
      <c r="B1552" t="s">
        <v>56</v>
      </c>
      <c r="C1552" t="s">
        <v>61</v>
      </c>
      <c r="D1552" t="s">
        <v>382</v>
      </c>
      <c r="E1552" t="s">
        <v>19</v>
      </c>
      <c r="F1552">
        <v>72.5</v>
      </c>
      <c r="G1552" t="s">
        <v>13</v>
      </c>
      <c r="H1552" t="s">
        <v>27</v>
      </c>
    </row>
    <row r="1553" spans="1:8" hidden="1" x14ac:dyDescent="0.2">
      <c r="A1553" t="s">
        <v>381</v>
      </c>
      <c r="B1553" t="s">
        <v>56</v>
      </c>
      <c r="C1553" t="s">
        <v>61</v>
      </c>
      <c r="D1553" t="s">
        <v>382</v>
      </c>
      <c r="E1553" t="s">
        <v>17</v>
      </c>
      <c r="F1553">
        <v>90.6</v>
      </c>
      <c r="G1553" t="s">
        <v>13</v>
      </c>
      <c r="H1553" t="s">
        <v>27</v>
      </c>
    </row>
    <row r="1554" spans="1:8" hidden="1" x14ac:dyDescent="0.2">
      <c r="A1554" t="s">
        <v>383</v>
      </c>
      <c r="B1554" t="s">
        <v>75</v>
      </c>
      <c r="C1554" t="s">
        <v>84</v>
      </c>
      <c r="D1554" t="s">
        <v>384</v>
      </c>
      <c r="E1554" t="s">
        <v>22</v>
      </c>
      <c r="F1554">
        <v>128</v>
      </c>
      <c r="G1554" t="s">
        <v>26</v>
      </c>
      <c r="H1554" t="s">
        <v>18</v>
      </c>
    </row>
    <row r="1555" spans="1:8" hidden="1" x14ac:dyDescent="0.2">
      <c r="A1555" t="s">
        <v>383</v>
      </c>
      <c r="B1555" t="s">
        <v>75</v>
      </c>
      <c r="C1555" t="s">
        <v>84</v>
      </c>
      <c r="D1555" t="s">
        <v>384</v>
      </c>
      <c r="E1555" t="s">
        <v>1528</v>
      </c>
      <c r="G1555" t="s">
        <v>26</v>
      </c>
      <c r="H1555" t="s">
        <v>18</v>
      </c>
    </row>
    <row r="1556" spans="1:8" hidden="1" x14ac:dyDescent="0.2">
      <c r="A1556" t="s">
        <v>383</v>
      </c>
      <c r="B1556" t="s">
        <v>75</v>
      </c>
      <c r="C1556" t="s">
        <v>84</v>
      </c>
      <c r="D1556" t="s">
        <v>384</v>
      </c>
      <c r="E1556" t="s">
        <v>1529</v>
      </c>
      <c r="G1556" t="s">
        <v>26</v>
      </c>
      <c r="H1556" t="s">
        <v>18</v>
      </c>
    </row>
    <row r="1557" spans="1:8" hidden="1" x14ac:dyDescent="0.2">
      <c r="A1557" t="s">
        <v>383</v>
      </c>
      <c r="B1557" t="s">
        <v>75</v>
      </c>
      <c r="C1557" t="s">
        <v>84</v>
      </c>
      <c r="D1557" t="s">
        <v>384</v>
      </c>
      <c r="E1557" t="s">
        <v>1530</v>
      </c>
      <c r="G1557" t="s">
        <v>26</v>
      </c>
      <c r="H1557" t="s">
        <v>18</v>
      </c>
    </row>
    <row r="1558" spans="1:8" hidden="1" x14ac:dyDescent="0.2">
      <c r="A1558" t="s">
        <v>383</v>
      </c>
      <c r="B1558" t="s">
        <v>75</v>
      </c>
      <c r="C1558" t="s">
        <v>84</v>
      </c>
      <c r="D1558" t="s">
        <v>384</v>
      </c>
      <c r="E1558" t="s">
        <v>1531</v>
      </c>
      <c r="G1558" t="s">
        <v>26</v>
      </c>
      <c r="H1558" t="s">
        <v>18</v>
      </c>
    </row>
    <row r="1559" spans="1:8" hidden="1" x14ac:dyDescent="0.2">
      <c r="A1559" t="s">
        <v>383</v>
      </c>
      <c r="B1559" t="s">
        <v>75</v>
      </c>
      <c r="C1559" t="s">
        <v>84</v>
      </c>
      <c r="D1559" t="s">
        <v>384</v>
      </c>
      <c r="E1559" t="s">
        <v>12</v>
      </c>
      <c r="F1559">
        <v>25.6</v>
      </c>
      <c r="G1559" t="s">
        <v>26</v>
      </c>
      <c r="H1559" t="s">
        <v>14</v>
      </c>
    </row>
    <row r="1560" spans="1:8" hidden="1" x14ac:dyDescent="0.2">
      <c r="A1560" t="s">
        <v>383</v>
      </c>
      <c r="B1560" t="s">
        <v>75</v>
      </c>
      <c r="C1560" t="s">
        <v>84</v>
      </c>
      <c r="D1560" t="s">
        <v>384</v>
      </c>
      <c r="E1560" t="s">
        <v>21</v>
      </c>
      <c r="F1560">
        <v>64</v>
      </c>
      <c r="G1560" t="s">
        <v>26</v>
      </c>
      <c r="H1560" t="s">
        <v>18</v>
      </c>
    </row>
    <row r="1561" spans="1:8" hidden="1" x14ac:dyDescent="0.2">
      <c r="A1561" t="s">
        <v>383</v>
      </c>
      <c r="B1561" t="s">
        <v>75</v>
      </c>
      <c r="C1561" t="s">
        <v>84</v>
      </c>
      <c r="D1561" t="s">
        <v>384</v>
      </c>
      <c r="E1561" t="s">
        <v>20</v>
      </c>
      <c r="F1561">
        <v>51.2</v>
      </c>
      <c r="G1561" t="s">
        <v>26</v>
      </c>
      <c r="H1561" t="s">
        <v>18</v>
      </c>
    </row>
    <row r="1562" spans="1:8" hidden="1" x14ac:dyDescent="0.2">
      <c r="A1562" t="s">
        <v>383</v>
      </c>
      <c r="B1562" t="s">
        <v>75</v>
      </c>
      <c r="C1562" t="s">
        <v>84</v>
      </c>
      <c r="D1562" t="s">
        <v>384</v>
      </c>
      <c r="E1562" t="s">
        <v>19</v>
      </c>
      <c r="F1562">
        <v>51.2</v>
      </c>
      <c r="G1562" t="s">
        <v>26</v>
      </c>
      <c r="H1562" t="s">
        <v>18</v>
      </c>
    </row>
    <row r="1563" spans="1:8" hidden="1" x14ac:dyDescent="0.2">
      <c r="A1563" t="s">
        <v>383</v>
      </c>
      <c r="B1563" t="s">
        <v>75</v>
      </c>
      <c r="C1563" t="s">
        <v>84</v>
      </c>
      <c r="D1563" t="s">
        <v>384</v>
      </c>
      <c r="E1563" t="s">
        <v>17</v>
      </c>
      <c r="F1563">
        <v>64</v>
      </c>
      <c r="G1563" t="s">
        <v>26</v>
      </c>
      <c r="H1563" t="s">
        <v>18</v>
      </c>
    </row>
    <row r="1564" spans="1:8" hidden="1" x14ac:dyDescent="0.2">
      <c r="A1564" t="s">
        <v>385</v>
      </c>
      <c r="B1564" t="s">
        <v>75</v>
      </c>
      <c r="C1564" t="s">
        <v>84</v>
      </c>
      <c r="D1564" t="s">
        <v>386</v>
      </c>
      <c r="E1564" t="s">
        <v>22</v>
      </c>
      <c r="F1564">
        <v>128</v>
      </c>
      <c r="G1564" t="s">
        <v>26</v>
      </c>
      <c r="H1564" t="s">
        <v>18</v>
      </c>
    </row>
    <row r="1565" spans="1:8" hidden="1" x14ac:dyDescent="0.2">
      <c r="A1565" t="s">
        <v>385</v>
      </c>
      <c r="B1565" t="s">
        <v>75</v>
      </c>
      <c r="C1565" t="s">
        <v>84</v>
      </c>
      <c r="D1565" t="s">
        <v>386</v>
      </c>
      <c r="E1565" t="s">
        <v>1528</v>
      </c>
      <c r="G1565" t="s">
        <v>26</v>
      </c>
      <c r="H1565" t="s">
        <v>18</v>
      </c>
    </row>
    <row r="1566" spans="1:8" hidden="1" x14ac:dyDescent="0.2">
      <c r="A1566" t="s">
        <v>385</v>
      </c>
      <c r="B1566" t="s">
        <v>75</v>
      </c>
      <c r="C1566" t="s">
        <v>84</v>
      </c>
      <c r="D1566" t="s">
        <v>386</v>
      </c>
      <c r="E1566" t="s">
        <v>1529</v>
      </c>
      <c r="G1566" t="s">
        <v>26</v>
      </c>
      <c r="H1566" t="s">
        <v>18</v>
      </c>
    </row>
    <row r="1567" spans="1:8" hidden="1" x14ac:dyDescent="0.2">
      <c r="A1567" t="s">
        <v>385</v>
      </c>
      <c r="B1567" t="s">
        <v>75</v>
      </c>
      <c r="C1567" t="s">
        <v>84</v>
      </c>
      <c r="D1567" t="s">
        <v>386</v>
      </c>
      <c r="E1567" t="s">
        <v>1530</v>
      </c>
      <c r="G1567" t="s">
        <v>26</v>
      </c>
      <c r="H1567" t="s">
        <v>18</v>
      </c>
    </row>
    <row r="1568" spans="1:8" hidden="1" x14ac:dyDescent="0.2">
      <c r="A1568" t="s">
        <v>385</v>
      </c>
      <c r="B1568" t="s">
        <v>75</v>
      </c>
      <c r="C1568" t="s">
        <v>84</v>
      </c>
      <c r="D1568" t="s">
        <v>386</v>
      </c>
      <c r="E1568" t="s">
        <v>1531</v>
      </c>
      <c r="G1568" t="s">
        <v>26</v>
      </c>
      <c r="H1568" t="s">
        <v>18</v>
      </c>
    </row>
    <row r="1569" spans="1:8" hidden="1" x14ac:dyDescent="0.2">
      <c r="A1569" t="s">
        <v>385</v>
      </c>
      <c r="B1569" t="s">
        <v>75</v>
      </c>
      <c r="C1569" t="s">
        <v>84</v>
      </c>
      <c r="D1569" t="s">
        <v>386</v>
      </c>
      <c r="E1569" t="s">
        <v>12</v>
      </c>
      <c r="F1569">
        <v>25.6</v>
      </c>
      <c r="G1569" t="s">
        <v>26</v>
      </c>
      <c r="H1569" t="s">
        <v>14</v>
      </c>
    </row>
    <row r="1570" spans="1:8" hidden="1" x14ac:dyDescent="0.2">
      <c r="A1570" t="s">
        <v>385</v>
      </c>
      <c r="B1570" t="s">
        <v>75</v>
      </c>
      <c r="C1570" t="s">
        <v>84</v>
      </c>
      <c r="D1570" t="s">
        <v>386</v>
      </c>
      <c r="E1570" t="s">
        <v>21</v>
      </c>
      <c r="F1570">
        <v>64</v>
      </c>
      <c r="G1570" t="s">
        <v>26</v>
      </c>
      <c r="H1570" t="s">
        <v>18</v>
      </c>
    </row>
    <row r="1571" spans="1:8" hidden="1" x14ac:dyDescent="0.2">
      <c r="A1571" t="s">
        <v>385</v>
      </c>
      <c r="B1571" t="s">
        <v>75</v>
      </c>
      <c r="C1571" t="s">
        <v>84</v>
      </c>
      <c r="D1571" t="s">
        <v>386</v>
      </c>
      <c r="E1571" t="s">
        <v>20</v>
      </c>
      <c r="F1571">
        <v>51.2</v>
      </c>
      <c r="G1571" t="s">
        <v>26</v>
      </c>
      <c r="H1571" t="s">
        <v>18</v>
      </c>
    </row>
    <row r="1572" spans="1:8" hidden="1" x14ac:dyDescent="0.2">
      <c r="A1572" t="s">
        <v>385</v>
      </c>
      <c r="B1572" t="s">
        <v>75</v>
      </c>
      <c r="C1572" t="s">
        <v>84</v>
      </c>
      <c r="D1572" t="s">
        <v>386</v>
      </c>
      <c r="E1572" t="s">
        <v>19</v>
      </c>
      <c r="F1572">
        <v>51.2</v>
      </c>
      <c r="G1572" t="s">
        <v>26</v>
      </c>
      <c r="H1572" t="s">
        <v>18</v>
      </c>
    </row>
    <row r="1573" spans="1:8" hidden="1" x14ac:dyDescent="0.2">
      <c r="A1573" t="s">
        <v>385</v>
      </c>
      <c r="B1573" t="s">
        <v>75</v>
      </c>
      <c r="C1573" t="s">
        <v>84</v>
      </c>
      <c r="D1573" t="s">
        <v>386</v>
      </c>
      <c r="E1573" t="s">
        <v>17</v>
      </c>
      <c r="F1573">
        <v>64</v>
      </c>
      <c r="G1573" t="s">
        <v>26</v>
      </c>
      <c r="H1573" t="s">
        <v>18</v>
      </c>
    </row>
    <row r="1574" spans="1:8" x14ac:dyDescent="0.2">
      <c r="A1574" t="s">
        <v>387</v>
      </c>
      <c r="B1574" t="s">
        <v>66</v>
      </c>
      <c r="C1574" t="s">
        <v>71</v>
      </c>
      <c r="D1574" t="s">
        <v>388</v>
      </c>
      <c r="E1574" t="s">
        <v>22</v>
      </c>
      <c r="F1574">
        <v>133.30000000000001</v>
      </c>
      <c r="G1574" t="s">
        <v>26</v>
      </c>
      <c r="H1574" t="s">
        <v>18</v>
      </c>
    </row>
    <row r="1575" spans="1:8" x14ac:dyDescent="0.2">
      <c r="A1575" t="s">
        <v>387</v>
      </c>
      <c r="B1575" t="s">
        <v>66</v>
      </c>
      <c r="C1575" t="s">
        <v>71</v>
      </c>
      <c r="D1575" t="s">
        <v>388</v>
      </c>
      <c r="E1575" t="s">
        <v>1528</v>
      </c>
      <c r="G1575" t="s">
        <v>26</v>
      </c>
      <c r="H1575" t="s">
        <v>18</v>
      </c>
    </row>
    <row r="1576" spans="1:8" x14ac:dyDescent="0.2">
      <c r="A1576" t="s">
        <v>387</v>
      </c>
      <c r="B1576" t="s">
        <v>66</v>
      </c>
      <c r="C1576" t="s">
        <v>71</v>
      </c>
      <c r="D1576" t="s">
        <v>388</v>
      </c>
      <c r="E1576" t="s">
        <v>1529</v>
      </c>
      <c r="G1576" t="s">
        <v>26</v>
      </c>
      <c r="H1576" t="s">
        <v>18</v>
      </c>
    </row>
    <row r="1577" spans="1:8" x14ac:dyDescent="0.2">
      <c r="A1577" t="s">
        <v>387</v>
      </c>
      <c r="B1577" t="s">
        <v>66</v>
      </c>
      <c r="C1577" t="s">
        <v>71</v>
      </c>
      <c r="D1577" t="s">
        <v>388</v>
      </c>
      <c r="E1577" t="s">
        <v>1530</v>
      </c>
      <c r="G1577" t="s">
        <v>26</v>
      </c>
      <c r="H1577" t="s">
        <v>18</v>
      </c>
    </row>
    <row r="1578" spans="1:8" x14ac:dyDescent="0.2">
      <c r="A1578" t="s">
        <v>387</v>
      </c>
      <c r="B1578" t="s">
        <v>66</v>
      </c>
      <c r="C1578" t="s">
        <v>71</v>
      </c>
      <c r="D1578" t="s">
        <v>388</v>
      </c>
      <c r="E1578" t="s">
        <v>1531</v>
      </c>
      <c r="G1578" t="s">
        <v>26</v>
      </c>
      <c r="H1578" t="s">
        <v>18</v>
      </c>
    </row>
    <row r="1579" spans="1:8" hidden="1" x14ac:dyDescent="0.2">
      <c r="A1579" t="s">
        <v>387</v>
      </c>
      <c r="B1579" t="s">
        <v>66</v>
      </c>
      <c r="C1579" t="s">
        <v>71</v>
      </c>
      <c r="D1579" t="s">
        <v>388</v>
      </c>
      <c r="E1579" t="s">
        <v>12</v>
      </c>
      <c r="F1579">
        <v>26.7</v>
      </c>
      <c r="G1579" t="s">
        <v>26</v>
      </c>
      <c r="H1579" t="s">
        <v>14</v>
      </c>
    </row>
    <row r="1580" spans="1:8" x14ac:dyDescent="0.2">
      <c r="A1580" t="s">
        <v>387</v>
      </c>
      <c r="B1580" t="s">
        <v>66</v>
      </c>
      <c r="C1580" t="s">
        <v>71</v>
      </c>
      <c r="D1580" t="s">
        <v>388</v>
      </c>
      <c r="E1580" t="s">
        <v>21</v>
      </c>
      <c r="F1580">
        <v>66.599999999999994</v>
      </c>
      <c r="G1580" t="s">
        <v>26</v>
      </c>
      <c r="H1580" t="s">
        <v>18</v>
      </c>
    </row>
    <row r="1581" spans="1:8" x14ac:dyDescent="0.2">
      <c r="A1581" t="s">
        <v>387</v>
      </c>
      <c r="B1581" t="s">
        <v>66</v>
      </c>
      <c r="C1581" t="s">
        <v>71</v>
      </c>
      <c r="D1581" t="s">
        <v>388</v>
      </c>
      <c r="E1581" t="s">
        <v>20</v>
      </c>
      <c r="F1581">
        <v>53.3</v>
      </c>
      <c r="G1581" t="s">
        <v>26</v>
      </c>
      <c r="H1581" t="s">
        <v>18</v>
      </c>
    </row>
    <row r="1582" spans="1:8" x14ac:dyDescent="0.2">
      <c r="A1582" t="s">
        <v>387</v>
      </c>
      <c r="B1582" t="s">
        <v>66</v>
      </c>
      <c r="C1582" t="s">
        <v>71</v>
      </c>
      <c r="D1582" t="s">
        <v>388</v>
      </c>
      <c r="E1582" t="s">
        <v>19</v>
      </c>
      <c r="F1582">
        <v>53.3</v>
      </c>
      <c r="G1582" t="s">
        <v>26</v>
      </c>
      <c r="H1582" t="s">
        <v>18</v>
      </c>
    </row>
    <row r="1583" spans="1:8" x14ac:dyDescent="0.2">
      <c r="A1583" t="s">
        <v>387</v>
      </c>
      <c r="B1583" t="s">
        <v>66</v>
      </c>
      <c r="C1583" t="s">
        <v>71</v>
      </c>
      <c r="D1583" t="s">
        <v>388</v>
      </c>
      <c r="E1583" t="s">
        <v>17</v>
      </c>
      <c r="F1583">
        <v>66.599999999999994</v>
      </c>
      <c r="G1583" t="s">
        <v>26</v>
      </c>
      <c r="H1583" t="s">
        <v>18</v>
      </c>
    </row>
    <row r="1584" spans="1:8" hidden="1" x14ac:dyDescent="0.2">
      <c r="A1584" t="s">
        <v>390</v>
      </c>
      <c r="B1584" t="s">
        <v>75</v>
      </c>
      <c r="C1584" t="s">
        <v>85</v>
      </c>
      <c r="D1584" t="s">
        <v>391</v>
      </c>
      <c r="E1584" t="s">
        <v>22</v>
      </c>
      <c r="F1584">
        <v>138.69999999999999</v>
      </c>
      <c r="G1584" t="s">
        <v>31</v>
      </c>
      <c r="H1584" t="s">
        <v>18</v>
      </c>
    </row>
    <row r="1585" spans="1:8" hidden="1" x14ac:dyDescent="0.2">
      <c r="A1585" t="s">
        <v>390</v>
      </c>
      <c r="B1585" t="s">
        <v>75</v>
      </c>
      <c r="C1585" t="s">
        <v>85</v>
      </c>
      <c r="D1585" t="s">
        <v>391</v>
      </c>
      <c r="E1585" t="s">
        <v>1528</v>
      </c>
      <c r="G1585" t="s">
        <v>31</v>
      </c>
      <c r="H1585" t="s">
        <v>18</v>
      </c>
    </row>
    <row r="1586" spans="1:8" hidden="1" x14ac:dyDescent="0.2">
      <c r="A1586" t="s">
        <v>390</v>
      </c>
      <c r="B1586" t="s">
        <v>75</v>
      </c>
      <c r="C1586" t="s">
        <v>85</v>
      </c>
      <c r="D1586" t="s">
        <v>391</v>
      </c>
      <c r="E1586" t="s">
        <v>1529</v>
      </c>
      <c r="G1586" t="s">
        <v>31</v>
      </c>
      <c r="H1586" t="s">
        <v>18</v>
      </c>
    </row>
    <row r="1587" spans="1:8" hidden="1" x14ac:dyDescent="0.2">
      <c r="A1587" t="s">
        <v>390</v>
      </c>
      <c r="B1587" t="s">
        <v>75</v>
      </c>
      <c r="C1587" t="s">
        <v>85</v>
      </c>
      <c r="D1587" t="s">
        <v>391</v>
      </c>
      <c r="E1587" t="s">
        <v>1530</v>
      </c>
      <c r="G1587" t="s">
        <v>31</v>
      </c>
      <c r="H1587" t="s">
        <v>18</v>
      </c>
    </row>
    <row r="1588" spans="1:8" hidden="1" x14ac:dyDescent="0.2">
      <c r="A1588" t="s">
        <v>390</v>
      </c>
      <c r="B1588" t="s">
        <v>75</v>
      </c>
      <c r="C1588" t="s">
        <v>85</v>
      </c>
      <c r="D1588" t="s">
        <v>391</v>
      </c>
      <c r="E1588" t="s">
        <v>1531</v>
      </c>
      <c r="G1588" t="s">
        <v>31</v>
      </c>
      <c r="H1588" t="s">
        <v>18</v>
      </c>
    </row>
    <row r="1589" spans="1:8" hidden="1" x14ac:dyDescent="0.2">
      <c r="A1589" t="s">
        <v>390</v>
      </c>
      <c r="B1589" t="s">
        <v>75</v>
      </c>
      <c r="C1589" t="s">
        <v>85</v>
      </c>
      <c r="D1589" t="s">
        <v>391</v>
      </c>
      <c r="E1589" t="s">
        <v>12</v>
      </c>
      <c r="F1589">
        <v>27.7</v>
      </c>
      <c r="G1589" t="s">
        <v>31</v>
      </c>
      <c r="H1589" t="s">
        <v>14</v>
      </c>
    </row>
    <row r="1590" spans="1:8" hidden="1" x14ac:dyDescent="0.2">
      <c r="A1590" t="s">
        <v>390</v>
      </c>
      <c r="B1590" t="s">
        <v>75</v>
      </c>
      <c r="C1590" t="s">
        <v>85</v>
      </c>
      <c r="D1590" t="s">
        <v>391</v>
      </c>
      <c r="E1590" t="s">
        <v>21</v>
      </c>
      <c r="F1590">
        <v>69.400000000000006</v>
      </c>
      <c r="G1590" t="s">
        <v>31</v>
      </c>
      <c r="H1590" t="s">
        <v>18</v>
      </c>
    </row>
    <row r="1591" spans="1:8" hidden="1" x14ac:dyDescent="0.2">
      <c r="A1591" t="s">
        <v>390</v>
      </c>
      <c r="B1591" t="s">
        <v>75</v>
      </c>
      <c r="C1591" t="s">
        <v>85</v>
      </c>
      <c r="D1591" t="s">
        <v>391</v>
      </c>
      <c r="E1591" t="s">
        <v>20</v>
      </c>
      <c r="F1591">
        <v>55.5</v>
      </c>
      <c r="G1591" t="s">
        <v>31</v>
      </c>
      <c r="H1591" t="s">
        <v>18</v>
      </c>
    </row>
    <row r="1592" spans="1:8" hidden="1" x14ac:dyDescent="0.2">
      <c r="A1592" t="s">
        <v>390</v>
      </c>
      <c r="B1592" t="s">
        <v>75</v>
      </c>
      <c r="C1592" t="s">
        <v>85</v>
      </c>
      <c r="D1592" t="s">
        <v>391</v>
      </c>
      <c r="E1592" t="s">
        <v>19</v>
      </c>
      <c r="F1592">
        <v>55.5</v>
      </c>
      <c r="G1592" t="s">
        <v>31</v>
      </c>
      <c r="H1592" t="s">
        <v>18</v>
      </c>
    </row>
    <row r="1593" spans="1:8" hidden="1" x14ac:dyDescent="0.2">
      <c r="A1593" t="s">
        <v>390</v>
      </c>
      <c r="B1593" t="s">
        <v>75</v>
      </c>
      <c r="C1593" t="s">
        <v>85</v>
      </c>
      <c r="D1593" t="s">
        <v>391</v>
      </c>
      <c r="E1593" t="s">
        <v>17</v>
      </c>
      <c r="F1593">
        <v>69.400000000000006</v>
      </c>
      <c r="G1593" t="s">
        <v>31</v>
      </c>
      <c r="H1593" t="s">
        <v>18</v>
      </c>
    </row>
    <row r="1594" spans="1:8" hidden="1" x14ac:dyDescent="0.2">
      <c r="A1594" t="s">
        <v>392</v>
      </c>
      <c r="B1594" t="s">
        <v>75</v>
      </c>
      <c r="C1594" t="s">
        <v>85</v>
      </c>
      <c r="D1594" t="s">
        <v>393</v>
      </c>
      <c r="E1594" t="s">
        <v>22</v>
      </c>
      <c r="F1594">
        <v>45.3</v>
      </c>
      <c r="G1594" t="s">
        <v>31</v>
      </c>
      <c r="H1594" t="s">
        <v>18</v>
      </c>
    </row>
    <row r="1595" spans="1:8" hidden="1" x14ac:dyDescent="0.2">
      <c r="A1595" t="s">
        <v>392</v>
      </c>
      <c r="B1595" t="s">
        <v>75</v>
      </c>
      <c r="C1595" t="s">
        <v>85</v>
      </c>
      <c r="D1595" t="s">
        <v>393</v>
      </c>
      <c r="E1595" t="s">
        <v>1528</v>
      </c>
      <c r="G1595" t="s">
        <v>31</v>
      </c>
      <c r="H1595" t="s">
        <v>18</v>
      </c>
    </row>
    <row r="1596" spans="1:8" hidden="1" x14ac:dyDescent="0.2">
      <c r="A1596" t="s">
        <v>392</v>
      </c>
      <c r="B1596" t="s">
        <v>75</v>
      </c>
      <c r="C1596" t="s">
        <v>85</v>
      </c>
      <c r="D1596" t="s">
        <v>393</v>
      </c>
      <c r="E1596" t="s">
        <v>1529</v>
      </c>
      <c r="G1596" t="s">
        <v>31</v>
      </c>
      <c r="H1596" t="s">
        <v>18</v>
      </c>
    </row>
    <row r="1597" spans="1:8" hidden="1" x14ac:dyDescent="0.2">
      <c r="A1597" t="s">
        <v>392</v>
      </c>
      <c r="B1597" t="s">
        <v>75</v>
      </c>
      <c r="C1597" t="s">
        <v>85</v>
      </c>
      <c r="D1597" t="s">
        <v>393</v>
      </c>
      <c r="E1597" t="s">
        <v>1530</v>
      </c>
      <c r="G1597" t="s">
        <v>31</v>
      </c>
      <c r="H1597" t="s">
        <v>18</v>
      </c>
    </row>
    <row r="1598" spans="1:8" hidden="1" x14ac:dyDescent="0.2">
      <c r="A1598" t="s">
        <v>392</v>
      </c>
      <c r="B1598" t="s">
        <v>75</v>
      </c>
      <c r="C1598" t="s">
        <v>85</v>
      </c>
      <c r="D1598" t="s">
        <v>393</v>
      </c>
      <c r="E1598" t="s">
        <v>1531</v>
      </c>
      <c r="G1598" t="s">
        <v>31</v>
      </c>
      <c r="H1598" t="s">
        <v>18</v>
      </c>
    </row>
    <row r="1599" spans="1:8" hidden="1" x14ac:dyDescent="0.2">
      <c r="A1599" t="s">
        <v>392</v>
      </c>
      <c r="B1599" t="s">
        <v>75</v>
      </c>
      <c r="C1599" t="s">
        <v>85</v>
      </c>
      <c r="D1599" t="s">
        <v>393</v>
      </c>
      <c r="E1599" t="s">
        <v>12</v>
      </c>
      <c r="F1599">
        <v>9.1</v>
      </c>
      <c r="G1599" t="s">
        <v>31</v>
      </c>
      <c r="H1599" t="s">
        <v>14</v>
      </c>
    </row>
    <row r="1600" spans="1:8" hidden="1" x14ac:dyDescent="0.2">
      <c r="A1600" t="s">
        <v>392</v>
      </c>
      <c r="B1600" t="s">
        <v>75</v>
      </c>
      <c r="C1600" t="s">
        <v>85</v>
      </c>
      <c r="D1600" t="s">
        <v>393</v>
      </c>
      <c r="E1600" t="s">
        <v>21</v>
      </c>
      <c r="F1600">
        <v>22.6</v>
      </c>
      <c r="G1600" t="s">
        <v>31</v>
      </c>
      <c r="H1600" t="s">
        <v>18</v>
      </c>
    </row>
    <row r="1601" spans="1:8" hidden="1" x14ac:dyDescent="0.2">
      <c r="A1601" t="s">
        <v>392</v>
      </c>
      <c r="B1601" t="s">
        <v>75</v>
      </c>
      <c r="C1601" t="s">
        <v>85</v>
      </c>
      <c r="D1601" t="s">
        <v>393</v>
      </c>
      <c r="E1601" t="s">
        <v>20</v>
      </c>
      <c r="F1601">
        <v>18.100000000000001</v>
      </c>
      <c r="G1601" t="s">
        <v>31</v>
      </c>
      <c r="H1601" t="s">
        <v>18</v>
      </c>
    </row>
    <row r="1602" spans="1:8" hidden="1" x14ac:dyDescent="0.2">
      <c r="A1602" t="s">
        <v>392</v>
      </c>
      <c r="B1602" t="s">
        <v>75</v>
      </c>
      <c r="C1602" t="s">
        <v>85</v>
      </c>
      <c r="D1602" t="s">
        <v>393</v>
      </c>
      <c r="E1602" t="s">
        <v>19</v>
      </c>
      <c r="F1602">
        <v>18.100000000000001</v>
      </c>
      <c r="G1602" t="s">
        <v>31</v>
      </c>
      <c r="H1602" t="s">
        <v>18</v>
      </c>
    </row>
    <row r="1603" spans="1:8" hidden="1" x14ac:dyDescent="0.2">
      <c r="A1603" t="s">
        <v>392</v>
      </c>
      <c r="B1603" t="s">
        <v>75</v>
      </c>
      <c r="C1603" t="s">
        <v>85</v>
      </c>
      <c r="D1603" t="s">
        <v>393</v>
      </c>
      <c r="E1603" t="s">
        <v>17</v>
      </c>
      <c r="F1603">
        <v>22.6</v>
      </c>
      <c r="G1603" t="s">
        <v>31</v>
      </c>
      <c r="H1603" t="s">
        <v>18</v>
      </c>
    </row>
    <row r="1604" spans="1:8" hidden="1" x14ac:dyDescent="0.2">
      <c r="A1604" t="s">
        <v>394</v>
      </c>
      <c r="B1604" t="s">
        <v>75</v>
      </c>
      <c r="C1604" t="s">
        <v>85</v>
      </c>
      <c r="D1604" t="s">
        <v>395</v>
      </c>
      <c r="E1604" t="s">
        <v>22</v>
      </c>
      <c r="F1604">
        <v>45.3</v>
      </c>
      <c r="G1604" t="s">
        <v>31</v>
      </c>
      <c r="H1604" t="s">
        <v>27</v>
      </c>
    </row>
    <row r="1605" spans="1:8" hidden="1" x14ac:dyDescent="0.2">
      <c r="A1605" t="s">
        <v>394</v>
      </c>
      <c r="B1605" t="s">
        <v>75</v>
      </c>
      <c r="C1605" t="s">
        <v>85</v>
      </c>
      <c r="D1605" t="s">
        <v>395</v>
      </c>
      <c r="E1605" t="s">
        <v>1528</v>
      </c>
      <c r="G1605" t="s">
        <v>31</v>
      </c>
      <c r="H1605" t="s">
        <v>27</v>
      </c>
    </row>
    <row r="1606" spans="1:8" hidden="1" x14ac:dyDescent="0.2">
      <c r="A1606" t="s">
        <v>394</v>
      </c>
      <c r="B1606" t="s">
        <v>75</v>
      </c>
      <c r="C1606" t="s">
        <v>85</v>
      </c>
      <c r="D1606" t="s">
        <v>395</v>
      </c>
      <c r="E1606" t="s">
        <v>1529</v>
      </c>
      <c r="G1606" t="s">
        <v>31</v>
      </c>
      <c r="H1606" t="s">
        <v>27</v>
      </c>
    </row>
    <row r="1607" spans="1:8" hidden="1" x14ac:dyDescent="0.2">
      <c r="A1607" t="s">
        <v>394</v>
      </c>
      <c r="B1607" t="s">
        <v>75</v>
      </c>
      <c r="C1607" t="s">
        <v>85</v>
      </c>
      <c r="D1607" t="s">
        <v>395</v>
      </c>
      <c r="E1607" t="s">
        <v>1530</v>
      </c>
      <c r="G1607" t="s">
        <v>31</v>
      </c>
      <c r="H1607" t="s">
        <v>27</v>
      </c>
    </row>
    <row r="1608" spans="1:8" hidden="1" x14ac:dyDescent="0.2">
      <c r="A1608" t="s">
        <v>394</v>
      </c>
      <c r="B1608" t="s">
        <v>75</v>
      </c>
      <c r="C1608" t="s">
        <v>85</v>
      </c>
      <c r="D1608" t="s">
        <v>395</v>
      </c>
      <c r="E1608" t="s">
        <v>1531</v>
      </c>
      <c r="G1608" t="s">
        <v>31</v>
      </c>
      <c r="H1608" t="s">
        <v>27</v>
      </c>
    </row>
    <row r="1609" spans="1:8" hidden="1" x14ac:dyDescent="0.2">
      <c r="A1609" t="s">
        <v>394</v>
      </c>
      <c r="B1609" t="s">
        <v>75</v>
      </c>
      <c r="C1609" t="s">
        <v>85</v>
      </c>
      <c r="D1609" t="s">
        <v>395</v>
      </c>
      <c r="E1609" t="s">
        <v>12</v>
      </c>
      <c r="F1609">
        <v>9.1</v>
      </c>
      <c r="G1609" t="s">
        <v>31</v>
      </c>
      <c r="H1609" t="s">
        <v>18</v>
      </c>
    </row>
    <row r="1610" spans="1:8" hidden="1" x14ac:dyDescent="0.2">
      <c r="A1610" t="s">
        <v>394</v>
      </c>
      <c r="B1610" t="s">
        <v>75</v>
      </c>
      <c r="C1610" t="s">
        <v>85</v>
      </c>
      <c r="D1610" t="s">
        <v>395</v>
      </c>
      <c r="E1610" t="s">
        <v>21</v>
      </c>
      <c r="F1610">
        <v>22.6</v>
      </c>
      <c r="G1610" t="s">
        <v>31</v>
      </c>
      <c r="H1610" t="s">
        <v>27</v>
      </c>
    </row>
    <row r="1611" spans="1:8" hidden="1" x14ac:dyDescent="0.2">
      <c r="A1611" t="s">
        <v>394</v>
      </c>
      <c r="B1611" t="s">
        <v>75</v>
      </c>
      <c r="C1611" t="s">
        <v>85</v>
      </c>
      <c r="D1611" t="s">
        <v>395</v>
      </c>
      <c r="E1611" t="s">
        <v>20</v>
      </c>
      <c r="F1611">
        <v>18.100000000000001</v>
      </c>
      <c r="G1611" t="s">
        <v>31</v>
      </c>
      <c r="H1611" t="s">
        <v>27</v>
      </c>
    </row>
    <row r="1612" spans="1:8" hidden="1" x14ac:dyDescent="0.2">
      <c r="A1612" t="s">
        <v>394</v>
      </c>
      <c r="B1612" t="s">
        <v>75</v>
      </c>
      <c r="C1612" t="s">
        <v>85</v>
      </c>
      <c r="D1612" t="s">
        <v>395</v>
      </c>
      <c r="E1612" t="s">
        <v>19</v>
      </c>
      <c r="F1612">
        <v>18.100000000000001</v>
      </c>
      <c r="G1612" t="s">
        <v>31</v>
      </c>
      <c r="H1612" t="s">
        <v>27</v>
      </c>
    </row>
    <row r="1613" spans="1:8" hidden="1" x14ac:dyDescent="0.2">
      <c r="A1613" t="s">
        <v>394</v>
      </c>
      <c r="B1613" t="s">
        <v>75</v>
      </c>
      <c r="C1613" t="s">
        <v>85</v>
      </c>
      <c r="D1613" t="s">
        <v>395</v>
      </c>
      <c r="E1613" t="s">
        <v>17</v>
      </c>
      <c r="F1613">
        <v>22.6</v>
      </c>
      <c r="G1613" t="s">
        <v>31</v>
      </c>
      <c r="H1613" t="s">
        <v>27</v>
      </c>
    </row>
    <row r="1614" spans="1:8" hidden="1" x14ac:dyDescent="0.2">
      <c r="A1614" t="s">
        <v>396</v>
      </c>
      <c r="B1614" t="s">
        <v>75</v>
      </c>
      <c r="C1614" t="s">
        <v>85</v>
      </c>
      <c r="D1614" t="s">
        <v>397</v>
      </c>
      <c r="E1614" t="s">
        <v>22</v>
      </c>
      <c r="F1614">
        <v>266.7</v>
      </c>
      <c r="G1614" t="s">
        <v>31</v>
      </c>
      <c r="H1614" t="s">
        <v>27</v>
      </c>
    </row>
    <row r="1615" spans="1:8" hidden="1" x14ac:dyDescent="0.2">
      <c r="A1615" t="s">
        <v>396</v>
      </c>
      <c r="B1615" t="s">
        <v>75</v>
      </c>
      <c r="C1615" t="s">
        <v>85</v>
      </c>
      <c r="D1615" t="s">
        <v>397</v>
      </c>
      <c r="E1615" t="s">
        <v>1528</v>
      </c>
      <c r="G1615" t="s">
        <v>31</v>
      </c>
      <c r="H1615" t="s">
        <v>27</v>
      </c>
    </row>
    <row r="1616" spans="1:8" hidden="1" x14ac:dyDescent="0.2">
      <c r="A1616" t="s">
        <v>396</v>
      </c>
      <c r="B1616" t="s">
        <v>75</v>
      </c>
      <c r="C1616" t="s">
        <v>85</v>
      </c>
      <c r="D1616" t="s">
        <v>397</v>
      </c>
      <c r="E1616" t="s">
        <v>1529</v>
      </c>
      <c r="G1616" t="s">
        <v>31</v>
      </c>
      <c r="H1616" t="s">
        <v>27</v>
      </c>
    </row>
    <row r="1617" spans="1:8" hidden="1" x14ac:dyDescent="0.2">
      <c r="A1617" t="s">
        <v>396</v>
      </c>
      <c r="B1617" t="s">
        <v>75</v>
      </c>
      <c r="C1617" t="s">
        <v>85</v>
      </c>
      <c r="D1617" t="s">
        <v>397</v>
      </c>
      <c r="E1617" t="s">
        <v>1530</v>
      </c>
      <c r="G1617" t="s">
        <v>31</v>
      </c>
      <c r="H1617" t="s">
        <v>27</v>
      </c>
    </row>
    <row r="1618" spans="1:8" hidden="1" x14ac:dyDescent="0.2">
      <c r="A1618" t="s">
        <v>396</v>
      </c>
      <c r="B1618" t="s">
        <v>75</v>
      </c>
      <c r="C1618" t="s">
        <v>85</v>
      </c>
      <c r="D1618" t="s">
        <v>397</v>
      </c>
      <c r="E1618" t="s">
        <v>1531</v>
      </c>
      <c r="G1618" t="s">
        <v>31</v>
      </c>
      <c r="H1618" t="s">
        <v>27</v>
      </c>
    </row>
    <row r="1619" spans="1:8" hidden="1" x14ac:dyDescent="0.2">
      <c r="A1619" t="s">
        <v>396</v>
      </c>
      <c r="B1619" t="s">
        <v>75</v>
      </c>
      <c r="C1619" t="s">
        <v>85</v>
      </c>
      <c r="D1619" t="s">
        <v>397</v>
      </c>
      <c r="E1619" t="s">
        <v>12</v>
      </c>
      <c r="F1619">
        <v>53.3</v>
      </c>
      <c r="G1619" t="s">
        <v>31</v>
      </c>
      <c r="H1619" t="s">
        <v>18</v>
      </c>
    </row>
    <row r="1620" spans="1:8" hidden="1" x14ac:dyDescent="0.2">
      <c r="A1620" t="s">
        <v>396</v>
      </c>
      <c r="B1620" t="s">
        <v>75</v>
      </c>
      <c r="C1620" t="s">
        <v>85</v>
      </c>
      <c r="D1620" t="s">
        <v>397</v>
      </c>
      <c r="E1620" t="s">
        <v>21</v>
      </c>
      <c r="F1620">
        <v>133.4</v>
      </c>
      <c r="G1620" t="s">
        <v>31</v>
      </c>
      <c r="H1620" t="s">
        <v>27</v>
      </c>
    </row>
    <row r="1621" spans="1:8" hidden="1" x14ac:dyDescent="0.2">
      <c r="A1621" t="s">
        <v>396</v>
      </c>
      <c r="B1621" t="s">
        <v>75</v>
      </c>
      <c r="C1621" t="s">
        <v>85</v>
      </c>
      <c r="D1621" t="s">
        <v>397</v>
      </c>
      <c r="E1621" t="s">
        <v>20</v>
      </c>
      <c r="F1621">
        <v>106.7</v>
      </c>
      <c r="G1621" t="s">
        <v>31</v>
      </c>
      <c r="H1621" t="s">
        <v>27</v>
      </c>
    </row>
    <row r="1622" spans="1:8" hidden="1" x14ac:dyDescent="0.2">
      <c r="A1622" t="s">
        <v>396</v>
      </c>
      <c r="B1622" t="s">
        <v>75</v>
      </c>
      <c r="C1622" t="s">
        <v>85</v>
      </c>
      <c r="D1622" t="s">
        <v>397</v>
      </c>
      <c r="E1622" t="s">
        <v>19</v>
      </c>
      <c r="F1622">
        <v>106.7</v>
      </c>
      <c r="G1622" t="s">
        <v>31</v>
      </c>
      <c r="H1622" t="s">
        <v>27</v>
      </c>
    </row>
    <row r="1623" spans="1:8" hidden="1" x14ac:dyDescent="0.2">
      <c r="A1623" t="s">
        <v>396</v>
      </c>
      <c r="B1623" t="s">
        <v>75</v>
      </c>
      <c r="C1623" t="s">
        <v>85</v>
      </c>
      <c r="D1623" t="s">
        <v>397</v>
      </c>
      <c r="E1623" t="s">
        <v>17</v>
      </c>
      <c r="F1623">
        <v>133.4</v>
      </c>
      <c r="G1623" t="s">
        <v>31</v>
      </c>
      <c r="H1623" t="s">
        <v>27</v>
      </c>
    </row>
    <row r="1624" spans="1:8" x14ac:dyDescent="0.2">
      <c r="A1624" t="s">
        <v>398</v>
      </c>
      <c r="B1624" t="s">
        <v>66</v>
      </c>
      <c r="C1624" t="s">
        <v>74</v>
      </c>
      <c r="D1624" t="s">
        <v>399</v>
      </c>
      <c r="E1624" t="s">
        <v>22</v>
      </c>
      <c r="F1624">
        <v>26.7</v>
      </c>
      <c r="G1624" t="s">
        <v>26</v>
      </c>
      <c r="H1624" t="s">
        <v>18</v>
      </c>
    </row>
    <row r="1625" spans="1:8" x14ac:dyDescent="0.2">
      <c r="A1625" t="s">
        <v>398</v>
      </c>
      <c r="B1625" t="s">
        <v>66</v>
      </c>
      <c r="C1625" t="s">
        <v>74</v>
      </c>
      <c r="D1625" t="s">
        <v>399</v>
      </c>
      <c r="E1625" t="s">
        <v>1528</v>
      </c>
      <c r="G1625" t="s">
        <v>26</v>
      </c>
      <c r="H1625" t="s">
        <v>18</v>
      </c>
    </row>
    <row r="1626" spans="1:8" x14ac:dyDescent="0.2">
      <c r="A1626" t="s">
        <v>398</v>
      </c>
      <c r="B1626" t="s">
        <v>66</v>
      </c>
      <c r="C1626" t="s">
        <v>74</v>
      </c>
      <c r="D1626" t="s">
        <v>399</v>
      </c>
      <c r="E1626" t="s">
        <v>1529</v>
      </c>
      <c r="G1626" t="s">
        <v>26</v>
      </c>
      <c r="H1626" t="s">
        <v>18</v>
      </c>
    </row>
    <row r="1627" spans="1:8" x14ac:dyDescent="0.2">
      <c r="A1627" t="s">
        <v>398</v>
      </c>
      <c r="B1627" t="s">
        <v>66</v>
      </c>
      <c r="C1627" t="s">
        <v>74</v>
      </c>
      <c r="D1627" t="s">
        <v>399</v>
      </c>
      <c r="E1627" t="s">
        <v>1530</v>
      </c>
      <c r="G1627" t="s">
        <v>26</v>
      </c>
      <c r="H1627" t="s">
        <v>18</v>
      </c>
    </row>
    <row r="1628" spans="1:8" x14ac:dyDescent="0.2">
      <c r="A1628" t="s">
        <v>398</v>
      </c>
      <c r="B1628" t="s">
        <v>66</v>
      </c>
      <c r="C1628" t="s">
        <v>74</v>
      </c>
      <c r="D1628" t="s">
        <v>399</v>
      </c>
      <c r="E1628" t="s">
        <v>1531</v>
      </c>
      <c r="G1628" t="s">
        <v>26</v>
      </c>
      <c r="H1628" t="s">
        <v>18</v>
      </c>
    </row>
    <row r="1629" spans="1:8" hidden="1" x14ac:dyDescent="0.2">
      <c r="A1629" t="s">
        <v>398</v>
      </c>
      <c r="B1629" t="s">
        <v>66</v>
      </c>
      <c r="C1629" t="s">
        <v>74</v>
      </c>
      <c r="D1629" t="s">
        <v>399</v>
      </c>
      <c r="E1629" t="s">
        <v>12</v>
      </c>
      <c r="F1629">
        <v>5.3</v>
      </c>
      <c r="G1629" t="s">
        <v>26</v>
      </c>
      <c r="H1629" t="s">
        <v>14</v>
      </c>
    </row>
    <row r="1630" spans="1:8" x14ac:dyDescent="0.2">
      <c r="A1630" t="s">
        <v>398</v>
      </c>
      <c r="B1630" t="s">
        <v>66</v>
      </c>
      <c r="C1630" t="s">
        <v>74</v>
      </c>
      <c r="D1630" t="s">
        <v>399</v>
      </c>
      <c r="E1630" t="s">
        <v>21</v>
      </c>
      <c r="F1630">
        <v>13.4</v>
      </c>
      <c r="G1630" t="s">
        <v>26</v>
      </c>
      <c r="H1630" t="s">
        <v>18</v>
      </c>
    </row>
    <row r="1631" spans="1:8" x14ac:dyDescent="0.2">
      <c r="A1631" t="s">
        <v>398</v>
      </c>
      <c r="B1631" t="s">
        <v>66</v>
      </c>
      <c r="C1631" t="s">
        <v>74</v>
      </c>
      <c r="D1631" t="s">
        <v>399</v>
      </c>
      <c r="E1631" t="s">
        <v>20</v>
      </c>
      <c r="F1631">
        <v>10.7</v>
      </c>
      <c r="G1631" t="s">
        <v>26</v>
      </c>
      <c r="H1631" t="s">
        <v>18</v>
      </c>
    </row>
    <row r="1632" spans="1:8" x14ac:dyDescent="0.2">
      <c r="A1632" t="s">
        <v>398</v>
      </c>
      <c r="B1632" t="s">
        <v>66</v>
      </c>
      <c r="C1632" t="s">
        <v>74</v>
      </c>
      <c r="D1632" t="s">
        <v>399</v>
      </c>
      <c r="E1632" t="s">
        <v>19</v>
      </c>
      <c r="F1632">
        <v>10.7</v>
      </c>
      <c r="G1632" t="s">
        <v>26</v>
      </c>
      <c r="H1632" t="s">
        <v>18</v>
      </c>
    </row>
    <row r="1633" spans="1:8" x14ac:dyDescent="0.2">
      <c r="A1633" t="s">
        <v>398</v>
      </c>
      <c r="B1633" t="s">
        <v>66</v>
      </c>
      <c r="C1633" t="s">
        <v>74</v>
      </c>
      <c r="D1633" t="s">
        <v>399</v>
      </c>
      <c r="E1633" t="s">
        <v>17</v>
      </c>
      <c r="F1633">
        <v>13.4</v>
      </c>
      <c r="G1633" t="s">
        <v>26</v>
      </c>
      <c r="H1633" t="s">
        <v>18</v>
      </c>
    </row>
    <row r="1634" spans="1:8" hidden="1" x14ac:dyDescent="0.2">
      <c r="A1634" t="s">
        <v>400</v>
      </c>
      <c r="B1634" t="s">
        <v>75</v>
      </c>
      <c r="C1634" t="s">
        <v>85</v>
      </c>
      <c r="D1634" t="s">
        <v>401</v>
      </c>
      <c r="E1634" t="s">
        <v>22</v>
      </c>
      <c r="F1634">
        <v>1066.7</v>
      </c>
      <c r="G1634" t="s">
        <v>31</v>
      </c>
      <c r="H1634" t="s">
        <v>27</v>
      </c>
    </row>
    <row r="1635" spans="1:8" hidden="1" x14ac:dyDescent="0.2">
      <c r="A1635" t="s">
        <v>400</v>
      </c>
      <c r="B1635" t="s">
        <v>75</v>
      </c>
      <c r="C1635" t="s">
        <v>85</v>
      </c>
      <c r="D1635" t="s">
        <v>401</v>
      </c>
      <c r="E1635" t="s">
        <v>1528</v>
      </c>
      <c r="G1635" t="s">
        <v>31</v>
      </c>
      <c r="H1635" t="s">
        <v>27</v>
      </c>
    </row>
    <row r="1636" spans="1:8" hidden="1" x14ac:dyDescent="0.2">
      <c r="A1636" t="s">
        <v>400</v>
      </c>
      <c r="B1636" t="s">
        <v>75</v>
      </c>
      <c r="C1636" t="s">
        <v>85</v>
      </c>
      <c r="D1636" t="s">
        <v>401</v>
      </c>
      <c r="E1636" t="s">
        <v>1529</v>
      </c>
      <c r="G1636" t="s">
        <v>31</v>
      </c>
      <c r="H1636" t="s">
        <v>27</v>
      </c>
    </row>
    <row r="1637" spans="1:8" hidden="1" x14ac:dyDescent="0.2">
      <c r="A1637" t="s">
        <v>400</v>
      </c>
      <c r="B1637" t="s">
        <v>75</v>
      </c>
      <c r="C1637" t="s">
        <v>85</v>
      </c>
      <c r="D1637" t="s">
        <v>401</v>
      </c>
      <c r="E1637" t="s">
        <v>1530</v>
      </c>
      <c r="G1637" t="s">
        <v>31</v>
      </c>
      <c r="H1637" t="s">
        <v>27</v>
      </c>
    </row>
    <row r="1638" spans="1:8" hidden="1" x14ac:dyDescent="0.2">
      <c r="A1638" t="s">
        <v>400</v>
      </c>
      <c r="B1638" t="s">
        <v>75</v>
      </c>
      <c r="C1638" t="s">
        <v>85</v>
      </c>
      <c r="D1638" t="s">
        <v>401</v>
      </c>
      <c r="E1638" t="s">
        <v>1531</v>
      </c>
      <c r="G1638" t="s">
        <v>31</v>
      </c>
      <c r="H1638" t="s">
        <v>27</v>
      </c>
    </row>
    <row r="1639" spans="1:8" hidden="1" x14ac:dyDescent="0.2">
      <c r="A1639" t="s">
        <v>400</v>
      </c>
      <c r="B1639" t="s">
        <v>75</v>
      </c>
      <c r="C1639" t="s">
        <v>85</v>
      </c>
      <c r="D1639" t="s">
        <v>401</v>
      </c>
      <c r="E1639" t="s">
        <v>12</v>
      </c>
      <c r="F1639">
        <v>213.3</v>
      </c>
      <c r="G1639" t="s">
        <v>31</v>
      </c>
      <c r="H1639" t="s">
        <v>18</v>
      </c>
    </row>
    <row r="1640" spans="1:8" hidden="1" x14ac:dyDescent="0.2">
      <c r="A1640" t="s">
        <v>400</v>
      </c>
      <c r="B1640" t="s">
        <v>75</v>
      </c>
      <c r="C1640" t="s">
        <v>85</v>
      </c>
      <c r="D1640" t="s">
        <v>401</v>
      </c>
      <c r="E1640" t="s">
        <v>21</v>
      </c>
      <c r="F1640">
        <v>533.4</v>
      </c>
      <c r="G1640" t="s">
        <v>31</v>
      </c>
      <c r="H1640" t="s">
        <v>27</v>
      </c>
    </row>
    <row r="1641" spans="1:8" hidden="1" x14ac:dyDescent="0.2">
      <c r="A1641" t="s">
        <v>400</v>
      </c>
      <c r="B1641" t="s">
        <v>75</v>
      </c>
      <c r="C1641" t="s">
        <v>85</v>
      </c>
      <c r="D1641" t="s">
        <v>401</v>
      </c>
      <c r="E1641" t="s">
        <v>20</v>
      </c>
      <c r="F1641">
        <v>426.7</v>
      </c>
      <c r="G1641" t="s">
        <v>31</v>
      </c>
      <c r="H1641" t="s">
        <v>27</v>
      </c>
    </row>
    <row r="1642" spans="1:8" hidden="1" x14ac:dyDescent="0.2">
      <c r="A1642" t="s">
        <v>400</v>
      </c>
      <c r="B1642" t="s">
        <v>75</v>
      </c>
      <c r="C1642" t="s">
        <v>85</v>
      </c>
      <c r="D1642" t="s">
        <v>401</v>
      </c>
      <c r="E1642" t="s">
        <v>19</v>
      </c>
      <c r="F1642">
        <v>426.7</v>
      </c>
      <c r="G1642" t="s">
        <v>31</v>
      </c>
      <c r="H1642" t="s">
        <v>27</v>
      </c>
    </row>
    <row r="1643" spans="1:8" hidden="1" x14ac:dyDescent="0.2">
      <c r="A1643" t="s">
        <v>400</v>
      </c>
      <c r="B1643" t="s">
        <v>75</v>
      </c>
      <c r="C1643" t="s">
        <v>85</v>
      </c>
      <c r="D1643" t="s">
        <v>401</v>
      </c>
      <c r="E1643" t="s">
        <v>17</v>
      </c>
      <c r="F1643">
        <v>533.4</v>
      </c>
      <c r="G1643" t="s">
        <v>31</v>
      </c>
      <c r="H1643" t="s">
        <v>27</v>
      </c>
    </row>
    <row r="1644" spans="1:8" x14ac:dyDescent="0.2">
      <c r="A1644" t="s">
        <v>402</v>
      </c>
      <c r="B1644" t="s">
        <v>66</v>
      </c>
      <c r="C1644" t="s">
        <v>74</v>
      </c>
      <c r="D1644" t="s">
        <v>403</v>
      </c>
      <c r="E1644" t="s">
        <v>22</v>
      </c>
      <c r="F1644">
        <v>53.3</v>
      </c>
      <c r="G1644" t="s">
        <v>26</v>
      </c>
      <c r="H1644" t="s">
        <v>18</v>
      </c>
    </row>
    <row r="1645" spans="1:8" x14ac:dyDescent="0.2">
      <c r="A1645" t="s">
        <v>402</v>
      </c>
      <c r="B1645" t="s">
        <v>66</v>
      </c>
      <c r="C1645" t="s">
        <v>74</v>
      </c>
      <c r="D1645" t="s">
        <v>403</v>
      </c>
      <c r="E1645" t="s">
        <v>1528</v>
      </c>
      <c r="G1645" t="s">
        <v>26</v>
      </c>
      <c r="H1645" t="s">
        <v>18</v>
      </c>
    </row>
    <row r="1646" spans="1:8" x14ac:dyDescent="0.2">
      <c r="A1646" t="s">
        <v>402</v>
      </c>
      <c r="B1646" t="s">
        <v>66</v>
      </c>
      <c r="C1646" t="s">
        <v>74</v>
      </c>
      <c r="D1646" t="s">
        <v>403</v>
      </c>
      <c r="E1646" t="s">
        <v>1529</v>
      </c>
      <c r="G1646" t="s">
        <v>26</v>
      </c>
      <c r="H1646" t="s">
        <v>18</v>
      </c>
    </row>
    <row r="1647" spans="1:8" x14ac:dyDescent="0.2">
      <c r="A1647" t="s">
        <v>402</v>
      </c>
      <c r="B1647" t="s">
        <v>66</v>
      </c>
      <c r="C1647" t="s">
        <v>74</v>
      </c>
      <c r="D1647" t="s">
        <v>403</v>
      </c>
      <c r="E1647" t="s">
        <v>1530</v>
      </c>
      <c r="G1647" t="s">
        <v>26</v>
      </c>
      <c r="H1647" t="s">
        <v>18</v>
      </c>
    </row>
    <row r="1648" spans="1:8" x14ac:dyDescent="0.2">
      <c r="A1648" t="s">
        <v>402</v>
      </c>
      <c r="B1648" t="s">
        <v>66</v>
      </c>
      <c r="C1648" t="s">
        <v>74</v>
      </c>
      <c r="D1648" t="s">
        <v>403</v>
      </c>
      <c r="E1648" t="s">
        <v>1531</v>
      </c>
      <c r="G1648" t="s">
        <v>26</v>
      </c>
      <c r="H1648" t="s">
        <v>18</v>
      </c>
    </row>
    <row r="1649" spans="1:8" hidden="1" x14ac:dyDescent="0.2">
      <c r="A1649" t="s">
        <v>402</v>
      </c>
      <c r="B1649" t="s">
        <v>66</v>
      </c>
      <c r="C1649" t="s">
        <v>74</v>
      </c>
      <c r="D1649" t="s">
        <v>403</v>
      </c>
      <c r="E1649" t="s">
        <v>12</v>
      </c>
      <c r="F1649">
        <v>10.7</v>
      </c>
      <c r="G1649" t="s">
        <v>26</v>
      </c>
      <c r="H1649" t="s">
        <v>14</v>
      </c>
    </row>
    <row r="1650" spans="1:8" x14ac:dyDescent="0.2">
      <c r="A1650" t="s">
        <v>402</v>
      </c>
      <c r="B1650" t="s">
        <v>66</v>
      </c>
      <c r="C1650" t="s">
        <v>74</v>
      </c>
      <c r="D1650" t="s">
        <v>403</v>
      </c>
      <c r="E1650" t="s">
        <v>21</v>
      </c>
      <c r="F1650">
        <v>26.6</v>
      </c>
      <c r="G1650" t="s">
        <v>26</v>
      </c>
      <c r="H1650" t="s">
        <v>18</v>
      </c>
    </row>
    <row r="1651" spans="1:8" x14ac:dyDescent="0.2">
      <c r="A1651" t="s">
        <v>402</v>
      </c>
      <c r="B1651" t="s">
        <v>66</v>
      </c>
      <c r="C1651" t="s">
        <v>74</v>
      </c>
      <c r="D1651" t="s">
        <v>403</v>
      </c>
      <c r="E1651" t="s">
        <v>20</v>
      </c>
      <c r="F1651">
        <v>21.3</v>
      </c>
      <c r="G1651" t="s">
        <v>26</v>
      </c>
      <c r="H1651" t="s">
        <v>18</v>
      </c>
    </row>
    <row r="1652" spans="1:8" x14ac:dyDescent="0.2">
      <c r="A1652" t="s">
        <v>402</v>
      </c>
      <c r="B1652" t="s">
        <v>66</v>
      </c>
      <c r="C1652" t="s">
        <v>74</v>
      </c>
      <c r="D1652" t="s">
        <v>403</v>
      </c>
      <c r="E1652" t="s">
        <v>19</v>
      </c>
      <c r="F1652">
        <v>21.3</v>
      </c>
      <c r="G1652" t="s">
        <v>26</v>
      </c>
      <c r="H1652" t="s">
        <v>18</v>
      </c>
    </row>
    <row r="1653" spans="1:8" x14ac:dyDescent="0.2">
      <c r="A1653" t="s">
        <v>402</v>
      </c>
      <c r="B1653" t="s">
        <v>66</v>
      </c>
      <c r="C1653" t="s">
        <v>74</v>
      </c>
      <c r="D1653" t="s">
        <v>403</v>
      </c>
      <c r="E1653" t="s">
        <v>17</v>
      </c>
      <c r="F1653">
        <v>26.6</v>
      </c>
      <c r="G1653" t="s">
        <v>26</v>
      </c>
      <c r="H1653" t="s">
        <v>18</v>
      </c>
    </row>
    <row r="1654" spans="1:8" hidden="1" x14ac:dyDescent="0.2">
      <c r="A1654" t="s">
        <v>15</v>
      </c>
      <c r="B1654" t="s">
        <v>9</v>
      </c>
      <c r="C1654" t="s">
        <v>10</v>
      </c>
      <c r="D1654" t="s">
        <v>16</v>
      </c>
      <c r="E1654" t="s">
        <v>22</v>
      </c>
      <c r="F1654">
        <v>26.7</v>
      </c>
      <c r="G1654" t="s">
        <v>13</v>
      </c>
      <c r="H1654" t="s">
        <v>18</v>
      </c>
    </row>
    <row r="1655" spans="1:8" hidden="1" x14ac:dyDescent="0.2">
      <c r="A1655" t="s">
        <v>15</v>
      </c>
      <c r="B1655" t="s">
        <v>9</v>
      </c>
      <c r="C1655" t="s">
        <v>10</v>
      </c>
      <c r="D1655" t="s">
        <v>16</v>
      </c>
      <c r="E1655" t="s">
        <v>1528</v>
      </c>
      <c r="G1655" t="s">
        <v>13</v>
      </c>
      <c r="H1655" t="s">
        <v>18</v>
      </c>
    </row>
    <row r="1656" spans="1:8" hidden="1" x14ac:dyDescent="0.2">
      <c r="A1656" t="s">
        <v>15</v>
      </c>
      <c r="B1656" t="s">
        <v>9</v>
      </c>
      <c r="C1656" t="s">
        <v>10</v>
      </c>
      <c r="D1656" t="s">
        <v>16</v>
      </c>
      <c r="E1656" t="s">
        <v>1529</v>
      </c>
      <c r="G1656" t="s">
        <v>13</v>
      </c>
      <c r="H1656" t="s">
        <v>18</v>
      </c>
    </row>
    <row r="1657" spans="1:8" hidden="1" x14ac:dyDescent="0.2">
      <c r="A1657" t="s">
        <v>15</v>
      </c>
      <c r="B1657" t="s">
        <v>9</v>
      </c>
      <c r="C1657" t="s">
        <v>10</v>
      </c>
      <c r="D1657" t="s">
        <v>16</v>
      </c>
      <c r="E1657" t="s">
        <v>1530</v>
      </c>
      <c r="G1657" t="s">
        <v>13</v>
      </c>
      <c r="H1657" t="s">
        <v>18</v>
      </c>
    </row>
    <row r="1658" spans="1:8" hidden="1" x14ac:dyDescent="0.2">
      <c r="A1658" t="s">
        <v>15</v>
      </c>
      <c r="B1658" t="s">
        <v>9</v>
      </c>
      <c r="C1658" t="s">
        <v>10</v>
      </c>
      <c r="D1658" t="s">
        <v>16</v>
      </c>
      <c r="E1658" t="s">
        <v>1531</v>
      </c>
      <c r="G1658" t="s">
        <v>13</v>
      </c>
      <c r="H1658" t="s">
        <v>18</v>
      </c>
    </row>
    <row r="1659" spans="1:8" hidden="1" x14ac:dyDescent="0.2">
      <c r="A1659" t="s">
        <v>15</v>
      </c>
      <c r="B1659" t="s">
        <v>9</v>
      </c>
      <c r="C1659" t="s">
        <v>10</v>
      </c>
      <c r="D1659" t="s">
        <v>16</v>
      </c>
      <c r="E1659" t="s">
        <v>12</v>
      </c>
      <c r="F1659">
        <v>5.3</v>
      </c>
      <c r="G1659" t="s">
        <v>13</v>
      </c>
      <c r="H1659" t="s">
        <v>14</v>
      </c>
    </row>
    <row r="1660" spans="1:8" hidden="1" x14ac:dyDescent="0.2">
      <c r="A1660" t="s">
        <v>15</v>
      </c>
      <c r="B1660" t="s">
        <v>9</v>
      </c>
      <c r="C1660" t="s">
        <v>10</v>
      </c>
      <c r="D1660" t="s">
        <v>16</v>
      </c>
      <c r="E1660" t="s">
        <v>21</v>
      </c>
      <c r="F1660">
        <v>13.4</v>
      </c>
      <c r="G1660" t="s">
        <v>13</v>
      </c>
      <c r="H1660" t="s">
        <v>18</v>
      </c>
    </row>
    <row r="1661" spans="1:8" hidden="1" x14ac:dyDescent="0.2">
      <c r="A1661" t="s">
        <v>15</v>
      </c>
      <c r="B1661" t="s">
        <v>9</v>
      </c>
      <c r="C1661" t="s">
        <v>10</v>
      </c>
      <c r="D1661" t="s">
        <v>16</v>
      </c>
      <c r="E1661" t="s">
        <v>20</v>
      </c>
      <c r="F1661">
        <v>10.7</v>
      </c>
      <c r="G1661" t="s">
        <v>13</v>
      </c>
      <c r="H1661" t="s">
        <v>18</v>
      </c>
    </row>
    <row r="1662" spans="1:8" hidden="1" x14ac:dyDescent="0.2">
      <c r="A1662" t="s">
        <v>15</v>
      </c>
      <c r="B1662" t="s">
        <v>9</v>
      </c>
      <c r="C1662" t="s">
        <v>10</v>
      </c>
      <c r="D1662" t="s">
        <v>16</v>
      </c>
      <c r="E1662" t="s">
        <v>19</v>
      </c>
      <c r="F1662">
        <v>10.7</v>
      </c>
      <c r="G1662" t="s">
        <v>13</v>
      </c>
      <c r="H1662" t="s">
        <v>18</v>
      </c>
    </row>
    <row r="1663" spans="1:8" hidden="1" x14ac:dyDescent="0.2">
      <c r="A1663" t="s">
        <v>15</v>
      </c>
      <c r="B1663" t="s">
        <v>9</v>
      </c>
      <c r="C1663" t="s">
        <v>10</v>
      </c>
      <c r="D1663" t="s">
        <v>16</v>
      </c>
      <c r="E1663" t="s">
        <v>17</v>
      </c>
      <c r="F1663">
        <v>13.4</v>
      </c>
      <c r="G1663" t="s">
        <v>13</v>
      </c>
      <c r="H1663" t="s">
        <v>18</v>
      </c>
    </row>
    <row r="1664" spans="1:8" hidden="1" x14ac:dyDescent="0.2">
      <c r="A1664" t="s">
        <v>8</v>
      </c>
      <c r="B1664" t="s">
        <v>9</v>
      </c>
      <c r="C1664" t="s">
        <v>10</v>
      </c>
      <c r="D1664" t="s">
        <v>11</v>
      </c>
      <c r="E1664" t="s">
        <v>22</v>
      </c>
      <c r="F1664">
        <v>127</v>
      </c>
      <c r="G1664" t="s">
        <v>13</v>
      </c>
      <c r="H1664" t="s">
        <v>18</v>
      </c>
    </row>
    <row r="1665" spans="1:8" hidden="1" x14ac:dyDescent="0.2">
      <c r="A1665" t="s">
        <v>8</v>
      </c>
      <c r="B1665" t="s">
        <v>9</v>
      </c>
      <c r="C1665" t="s">
        <v>10</v>
      </c>
      <c r="D1665" t="s">
        <v>11</v>
      </c>
      <c r="E1665" t="s">
        <v>1528</v>
      </c>
      <c r="G1665" t="s">
        <v>13</v>
      </c>
      <c r="H1665" t="s">
        <v>18</v>
      </c>
    </row>
    <row r="1666" spans="1:8" hidden="1" x14ac:dyDescent="0.2">
      <c r="A1666" t="s">
        <v>8</v>
      </c>
      <c r="B1666" t="s">
        <v>9</v>
      </c>
      <c r="C1666" t="s">
        <v>10</v>
      </c>
      <c r="D1666" t="s">
        <v>11</v>
      </c>
      <c r="E1666" t="s">
        <v>1529</v>
      </c>
      <c r="G1666" t="s">
        <v>13</v>
      </c>
      <c r="H1666" t="s">
        <v>18</v>
      </c>
    </row>
    <row r="1667" spans="1:8" hidden="1" x14ac:dyDescent="0.2">
      <c r="A1667" t="s">
        <v>8</v>
      </c>
      <c r="B1667" t="s">
        <v>9</v>
      </c>
      <c r="C1667" t="s">
        <v>10</v>
      </c>
      <c r="D1667" t="s">
        <v>11</v>
      </c>
      <c r="E1667" t="s">
        <v>1530</v>
      </c>
      <c r="G1667" t="s">
        <v>13</v>
      </c>
      <c r="H1667" t="s">
        <v>18</v>
      </c>
    </row>
    <row r="1668" spans="1:8" hidden="1" x14ac:dyDescent="0.2">
      <c r="A1668" t="s">
        <v>8</v>
      </c>
      <c r="B1668" t="s">
        <v>9</v>
      </c>
      <c r="C1668" t="s">
        <v>10</v>
      </c>
      <c r="D1668" t="s">
        <v>11</v>
      </c>
      <c r="E1668" t="s">
        <v>1531</v>
      </c>
      <c r="G1668" t="s">
        <v>13</v>
      </c>
      <c r="H1668" t="s">
        <v>18</v>
      </c>
    </row>
    <row r="1669" spans="1:8" hidden="1" x14ac:dyDescent="0.2">
      <c r="A1669" t="s">
        <v>8</v>
      </c>
      <c r="B1669" t="s">
        <v>9</v>
      </c>
      <c r="C1669" t="s">
        <v>10</v>
      </c>
      <c r="D1669" t="s">
        <v>11</v>
      </c>
      <c r="E1669" t="s">
        <v>12</v>
      </c>
      <c r="F1669">
        <v>25.4</v>
      </c>
      <c r="G1669" t="s">
        <v>13</v>
      </c>
      <c r="H1669" t="s">
        <v>14</v>
      </c>
    </row>
    <row r="1670" spans="1:8" hidden="1" x14ac:dyDescent="0.2">
      <c r="A1670" t="s">
        <v>8</v>
      </c>
      <c r="B1670" t="s">
        <v>9</v>
      </c>
      <c r="C1670" t="s">
        <v>10</v>
      </c>
      <c r="D1670" t="s">
        <v>11</v>
      </c>
      <c r="E1670" t="s">
        <v>21</v>
      </c>
      <c r="F1670">
        <v>63.5</v>
      </c>
      <c r="G1670" t="s">
        <v>13</v>
      </c>
      <c r="H1670" t="s">
        <v>18</v>
      </c>
    </row>
    <row r="1671" spans="1:8" hidden="1" x14ac:dyDescent="0.2">
      <c r="A1671" t="s">
        <v>8</v>
      </c>
      <c r="B1671" t="s">
        <v>9</v>
      </c>
      <c r="C1671" t="s">
        <v>10</v>
      </c>
      <c r="D1671" t="s">
        <v>11</v>
      </c>
      <c r="E1671" t="s">
        <v>20</v>
      </c>
      <c r="F1671">
        <v>50.8</v>
      </c>
      <c r="G1671" t="s">
        <v>13</v>
      </c>
      <c r="H1671" t="s">
        <v>18</v>
      </c>
    </row>
    <row r="1672" spans="1:8" hidden="1" x14ac:dyDescent="0.2">
      <c r="A1672" t="s">
        <v>8</v>
      </c>
      <c r="B1672" t="s">
        <v>9</v>
      </c>
      <c r="C1672" t="s">
        <v>10</v>
      </c>
      <c r="D1672" t="s">
        <v>11</v>
      </c>
      <c r="E1672" t="s">
        <v>19</v>
      </c>
      <c r="F1672">
        <v>50.8</v>
      </c>
      <c r="G1672" t="s">
        <v>13</v>
      </c>
      <c r="H1672" t="s">
        <v>18</v>
      </c>
    </row>
    <row r="1673" spans="1:8" hidden="1" x14ac:dyDescent="0.2">
      <c r="A1673" t="s">
        <v>8</v>
      </c>
      <c r="B1673" t="s">
        <v>9</v>
      </c>
      <c r="C1673" t="s">
        <v>10</v>
      </c>
      <c r="D1673" t="s">
        <v>11</v>
      </c>
      <c r="E1673" t="s">
        <v>17</v>
      </c>
      <c r="F1673">
        <v>63.5</v>
      </c>
      <c r="G1673" t="s">
        <v>13</v>
      </c>
      <c r="H1673" t="s">
        <v>18</v>
      </c>
    </row>
    <row r="1674" spans="1:8" hidden="1" x14ac:dyDescent="0.2">
      <c r="A1674" t="s">
        <v>404</v>
      </c>
      <c r="B1674" t="s">
        <v>75</v>
      </c>
      <c r="C1674" t="s">
        <v>85</v>
      </c>
      <c r="D1674" t="s">
        <v>405</v>
      </c>
      <c r="E1674" t="s">
        <v>22</v>
      </c>
      <c r="F1674">
        <v>1066.7</v>
      </c>
      <c r="G1674" t="s">
        <v>31</v>
      </c>
      <c r="H1674" t="s">
        <v>27</v>
      </c>
    </row>
    <row r="1675" spans="1:8" hidden="1" x14ac:dyDescent="0.2">
      <c r="A1675" t="s">
        <v>404</v>
      </c>
      <c r="B1675" t="s">
        <v>75</v>
      </c>
      <c r="C1675" t="s">
        <v>85</v>
      </c>
      <c r="D1675" t="s">
        <v>405</v>
      </c>
      <c r="E1675" t="s">
        <v>1528</v>
      </c>
      <c r="G1675" t="s">
        <v>31</v>
      </c>
      <c r="H1675" t="s">
        <v>27</v>
      </c>
    </row>
    <row r="1676" spans="1:8" hidden="1" x14ac:dyDescent="0.2">
      <c r="A1676" t="s">
        <v>404</v>
      </c>
      <c r="B1676" t="s">
        <v>75</v>
      </c>
      <c r="C1676" t="s">
        <v>85</v>
      </c>
      <c r="D1676" t="s">
        <v>405</v>
      </c>
      <c r="E1676" t="s">
        <v>1529</v>
      </c>
      <c r="G1676" t="s">
        <v>31</v>
      </c>
      <c r="H1676" t="s">
        <v>27</v>
      </c>
    </row>
    <row r="1677" spans="1:8" hidden="1" x14ac:dyDescent="0.2">
      <c r="A1677" t="s">
        <v>404</v>
      </c>
      <c r="B1677" t="s">
        <v>75</v>
      </c>
      <c r="C1677" t="s">
        <v>85</v>
      </c>
      <c r="D1677" t="s">
        <v>405</v>
      </c>
      <c r="E1677" t="s">
        <v>1530</v>
      </c>
      <c r="G1677" t="s">
        <v>31</v>
      </c>
      <c r="H1677" t="s">
        <v>27</v>
      </c>
    </row>
    <row r="1678" spans="1:8" hidden="1" x14ac:dyDescent="0.2">
      <c r="A1678" t="s">
        <v>404</v>
      </c>
      <c r="B1678" t="s">
        <v>75</v>
      </c>
      <c r="C1678" t="s">
        <v>85</v>
      </c>
      <c r="D1678" t="s">
        <v>405</v>
      </c>
      <c r="E1678" t="s">
        <v>1531</v>
      </c>
      <c r="G1678" t="s">
        <v>31</v>
      </c>
      <c r="H1678" t="s">
        <v>27</v>
      </c>
    </row>
    <row r="1679" spans="1:8" hidden="1" x14ac:dyDescent="0.2">
      <c r="A1679" t="s">
        <v>404</v>
      </c>
      <c r="B1679" t="s">
        <v>75</v>
      </c>
      <c r="C1679" t="s">
        <v>85</v>
      </c>
      <c r="D1679" t="s">
        <v>405</v>
      </c>
      <c r="E1679" t="s">
        <v>12</v>
      </c>
      <c r="F1679">
        <v>213.3</v>
      </c>
      <c r="G1679" t="s">
        <v>31</v>
      </c>
      <c r="H1679" t="s">
        <v>18</v>
      </c>
    </row>
    <row r="1680" spans="1:8" hidden="1" x14ac:dyDescent="0.2">
      <c r="A1680" t="s">
        <v>404</v>
      </c>
      <c r="B1680" t="s">
        <v>75</v>
      </c>
      <c r="C1680" t="s">
        <v>85</v>
      </c>
      <c r="D1680" t="s">
        <v>405</v>
      </c>
      <c r="E1680" t="s">
        <v>21</v>
      </c>
      <c r="F1680">
        <v>533.4</v>
      </c>
      <c r="G1680" t="s">
        <v>31</v>
      </c>
      <c r="H1680" t="s">
        <v>27</v>
      </c>
    </row>
    <row r="1681" spans="1:8" hidden="1" x14ac:dyDescent="0.2">
      <c r="A1681" t="s">
        <v>404</v>
      </c>
      <c r="B1681" t="s">
        <v>75</v>
      </c>
      <c r="C1681" t="s">
        <v>85</v>
      </c>
      <c r="D1681" t="s">
        <v>405</v>
      </c>
      <c r="E1681" t="s">
        <v>20</v>
      </c>
      <c r="F1681">
        <v>426.7</v>
      </c>
      <c r="G1681" t="s">
        <v>31</v>
      </c>
      <c r="H1681" t="s">
        <v>27</v>
      </c>
    </row>
    <row r="1682" spans="1:8" hidden="1" x14ac:dyDescent="0.2">
      <c r="A1682" t="s">
        <v>404</v>
      </c>
      <c r="B1682" t="s">
        <v>75</v>
      </c>
      <c r="C1682" t="s">
        <v>85</v>
      </c>
      <c r="D1682" t="s">
        <v>405</v>
      </c>
      <c r="E1682" t="s">
        <v>19</v>
      </c>
      <c r="F1682">
        <v>426.7</v>
      </c>
      <c r="G1682" t="s">
        <v>31</v>
      </c>
      <c r="H1682" t="s">
        <v>27</v>
      </c>
    </row>
    <row r="1683" spans="1:8" hidden="1" x14ac:dyDescent="0.2">
      <c r="A1683" t="s">
        <v>404</v>
      </c>
      <c r="B1683" t="s">
        <v>75</v>
      </c>
      <c r="C1683" t="s">
        <v>85</v>
      </c>
      <c r="D1683" t="s">
        <v>405</v>
      </c>
      <c r="E1683" t="s">
        <v>17</v>
      </c>
      <c r="F1683">
        <v>533.4</v>
      </c>
      <c r="G1683" t="s">
        <v>31</v>
      </c>
      <c r="H1683" t="s">
        <v>27</v>
      </c>
    </row>
    <row r="1684" spans="1:8" hidden="1" x14ac:dyDescent="0.2">
      <c r="A1684" t="s">
        <v>406</v>
      </c>
      <c r="B1684" t="s">
        <v>75</v>
      </c>
      <c r="C1684" t="s">
        <v>82</v>
      </c>
      <c r="D1684" t="s">
        <v>407</v>
      </c>
      <c r="E1684" t="s">
        <v>22</v>
      </c>
      <c r="F1684">
        <v>141.30000000000001</v>
      </c>
      <c r="G1684" t="s">
        <v>31</v>
      </c>
      <c r="H1684" t="s">
        <v>27</v>
      </c>
    </row>
    <row r="1685" spans="1:8" hidden="1" x14ac:dyDescent="0.2">
      <c r="A1685" t="s">
        <v>406</v>
      </c>
      <c r="B1685" t="s">
        <v>75</v>
      </c>
      <c r="C1685" t="s">
        <v>82</v>
      </c>
      <c r="D1685" t="s">
        <v>407</v>
      </c>
      <c r="E1685" t="s">
        <v>1528</v>
      </c>
      <c r="G1685" t="s">
        <v>31</v>
      </c>
      <c r="H1685" t="s">
        <v>27</v>
      </c>
    </row>
    <row r="1686" spans="1:8" hidden="1" x14ac:dyDescent="0.2">
      <c r="A1686" t="s">
        <v>406</v>
      </c>
      <c r="B1686" t="s">
        <v>75</v>
      </c>
      <c r="C1686" t="s">
        <v>82</v>
      </c>
      <c r="D1686" t="s">
        <v>407</v>
      </c>
      <c r="E1686" t="s">
        <v>1529</v>
      </c>
      <c r="G1686" t="s">
        <v>31</v>
      </c>
      <c r="H1686" t="s">
        <v>27</v>
      </c>
    </row>
    <row r="1687" spans="1:8" hidden="1" x14ac:dyDescent="0.2">
      <c r="A1687" t="s">
        <v>406</v>
      </c>
      <c r="B1687" t="s">
        <v>75</v>
      </c>
      <c r="C1687" t="s">
        <v>82</v>
      </c>
      <c r="D1687" t="s">
        <v>407</v>
      </c>
      <c r="E1687" t="s">
        <v>1530</v>
      </c>
      <c r="G1687" t="s">
        <v>31</v>
      </c>
      <c r="H1687" t="s">
        <v>27</v>
      </c>
    </row>
    <row r="1688" spans="1:8" hidden="1" x14ac:dyDescent="0.2">
      <c r="A1688" t="s">
        <v>406</v>
      </c>
      <c r="B1688" t="s">
        <v>75</v>
      </c>
      <c r="C1688" t="s">
        <v>82</v>
      </c>
      <c r="D1688" t="s">
        <v>407</v>
      </c>
      <c r="E1688" t="s">
        <v>1531</v>
      </c>
      <c r="G1688" t="s">
        <v>31</v>
      </c>
      <c r="H1688" t="s">
        <v>27</v>
      </c>
    </row>
    <row r="1689" spans="1:8" hidden="1" x14ac:dyDescent="0.2">
      <c r="A1689" t="s">
        <v>406</v>
      </c>
      <c r="B1689" t="s">
        <v>75</v>
      </c>
      <c r="C1689" t="s">
        <v>82</v>
      </c>
      <c r="D1689" t="s">
        <v>407</v>
      </c>
      <c r="E1689" t="s">
        <v>12</v>
      </c>
      <c r="F1689">
        <v>28.3</v>
      </c>
      <c r="G1689" t="s">
        <v>31</v>
      </c>
      <c r="H1689" t="s">
        <v>18</v>
      </c>
    </row>
    <row r="1690" spans="1:8" hidden="1" x14ac:dyDescent="0.2">
      <c r="A1690" t="s">
        <v>406</v>
      </c>
      <c r="B1690" t="s">
        <v>75</v>
      </c>
      <c r="C1690" t="s">
        <v>82</v>
      </c>
      <c r="D1690" t="s">
        <v>407</v>
      </c>
      <c r="E1690" t="s">
        <v>21</v>
      </c>
      <c r="F1690">
        <v>70.599999999999994</v>
      </c>
      <c r="G1690" t="s">
        <v>31</v>
      </c>
      <c r="H1690" t="s">
        <v>27</v>
      </c>
    </row>
    <row r="1691" spans="1:8" hidden="1" x14ac:dyDescent="0.2">
      <c r="A1691" t="s">
        <v>406</v>
      </c>
      <c r="B1691" t="s">
        <v>75</v>
      </c>
      <c r="C1691" t="s">
        <v>82</v>
      </c>
      <c r="D1691" t="s">
        <v>407</v>
      </c>
      <c r="E1691" t="s">
        <v>20</v>
      </c>
      <c r="F1691">
        <v>56.5</v>
      </c>
      <c r="G1691" t="s">
        <v>31</v>
      </c>
      <c r="H1691" t="s">
        <v>27</v>
      </c>
    </row>
    <row r="1692" spans="1:8" hidden="1" x14ac:dyDescent="0.2">
      <c r="A1692" t="s">
        <v>406</v>
      </c>
      <c r="B1692" t="s">
        <v>75</v>
      </c>
      <c r="C1692" t="s">
        <v>82</v>
      </c>
      <c r="D1692" t="s">
        <v>407</v>
      </c>
      <c r="E1692" t="s">
        <v>19</v>
      </c>
      <c r="F1692">
        <v>56.5</v>
      </c>
      <c r="G1692" t="s">
        <v>31</v>
      </c>
      <c r="H1692" t="s">
        <v>27</v>
      </c>
    </row>
    <row r="1693" spans="1:8" hidden="1" x14ac:dyDescent="0.2">
      <c r="A1693" t="s">
        <v>406</v>
      </c>
      <c r="B1693" t="s">
        <v>75</v>
      </c>
      <c r="C1693" t="s">
        <v>82</v>
      </c>
      <c r="D1693" t="s">
        <v>407</v>
      </c>
      <c r="E1693" t="s">
        <v>17</v>
      </c>
      <c r="F1693">
        <v>70.599999999999994</v>
      </c>
      <c r="G1693" t="s">
        <v>31</v>
      </c>
      <c r="H1693" t="s">
        <v>27</v>
      </c>
    </row>
    <row r="1694" spans="1:8" hidden="1" x14ac:dyDescent="0.2">
      <c r="A1694" t="s">
        <v>408</v>
      </c>
      <c r="B1694" t="s">
        <v>56</v>
      </c>
      <c r="C1694" t="s">
        <v>61</v>
      </c>
      <c r="D1694" t="s">
        <v>409</v>
      </c>
      <c r="E1694" t="s">
        <v>22</v>
      </c>
      <c r="F1694">
        <v>141.30000000000001</v>
      </c>
      <c r="G1694" t="s">
        <v>13</v>
      </c>
      <c r="H1694" t="s">
        <v>18</v>
      </c>
    </row>
    <row r="1695" spans="1:8" hidden="1" x14ac:dyDescent="0.2">
      <c r="A1695" t="s">
        <v>408</v>
      </c>
      <c r="B1695" t="s">
        <v>56</v>
      </c>
      <c r="C1695" t="s">
        <v>61</v>
      </c>
      <c r="D1695" t="s">
        <v>409</v>
      </c>
      <c r="E1695" t="s">
        <v>1528</v>
      </c>
      <c r="G1695" t="s">
        <v>13</v>
      </c>
      <c r="H1695" t="s">
        <v>18</v>
      </c>
    </row>
    <row r="1696" spans="1:8" hidden="1" x14ac:dyDescent="0.2">
      <c r="A1696" t="s">
        <v>408</v>
      </c>
      <c r="B1696" t="s">
        <v>56</v>
      </c>
      <c r="C1696" t="s">
        <v>61</v>
      </c>
      <c r="D1696" t="s">
        <v>409</v>
      </c>
      <c r="E1696" t="s">
        <v>1529</v>
      </c>
      <c r="G1696" t="s">
        <v>13</v>
      </c>
      <c r="H1696" t="s">
        <v>18</v>
      </c>
    </row>
    <row r="1697" spans="1:8" hidden="1" x14ac:dyDescent="0.2">
      <c r="A1697" t="s">
        <v>408</v>
      </c>
      <c r="B1697" t="s">
        <v>56</v>
      </c>
      <c r="C1697" t="s">
        <v>61</v>
      </c>
      <c r="D1697" t="s">
        <v>409</v>
      </c>
      <c r="E1697" t="s">
        <v>1530</v>
      </c>
      <c r="G1697" t="s">
        <v>13</v>
      </c>
      <c r="H1697" t="s">
        <v>18</v>
      </c>
    </row>
    <row r="1698" spans="1:8" hidden="1" x14ac:dyDescent="0.2">
      <c r="A1698" t="s">
        <v>408</v>
      </c>
      <c r="B1698" t="s">
        <v>56</v>
      </c>
      <c r="C1698" t="s">
        <v>61</v>
      </c>
      <c r="D1698" t="s">
        <v>409</v>
      </c>
      <c r="E1698" t="s">
        <v>1531</v>
      </c>
      <c r="G1698" t="s">
        <v>13</v>
      </c>
      <c r="H1698" t="s">
        <v>18</v>
      </c>
    </row>
    <row r="1699" spans="1:8" hidden="1" x14ac:dyDescent="0.2">
      <c r="A1699" t="s">
        <v>408</v>
      </c>
      <c r="B1699" t="s">
        <v>56</v>
      </c>
      <c r="C1699" t="s">
        <v>61</v>
      </c>
      <c r="D1699" t="s">
        <v>409</v>
      </c>
      <c r="E1699" t="s">
        <v>12</v>
      </c>
      <c r="F1699">
        <v>28.3</v>
      </c>
      <c r="G1699" t="s">
        <v>13</v>
      </c>
      <c r="H1699" t="s">
        <v>14</v>
      </c>
    </row>
    <row r="1700" spans="1:8" hidden="1" x14ac:dyDescent="0.2">
      <c r="A1700" t="s">
        <v>408</v>
      </c>
      <c r="B1700" t="s">
        <v>56</v>
      </c>
      <c r="C1700" t="s">
        <v>61</v>
      </c>
      <c r="D1700" t="s">
        <v>409</v>
      </c>
      <c r="E1700" t="s">
        <v>21</v>
      </c>
      <c r="F1700">
        <v>70.599999999999994</v>
      </c>
      <c r="G1700" t="s">
        <v>13</v>
      </c>
      <c r="H1700" t="s">
        <v>18</v>
      </c>
    </row>
    <row r="1701" spans="1:8" hidden="1" x14ac:dyDescent="0.2">
      <c r="A1701" t="s">
        <v>408</v>
      </c>
      <c r="B1701" t="s">
        <v>56</v>
      </c>
      <c r="C1701" t="s">
        <v>61</v>
      </c>
      <c r="D1701" t="s">
        <v>409</v>
      </c>
      <c r="E1701" t="s">
        <v>20</v>
      </c>
      <c r="F1701">
        <v>56.5</v>
      </c>
      <c r="G1701" t="s">
        <v>13</v>
      </c>
      <c r="H1701" t="s">
        <v>18</v>
      </c>
    </row>
    <row r="1702" spans="1:8" hidden="1" x14ac:dyDescent="0.2">
      <c r="A1702" t="s">
        <v>408</v>
      </c>
      <c r="B1702" t="s">
        <v>56</v>
      </c>
      <c r="C1702" t="s">
        <v>61</v>
      </c>
      <c r="D1702" t="s">
        <v>409</v>
      </c>
      <c r="E1702" t="s">
        <v>19</v>
      </c>
      <c r="F1702">
        <v>56.5</v>
      </c>
      <c r="G1702" t="s">
        <v>13</v>
      </c>
      <c r="H1702" t="s">
        <v>18</v>
      </c>
    </row>
    <row r="1703" spans="1:8" hidden="1" x14ac:dyDescent="0.2">
      <c r="A1703" t="s">
        <v>408</v>
      </c>
      <c r="B1703" t="s">
        <v>56</v>
      </c>
      <c r="C1703" t="s">
        <v>61</v>
      </c>
      <c r="D1703" t="s">
        <v>409</v>
      </c>
      <c r="E1703" t="s">
        <v>17</v>
      </c>
      <c r="F1703">
        <v>70.599999999999994</v>
      </c>
      <c r="G1703" t="s">
        <v>13</v>
      </c>
      <c r="H1703" t="s">
        <v>18</v>
      </c>
    </row>
    <row r="1704" spans="1:8" hidden="1" x14ac:dyDescent="0.2">
      <c r="A1704" t="s">
        <v>410</v>
      </c>
      <c r="B1704" t="s">
        <v>56</v>
      </c>
      <c r="C1704" t="s">
        <v>61</v>
      </c>
      <c r="D1704" t="s">
        <v>411</v>
      </c>
      <c r="E1704" t="s">
        <v>22</v>
      </c>
      <c r="F1704">
        <v>266.7</v>
      </c>
      <c r="G1704" t="s">
        <v>31</v>
      </c>
      <c r="H1704" t="s">
        <v>27</v>
      </c>
    </row>
    <row r="1705" spans="1:8" hidden="1" x14ac:dyDescent="0.2">
      <c r="A1705" t="s">
        <v>410</v>
      </c>
      <c r="B1705" t="s">
        <v>56</v>
      </c>
      <c r="C1705" t="s">
        <v>61</v>
      </c>
      <c r="D1705" t="s">
        <v>411</v>
      </c>
      <c r="E1705" t="s">
        <v>1528</v>
      </c>
      <c r="G1705" t="s">
        <v>31</v>
      </c>
      <c r="H1705" t="s">
        <v>27</v>
      </c>
    </row>
    <row r="1706" spans="1:8" hidden="1" x14ac:dyDescent="0.2">
      <c r="A1706" t="s">
        <v>410</v>
      </c>
      <c r="B1706" t="s">
        <v>56</v>
      </c>
      <c r="C1706" t="s">
        <v>61</v>
      </c>
      <c r="D1706" t="s">
        <v>411</v>
      </c>
      <c r="E1706" t="s">
        <v>1529</v>
      </c>
      <c r="G1706" t="s">
        <v>31</v>
      </c>
      <c r="H1706" t="s">
        <v>27</v>
      </c>
    </row>
    <row r="1707" spans="1:8" hidden="1" x14ac:dyDescent="0.2">
      <c r="A1707" t="s">
        <v>410</v>
      </c>
      <c r="B1707" t="s">
        <v>56</v>
      </c>
      <c r="C1707" t="s">
        <v>61</v>
      </c>
      <c r="D1707" t="s">
        <v>411</v>
      </c>
      <c r="E1707" t="s">
        <v>1530</v>
      </c>
      <c r="G1707" t="s">
        <v>31</v>
      </c>
      <c r="H1707" t="s">
        <v>27</v>
      </c>
    </row>
    <row r="1708" spans="1:8" hidden="1" x14ac:dyDescent="0.2">
      <c r="A1708" t="s">
        <v>410</v>
      </c>
      <c r="B1708" t="s">
        <v>56</v>
      </c>
      <c r="C1708" t="s">
        <v>61</v>
      </c>
      <c r="D1708" t="s">
        <v>411</v>
      </c>
      <c r="E1708" t="s">
        <v>1531</v>
      </c>
      <c r="G1708" t="s">
        <v>31</v>
      </c>
      <c r="H1708" t="s">
        <v>27</v>
      </c>
    </row>
    <row r="1709" spans="1:8" hidden="1" x14ac:dyDescent="0.2">
      <c r="A1709" t="s">
        <v>410</v>
      </c>
      <c r="B1709" t="s">
        <v>56</v>
      </c>
      <c r="C1709" t="s">
        <v>61</v>
      </c>
      <c r="D1709" t="s">
        <v>411</v>
      </c>
      <c r="E1709" t="s">
        <v>12</v>
      </c>
      <c r="F1709">
        <v>53.3</v>
      </c>
      <c r="G1709" t="s">
        <v>31</v>
      </c>
      <c r="H1709" t="s">
        <v>18</v>
      </c>
    </row>
    <row r="1710" spans="1:8" hidden="1" x14ac:dyDescent="0.2">
      <c r="A1710" t="s">
        <v>410</v>
      </c>
      <c r="B1710" t="s">
        <v>56</v>
      </c>
      <c r="C1710" t="s">
        <v>61</v>
      </c>
      <c r="D1710" t="s">
        <v>411</v>
      </c>
      <c r="E1710" t="s">
        <v>21</v>
      </c>
      <c r="F1710">
        <v>133.4</v>
      </c>
      <c r="G1710" t="s">
        <v>31</v>
      </c>
      <c r="H1710" t="s">
        <v>27</v>
      </c>
    </row>
    <row r="1711" spans="1:8" hidden="1" x14ac:dyDescent="0.2">
      <c r="A1711" t="s">
        <v>410</v>
      </c>
      <c r="B1711" t="s">
        <v>56</v>
      </c>
      <c r="C1711" t="s">
        <v>61</v>
      </c>
      <c r="D1711" t="s">
        <v>411</v>
      </c>
      <c r="E1711" t="s">
        <v>20</v>
      </c>
      <c r="F1711">
        <v>106.7</v>
      </c>
      <c r="G1711" t="s">
        <v>31</v>
      </c>
      <c r="H1711" t="s">
        <v>27</v>
      </c>
    </row>
    <row r="1712" spans="1:8" hidden="1" x14ac:dyDescent="0.2">
      <c r="A1712" t="s">
        <v>410</v>
      </c>
      <c r="B1712" t="s">
        <v>56</v>
      </c>
      <c r="C1712" t="s">
        <v>61</v>
      </c>
      <c r="D1712" t="s">
        <v>411</v>
      </c>
      <c r="E1712" t="s">
        <v>19</v>
      </c>
      <c r="F1712">
        <v>106.7</v>
      </c>
      <c r="G1712" t="s">
        <v>31</v>
      </c>
      <c r="H1712" t="s">
        <v>27</v>
      </c>
    </row>
    <row r="1713" spans="1:8" hidden="1" x14ac:dyDescent="0.2">
      <c r="A1713" t="s">
        <v>410</v>
      </c>
      <c r="B1713" t="s">
        <v>56</v>
      </c>
      <c r="C1713" t="s">
        <v>61</v>
      </c>
      <c r="D1713" t="s">
        <v>411</v>
      </c>
      <c r="E1713" t="s">
        <v>17</v>
      </c>
      <c r="F1713">
        <v>133.4</v>
      </c>
      <c r="G1713" t="s">
        <v>31</v>
      </c>
      <c r="H1713" t="s">
        <v>27</v>
      </c>
    </row>
    <row r="1714" spans="1:8" hidden="1" x14ac:dyDescent="0.2">
      <c r="A1714" t="s">
        <v>412</v>
      </c>
      <c r="B1714" t="s">
        <v>75</v>
      </c>
      <c r="C1714" t="s">
        <v>82</v>
      </c>
      <c r="D1714" t="s">
        <v>413</v>
      </c>
      <c r="E1714" t="s">
        <v>22</v>
      </c>
      <c r="F1714">
        <v>141.30000000000001</v>
      </c>
      <c r="G1714" t="s">
        <v>31</v>
      </c>
      <c r="H1714" t="s">
        <v>18</v>
      </c>
    </row>
    <row r="1715" spans="1:8" hidden="1" x14ac:dyDescent="0.2">
      <c r="A1715" t="s">
        <v>412</v>
      </c>
      <c r="B1715" t="s">
        <v>75</v>
      </c>
      <c r="C1715" t="s">
        <v>82</v>
      </c>
      <c r="D1715" t="s">
        <v>413</v>
      </c>
      <c r="E1715" t="s">
        <v>1528</v>
      </c>
      <c r="G1715" t="s">
        <v>31</v>
      </c>
      <c r="H1715" t="s">
        <v>18</v>
      </c>
    </row>
    <row r="1716" spans="1:8" hidden="1" x14ac:dyDescent="0.2">
      <c r="A1716" t="s">
        <v>412</v>
      </c>
      <c r="B1716" t="s">
        <v>75</v>
      </c>
      <c r="C1716" t="s">
        <v>82</v>
      </c>
      <c r="D1716" t="s">
        <v>413</v>
      </c>
      <c r="E1716" t="s">
        <v>1529</v>
      </c>
      <c r="G1716" t="s">
        <v>31</v>
      </c>
      <c r="H1716" t="s">
        <v>18</v>
      </c>
    </row>
    <row r="1717" spans="1:8" hidden="1" x14ac:dyDescent="0.2">
      <c r="A1717" t="s">
        <v>412</v>
      </c>
      <c r="B1717" t="s">
        <v>75</v>
      </c>
      <c r="C1717" t="s">
        <v>82</v>
      </c>
      <c r="D1717" t="s">
        <v>413</v>
      </c>
      <c r="E1717" t="s">
        <v>1530</v>
      </c>
      <c r="G1717" t="s">
        <v>31</v>
      </c>
      <c r="H1717" t="s">
        <v>18</v>
      </c>
    </row>
    <row r="1718" spans="1:8" hidden="1" x14ac:dyDescent="0.2">
      <c r="A1718" t="s">
        <v>412</v>
      </c>
      <c r="B1718" t="s">
        <v>75</v>
      </c>
      <c r="C1718" t="s">
        <v>82</v>
      </c>
      <c r="D1718" t="s">
        <v>413</v>
      </c>
      <c r="E1718" t="s">
        <v>1531</v>
      </c>
      <c r="G1718" t="s">
        <v>31</v>
      </c>
      <c r="H1718" t="s">
        <v>18</v>
      </c>
    </row>
    <row r="1719" spans="1:8" hidden="1" x14ac:dyDescent="0.2">
      <c r="A1719" t="s">
        <v>412</v>
      </c>
      <c r="B1719" t="s">
        <v>75</v>
      </c>
      <c r="C1719" t="s">
        <v>82</v>
      </c>
      <c r="D1719" t="s">
        <v>413</v>
      </c>
      <c r="E1719" t="s">
        <v>12</v>
      </c>
      <c r="F1719">
        <v>28.3</v>
      </c>
      <c r="G1719" t="s">
        <v>31</v>
      </c>
      <c r="H1719" t="s">
        <v>14</v>
      </c>
    </row>
    <row r="1720" spans="1:8" hidden="1" x14ac:dyDescent="0.2">
      <c r="A1720" t="s">
        <v>412</v>
      </c>
      <c r="B1720" t="s">
        <v>75</v>
      </c>
      <c r="C1720" t="s">
        <v>82</v>
      </c>
      <c r="D1720" t="s">
        <v>413</v>
      </c>
      <c r="E1720" t="s">
        <v>21</v>
      </c>
      <c r="F1720">
        <v>70.599999999999994</v>
      </c>
      <c r="G1720" t="s">
        <v>31</v>
      </c>
      <c r="H1720" t="s">
        <v>18</v>
      </c>
    </row>
    <row r="1721" spans="1:8" hidden="1" x14ac:dyDescent="0.2">
      <c r="A1721" t="s">
        <v>412</v>
      </c>
      <c r="B1721" t="s">
        <v>75</v>
      </c>
      <c r="C1721" t="s">
        <v>82</v>
      </c>
      <c r="D1721" t="s">
        <v>413</v>
      </c>
      <c r="E1721" t="s">
        <v>20</v>
      </c>
      <c r="F1721">
        <v>56.5</v>
      </c>
      <c r="G1721" t="s">
        <v>31</v>
      </c>
      <c r="H1721" t="s">
        <v>18</v>
      </c>
    </row>
    <row r="1722" spans="1:8" hidden="1" x14ac:dyDescent="0.2">
      <c r="A1722" t="s">
        <v>412</v>
      </c>
      <c r="B1722" t="s">
        <v>75</v>
      </c>
      <c r="C1722" t="s">
        <v>82</v>
      </c>
      <c r="D1722" t="s">
        <v>413</v>
      </c>
      <c r="E1722" t="s">
        <v>19</v>
      </c>
      <c r="F1722">
        <v>56.5</v>
      </c>
      <c r="G1722" t="s">
        <v>31</v>
      </c>
      <c r="H1722" t="s">
        <v>18</v>
      </c>
    </row>
    <row r="1723" spans="1:8" hidden="1" x14ac:dyDescent="0.2">
      <c r="A1723" t="s">
        <v>412</v>
      </c>
      <c r="B1723" t="s">
        <v>75</v>
      </c>
      <c r="C1723" t="s">
        <v>82</v>
      </c>
      <c r="D1723" t="s">
        <v>413</v>
      </c>
      <c r="E1723" t="s">
        <v>17</v>
      </c>
      <c r="F1723">
        <v>70.599999999999994</v>
      </c>
      <c r="G1723" t="s">
        <v>31</v>
      </c>
      <c r="H1723" t="s">
        <v>18</v>
      </c>
    </row>
    <row r="1724" spans="1:8" hidden="1" x14ac:dyDescent="0.2">
      <c r="A1724" t="s">
        <v>414</v>
      </c>
      <c r="B1724" t="s">
        <v>75</v>
      </c>
      <c r="C1724" t="s">
        <v>82</v>
      </c>
      <c r="D1724" t="s">
        <v>415</v>
      </c>
      <c r="E1724" t="s">
        <v>22</v>
      </c>
      <c r="F1724">
        <v>141.30000000000001</v>
      </c>
      <c r="G1724" t="s">
        <v>31</v>
      </c>
      <c r="H1724" t="s">
        <v>18</v>
      </c>
    </row>
    <row r="1725" spans="1:8" hidden="1" x14ac:dyDescent="0.2">
      <c r="A1725" t="s">
        <v>414</v>
      </c>
      <c r="B1725" t="s">
        <v>75</v>
      </c>
      <c r="C1725" t="s">
        <v>82</v>
      </c>
      <c r="D1725" t="s">
        <v>415</v>
      </c>
      <c r="E1725" t="s">
        <v>1528</v>
      </c>
      <c r="G1725" t="s">
        <v>31</v>
      </c>
      <c r="H1725" t="s">
        <v>18</v>
      </c>
    </row>
    <row r="1726" spans="1:8" hidden="1" x14ac:dyDescent="0.2">
      <c r="A1726" t="s">
        <v>414</v>
      </c>
      <c r="B1726" t="s">
        <v>75</v>
      </c>
      <c r="C1726" t="s">
        <v>82</v>
      </c>
      <c r="D1726" t="s">
        <v>415</v>
      </c>
      <c r="E1726" t="s">
        <v>1529</v>
      </c>
      <c r="G1726" t="s">
        <v>31</v>
      </c>
      <c r="H1726" t="s">
        <v>18</v>
      </c>
    </row>
    <row r="1727" spans="1:8" hidden="1" x14ac:dyDescent="0.2">
      <c r="A1727" t="s">
        <v>414</v>
      </c>
      <c r="B1727" t="s">
        <v>75</v>
      </c>
      <c r="C1727" t="s">
        <v>82</v>
      </c>
      <c r="D1727" t="s">
        <v>415</v>
      </c>
      <c r="E1727" t="s">
        <v>1530</v>
      </c>
      <c r="G1727" t="s">
        <v>31</v>
      </c>
      <c r="H1727" t="s">
        <v>18</v>
      </c>
    </row>
    <row r="1728" spans="1:8" hidden="1" x14ac:dyDescent="0.2">
      <c r="A1728" t="s">
        <v>414</v>
      </c>
      <c r="B1728" t="s">
        <v>75</v>
      </c>
      <c r="C1728" t="s">
        <v>82</v>
      </c>
      <c r="D1728" t="s">
        <v>415</v>
      </c>
      <c r="E1728" t="s">
        <v>1531</v>
      </c>
      <c r="G1728" t="s">
        <v>31</v>
      </c>
      <c r="H1728" t="s">
        <v>18</v>
      </c>
    </row>
    <row r="1729" spans="1:8" hidden="1" x14ac:dyDescent="0.2">
      <c r="A1729" t="s">
        <v>414</v>
      </c>
      <c r="B1729" t="s">
        <v>75</v>
      </c>
      <c r="C1729" t="s">
        <v>82</v>
      </c>
      <c r="D1729" t="s">
        <v>415</v>
      </c>
      <c r="E1729" t="s">
        <v>12</v>
      </c>
      <c r="F1729">
        <v>28.3</v>
      </c>
      <c r="G1729" t="s">
        <v>31</v>
      </c>
      <c r="H1729" t="s">
        <v>14</v>
      </c>
    </row>
    <row r="1730" spans="1:8" hidden="1" x14ac:dyDescent="0.2">
      <c r="A1730" t="s">
        <v>414</v>
      </c>
      <c r="B1730" t="s">
        <v>75</v>
      </c>
      <c r="C1730" t="s">
        <v>82</v>
      </c>
      <c r="D1730" t="s">
        <v>415</v>
      </c>
      <c r="E1730" t="s">
        <v>21</v>
      </c>
      <c r="F1730">
        <v>70.599999999999994</v>
      </c>
      <c r="G1730" t="s">
        <v>31</v>
      </c>
      <c r="H1730" t="s">
        <v>18</v>
      </c>
    </row>
    <row r="1731" spans="1:8" hidden="1" x14ac:dyDescent="0.2">
      <c r="A1731" t="s">
        <v>414</v>
      </c>
      <c r="B1731" t="s">
        <v>75</v>
      </c>
      <c r="C1731" t="s">
        <v>82</v>
      </c>
      <c r="D1731" t="s">
        <v>415</v>
      </c>
      <c r="E1731" t="s">
        <v>20</v>
      </c>
      <c r="F1731">
        <v>56.5</v>
      </c>
      <c r="G1731" t="s">
        <v>31</v>
      </c>
      <c r="H1731" t="s">
        <v>18</v>
      </c>
    </row>
    <row r="1732" spans="1:8" hidden="1" x14ac:dyDescent="0.2">
      <c r="A1732" t="s">
        <v>414</v>
      </c>
      <c r="B1732" t="s">
        <v>75</v>
      </c>
      <c r="C1732" t="s">
        <v>82</v>
      </c>
      <c r="D1732" t="s">
        <v>415</v>
      </c>
      <c r="E1732" t="s">
        <v>19</v>
      </c>
      <c r="F1732">
        <v>56.5</v>
      </c>
      <c r="G1732" t="s">
        <v>31</v>
      </c>
      <c r="H1732" t="s">
        <v>18</v>
      </c>
    </row>
    <row r="1733" spans="1:8" hidden="1" x14ac:dyDescent="0.2">
      <c r="A1733" t="s">
        <v>414</v>
      </c>
      <c r="B1733" t="s">
        <v>75</v>
      </c>
      <c r="C1733" t="s">
        <v>82</v>
      </c>
      <c r="D1733" t="s">
        <v>415</v>
      </c>
      <c r="E1733" t="s">
        <v>17</v>
      </c>
      <c r="F1733">
        <v>70.599999999999994</v>
      </c>
      <c r="G1733" t="s">
        <v>31</v>
      </c>
      <c r="H1733" t="s">
        <v>18</v>
      </c>
    </row>
    <row r="1734" spans="1:8" hidden="1" x14ac:dyDescent="0.2">
      <c r="A1734" t="s">
        <v>416</v>
      </c>
      <c r="B1734" t="s">
        <v>63</v>
      </c>
      <c r="C1734" t="s">
        <v>65</v>
      </c>
      <c r="D1734" t="s">
        <v>417</v>
      </c>
      <c r="E1734" t="s">
        <v>22</v>
      </c>
      <c r="F1734">
        <v>186.7</v>
      </c>
      <c r="G1734" t="s">
        <v>26</v>
      </c>
      <c r="H1734" t="s">
        <v>18</v>
      </c>
    </row>
    <row r="1735" spans="1:8" hidden="1" x14ac:dyDescent="0.2">
      <c r="A1735" t="s">
        <v>416</v>
      </c>
      <c r="B1735" t="s">
        <v>63</v>
      </c>
      <c r="C1735" t="s">
        <v>65</v>
      </c>
      <c r="D1735" t="s">
        <v>417</v>
      </c>
      <c r="E1735" t="s">
        <v>1528</v>
      </c>
      <c r="G1735" t="s">
        <v>26</v>
      </c>
      <c r="H1735" t="s">
        <v>18</v>
      </c>
    </row>
    <row r="1736" spans="1:8" hidden="1" x14ac:dyDescent="0.2">
      <c r="A1736" t="s">
        <v>416</v>
      </c>
      <c r="B1736" t="s">
        <v>63</v>
      </c>
      <c r="C1736" t="s">
        <v>65</v>
      </c>
      <c r="D1736" t="s">
        <v>417</v>
      </c>
      <c r="E1736" t="s">
        <v>1529</v>
      </c>
      <c r="G1736" t="s">
        <v>26</v>
      </c>
      <c r="H1736" t="s">
        <v>18</v>
      </c>
    </row>
    <row r="1737" spans="1:8" hidden="1" x14ac:dyDescent="0.2">
      <c r="A1737" t="s">
        <v>416</v>
      </c>
      <c r="B1737" t="s">
        <v>63</v>
      </c>
      <c r="C1737" t="s">
        <v>65</v>
      </c>
      <c r="D1737" t="s">
        <v>417</v>
      </c>
      <c r="E1737" t="s">
        <v>1530</v>
      </c>
      <c r="G1737" t="s">
        <v>26</v>
      </c>
      <c r="H1737" t="s">
        <v>18</v>
      </c>
    </row>
    <row r="1738" spans="1:8" hidden="1" x14ac:dyDescent="0.2">
      <c r="A1738" t="s">
        <v>416</v>
      </c>
      <c r="B1738" t="s">
        <v>63</v>
      </c>
      <c r="C1738" t="s">
        <v>65</v>
      </c>
      <c r="D1738" t="s">
        <v>417</v>
      </c>
      <c r="E1738" t="s">
        <v>1531</v>
      </c>
      <c r="G1738" t="s">
        <v>26</v>
      </c>
      <c r="H1738" t="s">
        <v>18</v>
      </c>
    </row>
    <row r="1739" spans="1:8" hidden="1" x14ac:dyDescent="0.2">
      <c r="A1739" t="s">
        <v>416</v>
      </c>
      <c r="B1739" t="s">
        <v>63</v>
      </c>
      <c r="C1739" t="s">
        <v>65</v>
      </c>
      <c r="D1739" t="s">
        <v>417</v>
      </c>
      <c r="E1739" t="s">
        <v>12</v>
      </c>
      <c r="F1739">
        <v>37.299999999999997</v>
      </c>
      <c r="G1739" t="s">
        <v>26</v>
      </c>
      <c r="H1739" t="s">
        <v>14</v>
      </c>
    </row>
    <row r="1740" spans="1:8" hidden="1" x14ac:dyDescent="0.2">
      <c r="A1740" t="s">
        <v>416</v>
      </c>
      <c r="B1740" t="s">
        <v>63</v>
      </c>
      <c r="C1740" t="s">
        <v>65</v>
      </c>
      <c r="D1740" t="s">
        <v>417</v>
      </c>
      <c r="E1740" t="s">
        <v>21</v>
      </c>
      <c r="F1740">
        <v>93.4</v>
      </c>
      <c r="G1740" t="s">
        <v>26</v>
      </c>
      <c r="H1740" t="s">
        <v>18</v>
      </c>
    </row>
    <row r="1741" spans="1:8" hidden="1" x14ac:dyDescent="0.2">
      <c r="A1741" t="s">
        <v>416</v>
      </c>
      <c r="B1741" t="s">
        <v>63</v>
      </c>
      <c r="C1741" t="s">
        <v>65</v>
      </c>
      <c r="D1741" t="s">
        <v>417</v>
      </c>
      <c r="E1741" t="s">
        <v>20</v>
      </c>
      <c r="F1741">
        <v>74.7</v>
      </c>
      <c r="G1741" t="s">
        <v>26</v>
      </c>
      <c r="H1741" t="s">
        <v>18</v>
      </c>
    </row>
    <row r="1742" spans="1:8" hidden="1" x14ac:dyDescent="0.2">
      <c r="A1742" t="s">
        <v>416</v>
      </c>
      <c r="B1742" t="s">
        <v>63</v>
      </c>
      <c r="C1742" t="s">
        <v>65</v>
      </c>
      <c r="D1742" t="s">
        <v>417</v>
      </c>
      <c r="E1742" t="s">
        <v>19</v>
      </c>
      <c r="F1742">
        <v>74.7</v>
      </c>
      <c r="G1742" t="s">
        <v>26</v>
      </c>
      <c r="H1742" t="s">
        <v>18</v>
      </c>
    </row>
    <row r="1743" spans="1:8" hidden="1" x14ac:dyDescent="0.2">
      <c r="A1743" t="s">
        <v>416</v>
      </c>
      <c r="B1743" t="s">
        <v>63</v>
      </c>
      <c r="C1743" t="s">
        <v>65</v>
      </c>
      <c r="D1743" t="s">
        <v>417</v>
      </c>
      <c r="E1743" t="s">
        <v>17</v>
      </c>
      <c r="F1743">
        <v>93.4</v>
      </c>
      <c r="G1743" t="s">
        <v>26</v>
      </c>
      <c r="H1743" t="s">
        <v>18</v>
      </c>
    </row>
    <row r="1744" spans="1:8" hidden="1" x14ac:dyDescent="0.2">
      <c r="A1744" t="s">
        <v>418</v>
      </c>
      <c r="B1744" t="s">
        <v>75</v>
      </c>
      <c r="C1744" t="s">
        <v>76</v>
      </c>
      <c r="D1744" t="s">
        <v>419</v>
      </c>
      <c r="E1744" t="s">
        <v>22</v>
      </c>
      <c r="G1744" t="s">
        <v>31</v>
      </c>
      <c r="H1744" t="s">
        <v>18</v>
      </c>
    </row>
    <row r="1745" spans="1:8" hidden="1" x14ac:dyDescent="0.2">
      <c r="A1745" t="s">
        <v>418</v>
      </c>
      <c r="B1745" t="s">
        <v>75</v>
      </c>
      <c r="C1745" t="s">
        <v>76</v>
      </c>
      <c r="D1745" t="s">
        <v>419</v>
      </c>
      <c r="E1745" t="s">
        <v>1528</v>
      </c>
      <c r="G1745" t="s">
        <v>31</v>
      </c>
      <c r="H1745" t="s">
        <v>18</v>
      </c>
    </row>
    <row r="1746" spans="1:8" hidden="1" x14ac:dyDescent="0.2">
      <c r="A1746" t="s">
        <v>418</v>
      </c>
      <c r="B1746" t="s">
        <v>75</v>
      </c>
      <c r="C1746" t="s">
        <v>76</v>
      </c>
      <c r="D1746" t="s">
        <v>419</v>
      </c>
      <c r="E1746" t="s">
        <v>1529</v>
      </c>
      <c r="G1746" t="s">
        <v>31</v>
      </c>
      <c r="H1746" t="s">
        <v>18</v>
      </c>
    </row>
    <row r="1747" spans="1:8" hidden="1" x14ac:dyDescent="0.2">
      <c r="A1747" t="s">
        <v>418</v>
      </c>
      <c r="B1747" t="s">
        <v>75</v>
      </c>
      <c r="C1747" t="s">
        <v>76</v>
      </c>
      <c r="D1747" t="s">
        <v>419</v>
      </c>
      <c r="E1747" t="s">
        <v>1530</v>
      </c>
      <c r="G1747" t="s">
        <v>31</v>
      </c>
      <c r="H1747" t="s">
        <v>18</v>
      </c>
    </row>
    <row r="1748" spans="1:8" hidden="1" x14ac:dyDescent="0.2">
      <c r="A1748" t="s">
        <v>418</v>
      </c>
      <c r="B1748" t="s">
        <v>75</v>
      </c>
      <c r="C1748" t="s">
        <v>76</v>
      </c>
      <c r="D1748" t="s">
        <v>419</v>
      </c>
      <c r="E1748" t="s">
        <v>1531</v>
      </c>
      <c r="G1748" t="s">
        <v>31</v>
      </c>
      <c r="H1748" t="s">
        <v>18</v>
      </c>
    </row>
    <row r="1749" spans="1:8" hidden="1" x14ac:dyDescent="0.2">
      <c r="A1749" t="s">
        <v>418</v>
      </c>
      <c r="B1749" t="s">
        <v>75</v>
      </c>
      <c r="C1749" t="s">
        <v>76</v>
      </c>
      <c r="D1749" t="s">
        <v>419</v>
      </c>
      <c r="E1749" t="s">
        <v>12</v>
      </c>
      <c r="G1749" t="s">
        <v>31</v>
      </c>
      <c r="H1749" t="s">
        <v>14</v>
      </c>
    </row>
    <row r="1750" spans="1:8" hidden="1" x14ac:dyDescent="0.2">
      <c r="A1750" t="s">
        <v>418</v>
      </c>
      <c r="B1750" t="s">
        <v>75</v>
      </c>
      <c r="C1750" t="s">
        <v>76</v>
      </c>
      <c r="D1750" t="s">
        <v>419</v>
      </c>
      <c r="E1750" t="s">
        <v>21</v>
      </c>
      <c r="G1750" t="s">
        <v>31</v>
      </c>
      <c r="H1750" t="s">
        <v>18</v>
      </c>
    </row>
    <row r="1751" spans="1:8" hidden="1" x14ac:dyDescent="0.2">
      <c r="A1751" t="s">
        <v>418</v>
      </c>
      <c r="B1751" t="s">
        <v>75</v>
      </c>
      <c r="C1751" t="s">
        <v>76</v>
      </c>
      <c r="D1751" t="s">
        <v>419</v>
      </c>
      <c r="E1751" t="s">
        <v>20</v>
      </c>
      <c r="G1751" t="s">
        <v>31</v>
      </c>
      <c r="H1751" t="s">
        <v>18</v>
      </c>
    </row>
    <row r="1752" spans="1:8" hidden="1" x14ac:dyDescent="0.2">
      <c r="A1752" t="s">
        <v>418</v>
      </c>
      <c r="B1752" t="s">
        <v>75</v>
      </c>
      <c r="C1752" t="s">
        <v>76</v>
      </c>
      <c r="D1752" t="s">
        <v>419</v>
      </c>
      <c r="E1752" t="s">
        <v>19</v>
      </c>
      <c r="G1752" t="s">
        <v>31</v>
      </c>
      <c r="H1752" t="s">
        <v>18</v>
      </c>
    </row>
    <row r="1753" spans="1:8" hidden="1" x14ac:dyDescent="0.2">
      <c r="A1753" t="s">
        <v>418</v>
      </c>
      <c r="B1753" t="s">
        <v>75</v>
      </c>
      <c r="C1753" t="s">
        <v>76</v>
      </c>
      <c r="D1753" t="s">
        <v>419</v>
      </c>
      <c r="E1753" t="s">
        <v>17</v>
      </c>
      <c r="G1753" t="s">
        <v>31</v>
      </c>
      <c r="H1753" t="s">
        <v>18</v>
      </c>
    </row>
    <row r="1754" spans="1:8" hidden="1" x14ac:dyDescent="0.2">
      <c r="A1754" t="s">
        <v>420</v>
      </c>
      <c r="B1754" t="s">
        <v>75</v>
      </c>
      <c r="C1754" t="s">
        <v>80</v>
      </c>
      <c r="D1754" t="s">
        <v>421</v>
      </c>
      <c r="E1754" t="s">
        <v>22</v>
      </c>
      <c r="F1754">
        <v>160</v>
      </c>
      <c r="G1754" t="s">
        <v>31</v>
      </c>
      <c r="H1754" t="s">
        <v>18</v>
      </c>
    </row>
    <row r="1755" spans="1:8" hidden="1" x14ac:dyDescent="0.2">
      <c r="A1755" t="s">
        <v>420</v>
      </c>
      <c r="B1755" t="s">
        <v>75</v>
      </c>
      <c r="C1755" t="s">
        <v>80</v>
      </c>
      <c r="D1755" t="s">
        <v>421</v>
      </c>
      <c r="E1755" t="s">
        <v>1528</v>
      </c>
      <c r="G1755" t="s">
        <v>31</v>
      </c>
      <c r="H1755" t="s">
        <v>18</v>
      </c>
    </row>
    <row r="1756" spans="1:8" hidden="1" x14ac:dyDescent="0.2">
      <c r="A1756" t="s">
        <v>420</v>
      </c>
      <c r="B1756" t="s">
        <v>75</v>
      </c>
      <c r="C1756" t="s">
        <v>80</v>
      </c>
      <c r="D1756" t="s">
        <v>421</v>
      </c>
      <c r="E1756" t="s">
        <v>1529</v>
      </c>
      <c r="G1756" t="s">
        <v>31</v>
      </c>
      <c r="H1756" t="s">
        <v>18</v>
      </c>
    </row>
    <row r="1757" spans="1:8" hidden="1" x14ac:dyDescent="0.2">
      <c r="A1757" t="s">
        <v>420</v>
      </c>
      <c r="B1757" t="s">
        <v>75</v>
      </c>
      <c r="C1757" t="s">
        <v>80</v>
      </c>
      <c r="D1757" t="s">
        <v>421</v>
      </c>
      <c r="E1757" t="s">
        <v>1530</v>
      </c>
      <c r="G1757" t="s">
        <v>31</v>
      </c>
      <c r="H1757" t="s">
        <v>18</v>
      </c>
    </row>
    <row r="1758" spans="1:8" hidden="1" x14ac:dyDescent="0.2">
      <c r="A1758" t="s">
        <v>420</v>
      </c>
      <c r="B1758" t="s">
        <v>75</v>
      </c>
      <c r="C1758" t="s">
        <v>80</v>
      </c>
      <c r="D1758" t="s">
        <v>421</v>
      </c>
      <c r="E1758" t="s">
        <v>1531</v>
      </c>
      <c r="G1758" t="s">
        <v>31</v>
      </c>
      <c r="H1758" t="s">
        <v>18</v>
      </c>
    </row>
    <row r="1759" spans="1:8" hidden="1" x14ac:dyDescent="0.2">
      <c r="A1759" t="s">
        <v>420</v>
      </c>
      <c r="B1759" t="s">
        <v>75</v>
      </c>
      <c r="C1759" t="s">
        <v>80</v>
      </c>
      <c r="D1759" t="s">
        <v>421</v>
      </c>
      <c r="E1759" t="s">
        <v>12</v>
      </c>
      <c r="F1759">
        <v>32</v>
      </c>
      <c r="G1759" t="s">
        <v>31</v>
      </c>
      <c r="H1759" t="s">
        <v>14</v>
      </c>
    </row>
    <row r="1760" spans="1:8" hidden="1" x14ac:dyDescent="0.2">
      <c r="A1760" t="s">
        <v>420</v>
      </c>
      <c r="B1760" t="s">
        <v>75</v>
      </c>
      <c r="C1760" t="s">
        <v>80</v>
      </c>
      <c r="D1760" t="s">
        <v>421</v>
      </c>
      <c r="E1760" t="s">
        <v>21</v>
      </c>
      <c r="F1760">
        <v>80</v>
      </c>
      <c r="G1760" t="s">
        <v>31</v>
      </c>
      <c r="H1760" t="s">
        <v>18</v>
      </c>
    </row>
    <row r="1761" spans="1:8" hidden="1" x14ac:dyDescent="0.2">
      <c r="A1761" t="s">
        <v>420</v>
      </c>
      <c r="B1761" t="s">
        <v>75</v>
      </c>
      <c r="C1761" t="s">
        <v>80</v>
      </c>
      <c r="D1761" t="s">
        <v>421</v>
      </c>
      <c r="E1761" t="s">
        <v>20</v>
      </c>
      <c r="F1761">
        <v>64</v>
      </c>
      <c r="G1761" t="s">
        <v>31</v>
      </c>
      <c r="H1761" t="s">
        <v>18</v>
      </c>
    </row>
    <row r="1762" spans="1:8" hidden="1" x14ac:dyDescent="0.2">
      <c r="A1762" t="s">
        <v>420</v>
      </c>
      <c r="B1762" t="s">
        <v>75</v>
      </c>
      <c r="C1762" t="s">
        <v>80</v>
      </c>
      <c r="D1762" t="s">
        <v>421</v>
      </c>
      <c r="E1762" t="s">
        <v>19</v>
      </c>
      <c r="F1762">
        <v>64</v>
      </c>
      <c r="G1762" t="s">
        <v>31</v>
      </c>
      <c r="H1762" t="s">
        <v>18</v>
      </c>
    </row>
    <row r="1763" spans="1:8" hidden="1" x14ac:dyDescent="0.2">
      <c r="A1763" t="s">
        <v>420</v>
      </c>
      <c r="B1763" t="s">
        <v>75</v>
      </c>
      <c r="C1763" t="s">
        <v>80</v>
      </c>
      <c r="D1763" t="s">
        <v>421</v>
      </c>
      <c r="E1763" t="s">
        <v>17</v>
      </c>
      <c r="F1763">
        <v>80</v>
      </c>
      <c r="G1763" t="s">
        <v>31</v>
      </c>
      <c r="H1763" t="s">
        <v>18</v>
      </c>
    </row>
    <row r="1764" spans="1:8" hidden="1" x14ac:dyDescent="0.2">
      <c r="A1764" t="s">
        <v>422</v>
      </c>
      <c r="B1764" t="s">
        <v>75</v>
      </c>
      <c r="C1764" t="s">
        <v>78</v>
      </c>
      <c r="D1764" t="s">
        <v>423</v>
      </c>
      <c r="E1764" t="s">
        <v>22</v>
      </c>
      <c r="G1764" t="s">
        <v>31</v>
      </c>
      <c r="H1764" t="s">
        <v>18</v>
      </c>
    </row>
    <row r="1765" spans="1:8" hidden="1" x14ac:dyDescent="0.2">
      <c r="A1765" t="s">
        <v>422</v>
      </c>
      <c r="B1765" t="s">
        <v>75</v>
      </c>
      <c r="C1765" t="s">
        <v>78</v>
      </c>
      <c r="D1765" t="s">
        <v>423</v>
      </c>
      <c r="E1765" t="s">
        <v>1528</v>
      </c>
      <c r="G1765" t="s">
        <v>31</v>
      </c>
      <c r="H1765" t="s">
        <v>18</v>
      </c>
    </row>
    <row r="1766" spans="1:8" hidden="1" x14ac:dyDescent="0.2">
      <c r="A1766" t="s">
        <v>422</v>
      </c>
      <c r="B1766" t="s">
        <v>75</v>
      </c>
      <c r="C1766" t="s">
        <v>78</v>
      </c>
      <c r="D1766" t="s">
        <v>423</v>
      </c>
      <c r="E1766" t="s">
        <v>1529</v>
      </c>
      <c r="G1766" t="s">
        <v>31</v>
      </c>
      <c r="H1766" t="s">
        <v>18</v>
      </c>
    </row>
    <row r="1767" spans="1:8" hidden="1" x14ac:dyDescent="0.2">
      <c r="A1767" t="s">
        <v>422</v>
      </c>
      <c r="B1767" t="s">
        <v>75</v>
      </c>
      <c r="C1767" t="s">
        <v>78</v>
      </c>
      <c r="D1767" t="s">
        <v>423</v>
      </c>
      <c r="E1767" t="s">
        <v>1530</v>
      </c>
      <c r="G1767" t="s">
        <v>31</v>
      </c>
      <c r="H1767" t="s">
        <v>18</v>
      </c>
    </row>
    <row r="1768" spans="1:8" hidden="1" x14ac:dyDescent="0.2">
      <c r="A1768" t="s">
        <v>422</v>
      </c>
      <c r="B1768" t="s">
        <v>75</v>
      </c>
      <c r="C1768" t="s">
        <v>78</v>
      </c>
      <c r="D1768" t="s">
        <v>423</v>
      </c>
      <c r="E1768" t="s">
        <v>1531</v>
      </c>
      <c r="G1768" t="s">
        <v>31</v>
      </c>
      <c r="H1768" t="s">
        <v>18</v>
      </c>
    </row>
    <row r="1769" spans="1:8" hidden="1" x14ac:dyDescent="0.2">
      <c r="A1769" t="s">
        <v>422</v>
      </c>
      <c r="B1769" t="s">
        <v>75</v>
      </c>
      <c r="C1769" t="s">
        <v>78</v>
      </c>
      <c r="D1769" t="s">
        <v>423</v>
      </c>
      <c r="E1769" t="s">
        <v>12</v>
      </c>
      <c r="G1769" t="s">
        <v>31</v>
      </c>
      <c r="H1769" t="s">
        <v>14</v>
      </c>
    </row>
    <row r="1770" spans="1:8" hidden="1" x14ac:dyDescent="0.2">
      <c r="A1770" t="s">
        <v>422</v>
      </c>
      <c r="B1770" t="s">
        <v>75</v>
      </c>
      <c r="C1770" t="s">
        <v>78</v>
      </c>
      <c r="D1770" t="s">
        <v>423</v>
      </c>
      <c r="E1770" t="s">
        <v>21</v>
      </c>
      <c r="G1770" t="s">
        <v>31</v>
      </c>
      <c r="H1770" t="s">
        <v>18</v>
      </c>
    </row>
    <row r="1771" spans="1:8" hidden="1" x14ac:dyDescent="0.2">
      <c r="A1771" t="s">
        <v>422</v>
      </c>
      <c r="B1771" t="s">
        <v>75</v>
      </c>
      <c r="C1771" t="s">
        <v>78</v>
      </c>
      <c r="D1771" t="s">
        <v>423</v>
      </c>
      <c r="E1771" t="s">
        <v>20</v>
      </c>
      <c r="G1771" t="s">
        <v>31</v>
      </c>
      <c r="H1771" t="s">
        <v>18</v>
      </c>
    </row>
    <row r="1772" spans="1:8" hidden="1" x14ac:dyDescent="0.2">
      <c r="A1772" t="s">
        <v>422</v>
      </c>
      <c r="B1772" t="s">
        <v>75</v>
      </c>
      <c r="C1772" t="s">
        <v>78</v>
      </c>
      <c r="D1772" t="s">
        <v>423</v>
      </c>
      <c r="E1772" t="s">
        <v>19</v>
      </c>
      <c r="G1772" t="s">
        <v>31</v>
      </c>
      <c r="H1772" t="s">
        <v>18</v>
      </c>
    </row>
    <row r="1773" spans="1:8" hidden="1" x14ac:dyDescent="0.2">
      <c r="A1773" t="s">
        <v>422</v>
      </c>
      <c r="B1773" t="s">
        <v>75</v>
      </c>
      <c r="C1773" t="s">
        <v>78</v>
      </c>
      <c r="D1773" t="s">
        <v>423</v>
      </c>
      <c r="E1773" t="s">
        <v>17</v>
      </c>
      <c r="G1773" t="s">
        <v>31</v>
      </c>
      <c r="H1773" t="s">
        <v>18</v>
      </c>
    </row>
    <row r="1774" spans="1:8" hidden="1" x14ac:dyDescent="0.2">
      <c r="A1774" t="s">
        <v>424</v>
      </c>
      <c r="B1774" t="s">
        <v>75</v>
      </c>
      <c r="C1774" t="s">
        <v>85</v>
      </c>
      <c r="D1774" t="s">
        <v>425</v>
      </c>
      <c r="E1774" t="s">
        <v>22</v>
      </c>
      <c r="G1774" t="s">
        <v>31</v>
      </c>
      <c r="H1774" t="s">
        <v>18</v>
      </c>
    </row>
    <row r="1775" spans="1:8" hidden="1" x14ac:dyDescent="0.2">
      <c r="A1775" t="s">
        <v>424</v>
      </c>
      <c r="B1775" t="s">
        <v>75</v>
      </c>
      <c r="C1775" t="s">
        <v>85</v>
      </c>
      <c r="D1775" t="s">
        <v>425</v>
      </c>
      <c r="E1775" t="s">
        <v>1528</v>
      </c>
      <c r="G1775" t="s">
        <v>31</v>
      </c>
      <c r="H1775" t="s">
        <v>18</v>
      </c>
    </row>
    <row r="1776" spans="1:8" hidden="1" x14ac:dyDescent="0.2">
      <c r="A1776" t="s">
        <v>424</v>
      </c>
      <c r="B1776" t="s">
        <v>75</v>
      </c>
      <c r="C1776" t="s">
        <v>85</v>
      </c>
      <c r="D1776" t="s">
        <v>425</v>
      </c>
      <c r="E1776" t="s">
        <v>1529</v>
      </c>
      <c r="G1776" t="s">
        <v>31</v>
      </c>
      <c r="H1776" t="s">
        <v>18</v>
      </c>
    </row>
    <row r="1777" spans="1:8" hidden="1" x14ac:dyDescent="0.2">
      <c r="A1777" t="s">
        <v>424</v>
      </c>
      <c r="B1777" t="s">
        <v>75</v>
      </c>
      <c r="C1777" t="s">
        <v>85</v>
      </c>
      <c r="D1777" t="s">
        <v>425</v>
      </c>
      <c r="E1777" t="s">
        <v>1530</v>
      </c>
      <c r="G1777" t="s">
        <v>31</v>
      </c>
      <c r="H1777" t="s">
        <v>18</v>
      </c>
    </row>
    <row r="1778" spans="1:8" hidden="1" x14ac:dyDescent="0.2">
      <c r="A1778" t="s">
        <v>424</v>
      </c>
      <c r="B1778" t="s">
        <v>75</v>
      </c>
      <c r="C1778" t="s">
        <v>85</v>
      </c>
      <c r="D1778" t="s">
        <v>425</v>
      </c>
      <c r="E1778" t="s">
        <v>1531</v>
      </c>
      <c r="G1778" t="s">
        <v>31</v>
      </c>
      <c r="H1778" t="s">
        <v>18</v>
      </c>
    </row>
    <row r="1779" spans="1:8" hidden="1" x14ac:dyDescent="0.2">
      <c r="A1779" t="s">
        <v>424</v>
      </c>
      <c r="B1779" t="s">
        <v>75</v>
      </c>
      <c r="C1779" t="s">
        <v>85</v>
      </c>
      <c r="D1779" t="s">
        <v>425</v>
      </c>
      <c r="E1779" t="s">
        <v>12</v>
      </c>
      <c r="G1779" t="s">
        <v>31</v>
      </c>
      <c r="H1779" t="s">
        <v>14</v>
      </c>
    </row>
    <row r="1780" spans="1:8" hidden="1" x14ac:dyDescent="0.2">
      <c r="A1780" t="s">
        <v>424</v>
      </c>
      <c r="B1780" t="s">
        <v>75</v>
      </c>
      <c r="C1780" t="s">
        <v>85</v>
      </c>
      <c r="D1780" t="s">
        <v>425</v>
      </c>
      <c r="E1780" t="s">
        <v>21</v>
      </c>
      <c r="G1780" t="s">
        <v>31</v>
      </c>
      <c r="H1780" t="s">
        <v>18</v>
      </c>
    </row>
    <row r="1781" spans="1:8" hidden="1" x14ac:dyDescent="0.2">
      <c r="A1781" t="s">
        <v>424</v>
      </c>
      <c r="B1781" t="s">
        <v>75</v>
      </c>
      <c r="C1781" t="s">
        <v>85</v>
      </c>
      <c r="D1781" t="s">
        <v>425</v>
      </c>
      <c r="E1781" t="s">
        <v>20</v>
      </c>
      <c r="G1781" t="s">
        <v>31</v>
      </c>
      <c r="H1781" t="s">
        <v>18</v>
      </c>
    </row>
    <row r="1782" spans="1:8" hidden="1" x14ac:dyDescent="0.2">
      <c r="A1782" t="s">
        <v>424</v>
      </c>
      <c r="B1782" t="s">
        <v>75</v>
      </c>
      <c r="C1782" t="s">
        <v>85</v>
      </c>
      <c r="D1782" t="s">
        <v>425</v>
      </c>
      <c r="E1782" t="s">
        <v>19</v>
      </c>
      <c r="G1782" t="s">
        <v>31</v>
      </c>
      <c r="H1782" t="s">
        <v>18</v>
      </c>
    </row>
    <row r="1783" spans="1:8" hidden="1" x14ac:dyDescent="0.2">
      <c r="A1783" t="s">
        <v>424</v>
      </c>
      <c r="B1783" t="s">
        <v>75</v>
      </c>
      <c r="C1783" t="s">
        <v>85</v>
      </c>
      <c r="D1783" t="s">
        <v>425</v>
      </c>
      <c r="E1783" t="s">
        <v>17</v>
      </c>
      <c r="G1783" t="s">
        <v>31</v>
      </c>
      <c r="H1783" t="s">
        <v>18</v>
      </c>
    </row>
    <row r="1784" spans="1:8" hidden="1" x14ac:dyDescent="0.2">
      <c r="A1784" t="s">
        <v>426</v>
      </c>
      <c r="B1784" t="s">
        <v>56</v>
      </c>
      <c r="C1784" t="s">
        <v>62</v>
      </c>
      <c r="D1784" t="s">
        <v>427</v>
      </c>
      <c r="E1784" t="s">
        <v>22</v>
      </c>
      <c r="F1784">
        <v>533.29999999999995</v>
      </c>
      <c r="G1784" t="s">
        <v>26</v>
      </c>
      <c r="H1784" t="s">
        <v>18</v>
      </c>
    </row>
    <row r="1785" spans="1:8" hidden="1" x14ac:dyDescent="0.2">
      <c r="A1785" t="s">
        <v>426</v>
      </c>
      <c r="B1785" t="s">
        <v>56</v>
      </c>
      <c r="C1785" t="s">
        <v>62</v>
      </c>
      <c r="D1785" t="s">
        <v>427</v>
      </c>
      <c r="E1785" t="s">
        <v>1528</v>
      </c>
      <c r="G1785" t="s">
        <v>26</v>
      </c>
      <c r="H1785" t="s">
        <v>18</v>
      </c>
    </row>
    <row r="1786" spans="1:8" hidden="1" x14ac:dyDescent="0.2">
      <c r="A1786" t="s">
        <v>426</v>
      </c>
      <c r="B1786" t="s">
        <v>56</v>
      </c>
      <c r="C1786" t="s">
        <v>62</v>
      </c>
      <c r="D1786" t="s">
        <v>427</v>
      </c>
      <c r="E1786" t="s">
        <v>1529</v>
      </c>
      <c r="G1786" t="s">
        <v>26</v>
      </c>
      <c r="H1786" t="s">
        <v>18</v>
      </c>
    </row>
    <row r="1787" spans="1:8" hidden="1" x14ac:dyDescent="0.2">
      <c r="A1787" t="s">
        <v>426</v>
      </c>
      <c r="B1787" t="s">
        <v>56</v>
      </c>
      <c r="C1787" t="s">
        <v>62</v>
      </c>
      <c r="D1787" t="s">
        <v>427</v>
      </c>
      <c r="E1787" t="s">
        <v>1530</v>
      </c>
      <c r="G1787" t="s">
        <v>26</v>
      </c>
      <c r="H1787" t="s">
        <v>18</v>
      </c>
    </row>
    <row r="1788" spans="1:8" hidden="1" x14ac:dyDescent="0.2">
      <c r="A1788" t="s">
        <v>426</v>
      </c>
      <c r="B1788" t="s">
        <v>56</v>
      </c>
      <c r="C1788" t="s">
        <v>62</v>
      </c>
      <c r="D1788" t="s">
        <v>427</v>
      </c>
      <c r="E1788" t="s">
        <v>1531</v>
      </c>
      <c r="G1788" t="s">
        <v>26</v>
      </c>
      <c r="H1788" t="s">
        <v>18</v>
      </c>
    </row>
    <row r="1789" spans="1:8" hidden="1" x14ac:dyDescent="0.2">
      <c r="A1789" t="s">
        <v>426</v>
      </c>
      <c r="B1789" t="s">
        <v>56</v>
      </c>
      <c r="C1789" t="s">
        <v>62</v>
      </c>
      <c r="D1789" t="s">
        <v>427</v>
      </c>
      <c r="E1789" t="s">
        <v>12</v>
      </c>
      <c r="F1789">
        <v>106.7</v>
      </c>
      <c r="G1789" t="s">
        <v>26</v>
      </c>
      <c r="H1789" t="s">
        <v>14</v>
      </c>
    </row>
    <row r="1790" spans="1:8" hidden="1" x14ac:dyDescent="0.2">
      <c r="A1790" t="s">
        <v>426</v>
      </c>
      <c r="B1790" t="s">
        <v>56</v>
      </c>
      <c r="C1790" t="s">
        <v>62</v>
      </c>
      <c r="D1790" t="s">
        <v>427</v>
      </c>
      <c r="E1790" t="s">
        <v>21</v>
      </c>
      <c r="F1790">
        <v>266.60000000000002</v>
      </c>
      <c r="G1790" t="s">
        <v>26</v>
      </c>
      <c r="H1790" t="s">
        <v>18</v>
      </c>
    </row>
    <row r="1791" spans="1:8" hidden="1" x14ac:dyDescent="0.2">
      <c r="A1791" t="s">
        <v>426</v>
      </c>
      <c r="B1791" t="s">
        <v>56</v>
      </c>
      <c r="C1791" t="s">
        <v>62</v>
      </c>
      <c r="D1791" t="s">
        <v>427</v>
      </c>
      <c r="E1791" t="s">
        <v>20</v>
      </c>
      <c r="F1791">
        <v>213.3</v>
      </c>
      <c r="G1791" t="s">
        <v>26</v>
      </c>
      <c r="H1791" t="s">
        <v>18</v>
      </c>
    </row>
    <row r="1792" spans="1:8" hidden="1" x14ac:dyDescent="0.2">
      <c r="A1792" t="s">
        <v>426</v>
      </c>
      <c r="B1792" t="s">
        <v>56</v>
      </c>
      <c r="C1792" t="s">
        <v>62</v>
      </c>
      <c r="D1792" t="s">
        <v>427</v>
      </c>
      <c r="E1792" t="s">
        <v>19</v>
      </c>
      <c r="F1792">
        <v>213.3</v>
      </c>
      <c r="G1792" t="s">
        <v>26</v>
      </c>
      <c r="H1792" t="s">
        <v>18</v>
      </c>
    </row>
    <row r="1793" spans="1:8" hidden="1" x14ac:dyDescent="0.2">
      <c r="A1793" t="s">
        <v>426</v>
      </c>
      <c r="B1793" t="s">
        <v>56</v>
      </c>
      <c r="C1793" t="s">
        <v>62</v>
      </c>
      <c r="D1793" t="s">
        <v>427</v>
      </c>
      <c r="E1793" t="s">
        <v>17</v>
      </c>
      <c r="F1793">
        <v>266.60000000000002</v>
      </c>
      <c r="G1793" t="s">
        <v>26</v>
      </c>
      <c r="H1793" t="s">
        <v>18</v>
      </c>
    </row>
    <row r="1794" spans="1:8" hidden="1" x14ac:dyDescent="0.2">
      <c r="A1794" t="s">
        <v>1589</v>
      </c>
      <c r="D1794" t="s">
        <v>1590</v>
      </c>
      <c r="E1794" t="s">
        <v>22</v>
      </c>
      <c r="G1794" t="s">
        <v>31</v>
      </c>
      <c r="H1794" t="s">
        <v>51</v>
      </c>
    </row>
    <row r="1795" spans="1:8" hidden="1" x14ac:dyDescent="0.2">
      <c r="A1795" t="s">
        <v>1589</v>
      </c>
      <c r="D1795" t="s">
        <v>1590</v>
      </c>
      <c r="E1795" t="s">
        <v>12</v>
      </c>
      <c r="G1795" t="s">
        <v>31</v>
      </c>
      <c r="H1795" t="s">
        <v>27</v>
      </c>
    </row>
    <row r="1796" spans="1:8" hidden="1" x14ac:dyDescent="0.2">
      <c r="A1796" t="s">
        <v>1589</v>
      </c>
      <c r="D1796" t="s">
        <v>1590</v>
      </c>
      <c r="E1796" t="s">
        <v>21</v>
      </c>
      <c r="G1796" t="s">
        <v>31</v>
      </c>
      <c r="H1796" t="s">
        <v>51</v>
      </c>
    </row>
    <row r="1797" spans="1:8" hidden="1" x14ac:dyDescent="0.2">
      <c r="A1797" t="s">
        <v>1589</v>
      </c>
      <c r="D1797" t="s">
        <v>1590</v>
      </c>
      <c r="E1797" t="s">
        <v>20</v>
      </c>
      <c r="G1797" t="s">
        <v>31</v>
      </c>
      <c r="H1797" t="s">
        <v>51</v>
      </c>
    </row>
    <row r="1798" spans="1:8" hidden="1" x14ac:dyDescent="0.2">
      <c r="A1798" t="s">
        <v>1589</v>
      </c>
      <c r="D1798" t="s">
        <v>1590</v>
      </c>
      <c r="E1798" t="s">
        <v>19</v>
      </c>
      <c r="G1798" t="s">
        <v>31</v>
      </c>
      <c r="H1798" t="s">
        <v>51</v>
      </c>
    </row>
    <row r="1799" spans="1:8" hidden="1" x14ac:dyDescent="0.2">
      <c r="A1799" t="s">
        <v>1589</v>
      </c>
      <c r="D1799" t="s">
        <v>1590</v>
      </c>
      <c r="E1799" t="s">
        <v>17</v>
      </c>
      <c r="G1799" t="s">
        <v>31</v>
      </c>
      <c r="H1799" t="s">
        <v>51</v>
      </c>
    </row>
    <row r="1800" spans="1:8" hidden="1" x14ac:dyDescent="0.2">
      <c r="A1800" t="s">
        <v>428</v>
      </c>
      <c r="B1800" t="s">
        <v>75</v>
      </c>
      <c r="C1800" t="s">
        <v>80</v>
      </c>
      <c r="D1800" t="s">
        <v>429</v>
      </c>
      <c r="E1800" t="s">
        <v>22</v>
      </c>
      <c r="F1800">
        <v>80</v>
      </c>
      <c r="G1800" t="s">
        <v>26</v>
      </c>
      <c r="H1800" t="s">
        <v>18</v>
      </c>
    </row>
    <row r="1801" spans="1:8" hidden="1" x14ac:dyDescent="0.2">
      <c r="A1801" t="s">
        <v>428</v>
      </c>
      <c r="B1801" t="s">
        <v>75</v>
      </c>
      <c r="C1801" t="s">
        <v>80</v>
      </c>
      <c r="D1801" t="s">
        <v>429</v>
      </c>
      <c r="E1801" t="s">
        <v>1528</v>
      </c>
      <c r="G1801" t="s">
        <v>26</v>
      </c>
      <c r="H1801" t="s">
        <v>18</v>
      </c>
    </row>
    <row r="1802" spans="1:8" hidden="1" x14ac:dyDescent="0.2">
      <c r="A1802" t="s">
        <v>428</v>
      </c>
      <c r="B1802" t="s">
        <v>75</v>
      </c>
      <c r="C1802" t="s">
        <v>80</v>
      </c>
      <c r="D1802" t="s">
        <v>429</v>
      </c>
      <c r="E1802" t="s">
        <v>1529</v>
      </c>
      <c r="G1802" t="s">
        <v>26</v>
      </c>
      <c r="H1802" t="s">
        <v>18</v>
      </c>
    </row>
    <row r="1803" spans="1:8" hidden="1" x14ac:dyDescent="0.2">
      <c r="A1803" t="s">
        <v>428</v>
      </c>
      <c r="B1803" t="s">
        <v>75</v>
      </c>
      <c r="C1803" t="s">
        <v>80</v>
      </c>
      <c r="D1803" t="s">
        <v>429</v>
      </c>
      <c r="E1803" t="s">
        <v>1530</v>
      </c>
      <c r="G1803" t="s">
        <v>26</v>
      </c>
      <c r="H1803" t="s">
        <v>18</v>
      </c>
    </row>
    <row r="1804" spans="1:8" hidden="1" x14ac:dyDescent="0.2">
      <c r="A1804" t="s">
        <v>428</v>
      </c>
      <c r="B1804" t="s">
        <v>75</v>
      </c>
      <c r="C1804" t="s">
        <v>80</v>
      </c>
      <c r="D1804" t="s">
        <v>429</v>
      </c>
      <c r="E1804" t="s">
        <v>1531</v>
      </c>
      <c r="G1804" t="s">
        <v>26</v>
      </c>
      <c r="H1804" t="s">
        <v>18</v>
      </c>
    </row>
    <row r="1805" spans="1:8" hidden="1" x14ac:dyDescent="0.2">
      <c r="A1805" t="s">
        <v>428</v>
      </c>
      <c r="B1805" t="s">
        <v>75</v>
      </c>
      <c r="C1805" t="s">
        <v>80</v>
      </c>
      <c r="D1805" t="s">
        <v>429</v>
      </c>
      <c r="E1805" t="s">
        <v>12</v>
      </c>
      <c r="F1805">
        <v>16</v>
      </c>
      <c r="G1805" t="s">
        <v>26</v>
      </c>
      <c r="H1805" t="s">
        <v>14</v>
      </c>
    </row>
    <row r="1806" spans="1:8" hidden="1" x14ac:dyDescent="0.2">
      <c r="A1806" t="s">
        <v>428</v>
      </c>
      <c r="B1806" t="s">
        <v>75</v>
      </c>
      <c r="C1806" t="s">
        <v>80</v>
      </c>
      <c r="D1806" t="s">
        <v>429</v>
      </c>
      <c r="E1806" t="s">
        <v>21</v>
      </c>
      <c r="F1806">
        <v>40</v>
      </c>
      <c r="G1806" t="s">
        <v>26</v>
      </c>
      <c r="H1806" t="s">
        <v>18</v>
      </c>
    </row>
    <row r="1807" spans="1:8" hidden="1" x14ac:dyDescent="0.2">
      <c r="A1807" t="s">
        <v>428</v>
      </c>
      <c r="B1807" t="s">
        <v>75</v>
      </c>
      <c r="C1807" t="s">
        <v>80</v>
      </c>
      <c r="D1807" t="s">
        <v>429</v>
      </c>
      <c r="E1807" t="s">
        <v>20</v>
      </c>
      <c r="F1807">
        <v>32</v>
      </c>
      <c r="G1807" t="s">
        <v>26</v>
      </c>
      <c r="H1807" t="s">
        <v>18</v>
      </c>
    </row>
    <row r="1808" spans="1:8" hidden="1" x14ac:dyDescent="0.2">
      <c r="A1808" t="s">
        <v>428</v>
      </c>
      <c r="B1808" t="s">
        <v>75</v>
      </c>
      <c r="C1808" t="s">
        <v>80</v>
      </c>
      <c r="D1808" t="s">
        <v>429</v>
      </c>
      <c r="E1808" t="s">
        <v>19</v>
      </c>
      <c r="F1808">
        <v>32</v>
      </c>
      <c r="G1808" t="s">
        <v>26</v>
      </c>
      <c r="H1808" t="s">
        <v>18</v>
      </c>
    </row>
    <row r="1809" spans="1:8" hidden="1" x14ac:dyDescent="0.2">
      <c r="A1809" t="s">
        <v>428</v>
      </c>
      <c r="B1809" t="s">
        <v>75</v>
      </c>
      <c r="C1809" t="s">
        <v>80</v>
      </c>
      <c r="D1809" t="s">
        <v>429</v>
      </c>
      <c r="E1809" t="s">
        <v>17</v>
      </c>
      <c r="F1809">
        <v>40</v>
      </c>
      <c r="G1809" t="s">
        <v>26</v>
      </c>
      <c r="H1809" t="s">
        <v>18</v>
      </c>
    </row>
    <row r="1810" spans="1:8" hidden="1" x14ac:dyDescent="0.2">
      <c r="A1810" t="s">
        <v>430</v>
      </c>
      <c r="B1810" t="s">
        <v>75</v>
      </c>
      <c r="C1810" t="s">
        <v>85</v>
      </c>
      <c r="D1810" t="s">
        <v>431</v>
      </c>
      <c r="E1810" t="s">
        <v>22</v>
      </c>
      <c r="F1810">
        <v>133.30000000000001</v>
      </c>
      <c r="G1810" t="s">
        <v>26</v>
      </c>
      <c r="H1810" t="s">
        <v>18</v>
      </c>
    </row>
    <row r="1811" spans="1:8" hidden="1" x14ac:dyDescent="0.2">
      <c r="A1811" t="s">
        <v>430</v>
      </c>
      <c r="B1811" t="s">
        <v>75</v>
      </c>
      <c r="C1811" t="s">
        <v>85</v>
      </c>
      <c r="D1811" t="s">
        <v>431</v>
      </c>
      <c r="E1811" t="s">
        <v>1528</v>
      </c>
      <c r="G1811" t="s">
        <v>26</v>
      </c>
      <c r="H1811" t="s">
        <v>18</v>
      </c>
    </row>
    <row r="1812" spans="1:8" hidden="1" x14ac:dyDescent="0.2">
      <c r="A1812" t="s">
        <v>430</v>
      </c>
      <c r="B1812" t="s">
        <v>75</v>
      </c>
      <c r="C1812" t="s">
        <v>85</v>
      </c>
      <c r="D1812" t="s">
        <v>431</v>
      </c>
      <c r="E1812" t="s">
        <v>1529</v>
      </c>
      <c r="G1812" t="s">
        <v>26</v>
      </c>
      <c r="H1812" t="s">
        <v>18</v>
      </c>
    </row>
    <row r="1813" spans="1:8" hidden="1" x14ac:dyDescent="0.2">
      <c r="A1813" t="s">
        <v>430</v>
      </c>
      <c r="B1813" t="s">
        <v>75</v>
      </c>
      <c r="C1813" t="s">
        <v>85</v>
      </c>
      <c r="D1813" t="s">
        <v>431</v>
      </c>
      <c r="E1813" t="s">
        <v>1530</v>
      </c>
      <c r="G1813" t="s">
        <v>26</v>
      </c>
      <c r="H1813" t="s">
        <v>18</v>
      </c>
    </row>
    <row r="1814" spans="1:8" hidden="1" x14ac:dyDescent="0.2">
      <c r="A1814" t="s">
        <v>430</v>
      </c>
      <c r="B1814" t="s">
        <v>75</v>
      </c>
      <c r="C1814" t="s">
        <v>85</v>
      </c>
      <c r="D1814" t="s">
        <v>431</v>
      </c>
      <c r="E1814" t="s">
        <v>1531</v>
      </c>
      <c r="G1814" t="s">
        <v>26</v>
      </c>
      <c r="H1814" t="s">
        <v>18</v>
      </c>
    </row>
    <row r="1815" spans="1:8" hidden="1" x14ac:dyDescent="0.2">
      <c r="A1815" t="s">
        <v>430</v>
      </c>
      <c r="B1815" t="s">
        <v>75</v>
      </c>
      <c r="C1815" t="s">
        <v>85</v>
      </c>
      <c r="D1815" t="s">
        <v>431</v>
      </c>
      <c r="E1815" t="s">
        <v>12</v>
      </c>
      <c r="F1815">
        <v>26.7</v>
      </c>
      <c r="G1815" t="s">
        <v>26</v>
      </c>
      <c r="H1815" t="s">
        <v>14</v>
      </c>
    </row>
    <row r="1816" spans="1:8" hidden="1" x14ac:dyDescent="0.2">
      <c r="A1816" t="s">
        <v>430</v>
      </c>
      <c r="B1816" t="s">
        <v>75</v>
      </c>
      <c r="C1816" t="s">
        <v>85</v>
      </c>
      <c r="D1816" t="s">
        <v>431</v>
      </c>
      <c r="E1816" t="s">
        <v>21</v>
      </c>
      <c r="F1816">
        <v>66.599999999999994</v>
      </c>
      <c r="G1816" t="s">
        <v>26</v>
      </c>
      <c r="H1816" t="s">
        <v>18</v>
      </c>
    </row>
    <row r="1817" spans="1:8" hidden="1" x14ac:dyDescent="0.2">
      <c r="A1817" t="s">
        <v>430</v>
      </c>
      <c r="B1817" t="s">
        <v>75</v>
      </c>
      <c r="C1817" t="s">
        <v>85</v>
      </c>
      <c r="D1817" t="s">
        <v>431</v>
      </c>
      <c r="E1817" t="s">
        <v>20</v>
      </c>
      <c r="F1817">
        <v>53.3</v>
      </c>
      <c r="G1817" t="s">
        <v>26</v>
      </c>
      <c r="H1817" t="s">
        <v>18</v>
      </c>
    </row>
    <row r="1818" spans="1:8" hidden="1" x14ac:dyDescent="0.2">
      <c r="A1818" t="s">
        <v>430</v>
      </c>
      <c r="B1818" t="s">
        <v>75</v>
      </c>
      <c r="C1818" t="s">
        <v>85</v>
      </c>
      <c r="D1818" t="s">
        <v>431</v>
      </c>
      <c r="E1818" t="s">
        <v>19</v>
      </c>
      <c r="F1818">
        <v>53.3</v>
      </c>
      <c r="G1818" t="s">
        <v>26</v>
      </c>
      <c r="H1818" t="s">
        <v>18</v>
      </c>
    </row>
    <row r="1819" spans="1:8" hidden="1" x14ac:dyDescent="0.2">
      <c r="A1819" t="s">
        <v>430</v>
      </c>
      <c r="B1819" t="s">
        <v>75</v>
      </c>
      <c r="C1819" t="s">
        <v>85</v>
      </c>
      <c r="D1819" t="s">
        <v>431</v>
      </c>
      <c r="E1819" t="s">
        <v>17</v>
      </c>
      <c r="F1819">
        <v>66.599999999999994</v>
      </c>
      <c r="G1819" t="s">
        <v>26</v>
      </c>
      <c r="H1819" t="s">
        <v>18</v>
      </c>
    </row>
    <row r="1820" spans="1:8" hidden="1" x14ac:dyDescent="0.2">
      <c r="A1820" t="s">
        <v>432</v>
      </c>
      <c r="B1820" t="s">
        <v>75</v>
      </c>
      <c r="C1820" t="s">
        <v>85</v>
      </c>
      <c r="D1820" t="s">
        <v>433</v>
      </c>
      <c r="E1820" t="s">
        <v>22</v>
      </c>
      <c r="F1820">
        <v>74.7</v>
      </c>
      <c r="G1820" t="s">
        <v>26</v>
      </c>
      <c r="H1820" t="s">
        <v>18</v>
      </c>
    </row>
    <row r="1821" spans="1:8" hidden="1" x14ac:dyDescent="0.2">
      <c r="A1821" t="s">
        <v>432</v>
      </c>
      <c r="B1821" t="s">
        <v>75</v>
      </c>
      <c r="C1821" t="s">
        <v>85</v>
      </c>
      <c r="D1821" t="s">
        <v>433</v>
      </c>
      <c r="E1821" t="s">
        <v>1528</v>
      </c>
      <c r="G1821" t="s">
        <v>26</v>
      </c>
      <c r="H1821" t="s">
        <v>18</v>
      </c>
    </row>
    <row r="1822" spans="1:8" hidden="1" x14ac:dyDescent="0.2">
      <c r="A1822" t="s">
        <v>432</v>
      </c>
      <c r="B1822" t="s">
        <v>75</v>
      </c>
      <c r="C1822" t="s">
        <v>85</v>
      </c>
      <c r="D1822" t="s">
        <v>433</v>
      </c>
      <c r="E1822" t="s">
        <v>1529</v>
      </c>
      <c r="G1822" t="s">
        <v>26</v>
      </c>
      <c r="H1822" t="s">
        <v>18</v>
      </c>
    </row>
    <row r="1823" spans="1:8" hidden="1" x14ac:dyDescent="0.2">
      <c r="A1823" t="s">
        <v>432</v>
      </c>
      <c r="B1823" t="s">
        <v>75</v>
      </c>
      <c r="C1823" t="s">
        <v>85</v>
      </c>
      <c r="D1823" t="s">
        <v>433</v>
      </c>
      <c r="E1823" t="s">
        <v>1530</v>
      </c>
      <c r="G1823" t="s">
        <v>26</v>
      </c>
      <c r="H1823" t="s">
        <v>18</v>
      </c>
    </row>
    <row r="1824" spans="1:8" hidden="1" x14ac:dyDescent="0.2">
      <c r="A1824" t="s">
        <v>432</v>
      </c>
      <c r="B1824" t="s">
        <v>75</v>
      </c>
      <c r="C1824" t="s">
        <v>85</v>
      </c>
      <c r="D1824" t="s">
        <v>433</v>
      </c>
      <c r="E1824" t="s">
        <v>1531</v>
      </c>
      <c r="G1824" t="s">
        <v>26</v>
      </c>
      <c r="H1824" t="s">
        <v>18</v>
      </c>
    </row>
    <row r="1825" spans="1:8" hidden="1" x14ac:dyDescent="0.2">
      <c r="A1825" t="s">
        <v>432</v>
      </c>
      <c r="B1825" t="s">
        <v>75</v>
      </c>
      <c r="C1825" t="s">
        <v>85</v>
      </c>
      <c r="D1825" t="s">
        <v>433</v>
      </c>
      <c r="E1825" t="s">
        <v>12</v>
      </c>
      <c r="F1825">
        <v>14.9</v>
      </c>
      <c r="G1825" t="s">
        <v>26</v>
      </c>
      <c r="H1825" t="s">
        <v>14</v>
      </c>
    </row>
    <row r="1826" spans="1:8" hidden="1" x14ac:dyDescent="0.2">
      <c r="A1826" t="s">
        <v>432</v>
      </c>
      <c r="B1826" t="s">
        <v>75</v>
      </c>
      <c r="C1826" t="s">
        <v>85</v>
      </c>
      <c r="D1826" t="s">
        <v>433</v>
      </c>
      <c r="E1826" t="s">
        <v>21</v>
      </c>
      <c r="F1826">
        <v>37.4</v>
      </c>
      <c r="G1826" t="s">
        <v>26</v>
      </c>
      <c r="H1826" t="s">
        <v>18</v>
      </c>
    </row>
    <row r="1827" spans="1:8" hidden="1" x14ac:dyDescent="0.2">
      <c r="A1827" t="s">
        <v>432</v>
      </c>
      <c r="B1827" t="s">
        <v>75</v>
      </c>
      <c r="C1827" t="s">
        <v>85</v>
      </c>
      <c r="D1827" t="s">
        <v>433</v>
      </c>
      <c r="E1827" t="s">
        <v>20</v>
      </c>
      <c r="F1827">
        <v>29.9</v>
      </c>
      <c r="G1827" t="s">
        <v>26</v>
      </c>
      <c r="H1827" t="s">
        <v>18</v>
      </c>
    </row>
    <row r="1828" spans="1:8" hidden="1" x14ac:dyDescent="0.2">
      <c r="A1828" t="s">
        <v>432</v>
      </c>
      <c r="B1828" t="s">
        <v>75</v>
      </c>
      <c r="C1828" t="s">
        <v>85</v>
      </c>
      <c r="D1828" t="s">
        <v>433</v>
      </c>
      <c r="E1828" t="s">
        <v>19</v>
      </c>
      <c r="F1828">
        <v>29.9</v>
      </c>
      <c r="G1828" t="s">
        <v>26</v>
      </c>
      <c r="H1828" t="s">
        <v>18</v>
      </c>
    </row>
    <row r="1829" spans="1:8" hidden="1" x14ac:dyDescent="0.2">
      <c r="A1829" t="s">
        <v>432</v>
      </c>
      <c r="B1829" t="s">
        <v>75</v>
      </c>
      <c r="C1829" t="s">
        <v>85</v>
      </c>
      <c r="D1829" t="s">
        <v>433</v>
      </c>
      <c r="E1829" t="s">
        <v>17</v>
      </c>
      <c r="F1829">
        <v>37.4</v>
      </c>
      <c r="G1829" t="s">
        <v>26</v>
      </c>
      <c r="H1829" t="s">
        <v>18</v>
      </c>
    </row>
    <row r="1830" spans="1:8" hidden="1" x14ac:dyDescent="0.2">
      <c r="A1830" t="s">
        <v>434</v>
      </c>
      <c r="B1830" t="s">
        <v>75</v>
      </c>
      <c r="C1830" t="s">
        <v>85</v>
      </c>
      <c r="D1830" t="s">
        <v>435</v>
      </c>
      <c r="E1830" t="s">
        <v>22</v>
      </c>
      <c r="F1830">
        <v>56</v>
      </c>
      <c r="G1830" t="s">
        <v>26</v>
      </c>
      <c r="H1830" t="s">
        <v>18</v>
      </c>
    </row>
    <row r="1831" spans="1:8" hidden="1" x14ac:dyDescent="0.2">
      <c r="A1831" t="s">
        <v>434</v>
      </c>
      <c r="B1831" t="s">
        <v>75</v>
      </c>
      <c r="C1831" t="s">
        <v>85</v>
      </c>
      <c r="D1831" t="s">
        <v>435</v>
      </c>
      <c r="E1831" t="s">
        <v>1528</v>
      </c>
      <c r="G1831" t="s">
        <v>26</v>
      </c>
      <c r="H1831" t="s">
        <v>18</v>
      </c>
    </row>
    <row r="1832" spans="1:8" hidden="1" x14ac:dyDescent="0.2">
      <c r="A1832" t="s">
        <v>434</v>
      </c>
      <c r="B1832" t="s">
        <v>75</v>
      </c>
      <c r="C1832" t="s">
        <v>85</v>
      </c>
      <c r="D1832" t="s">
        <v>435</v>
      </c>
      <c r="E1832" t="s">
        <v>1529</v>
      </c>
      <c r="G1832" t="s">
        <v>26</v>
      </c>
      <c r="H1832" t="s">
        <v>18</v>
      </c>
    </row>
    <row r="1833" spans="1:8" hidden="1" x14ac:dyDescent="0.2">
      <c r="A1833" t="s">
        <v>434</v>
      </c>
      <c r="B1833" t="s">
        <v>75</v>
      </c>
      <c r="C1833" t="s">
        <v>85</v>
      </c>
      <c r="D1833" t="s">
        <v>435</v>
      </c>
      <c r="E1833" t="s">
        <v>1530</v>
      </c>
      <c r="G1833" t="s">
        <v>26</v>
      </c>
      <c r="H1833" t="s">
        <v>18</v>
      </c>
    </row>
    <row r="1834" spans="1:8" hidden="1" x14ac:dyDescent="0.2">
      <c r="A1834" t="s">
        <v>434</v>
      </c>
      <c r="B1834" t="s">
        <v>75</v>
      </c>
      <c r="C1834" t="s">
        <v>85</v>
      </c>
      <c r="D1834" t="s">
        <v>435</v>
      </c>
      <c r="E1834" t="s">
        <v>1531</v>
      </c>
      <c r="G1834" t="s">
        <v>26</v>
      </c>
      <c r="H1834" t="s">
        <v>18</v>
      </c>
    </row>
    <row r="1835" spans="1:8" hidden="1" x14ac:dyDescent="0.2">
      <c r="A1835" t="s">
        <v>434</v>
      </c>
      <c r="B1835" t="s">
        <v>75</v>
      </c>
      <c r="C1835" t="s">
        <v>85</v>
      </c>
      <c r="D1835" t="s">
        <v>435</v>
      </c>
      <c r="E1835" t="s">
        <v>12</v>
      </c>
      <c r="F1835">
        <v>11.2</v>
      </c>
      <c r="G1835" t="s">
        <v>26</v>
      </c>
      <c r="H1835" t="s">
        <v>14</v>
      </c>
    </row>
    <row r="1836" spans="1:8" hidden="1" x14ac:dyDescent="0.2">
      <c r="A1836" t="s">
        <v>434</v>
      </c>
      <c r="B1836" t="s">
        <v>75</v>
      </c>
      <c r="C1836" t="s">
        <v>85</v>
      </c>
      <c r="D1836" t="s">
        <v>435</v>
      </c>
      <c r="E1836" t="s">
        <v>21</v>
      </c>
      <c r="F1836">
        <v>28</v>
      </c>
      <c r="G1836" t="s">
        <v>26</v>
      </c>
      <c r="H1836" t="s">
        <v>18</v>
      </c>
    </row>
    <row r="1837" spans="1:8" hidden="1" x14ac:dyDescent="0.2">
      <c r="A1837" t="s">
        <v>434</v>
      </c>
      <c r="B1837" t="s">
        <v>75</v>
      </c>
      <c r="C1837" t="s">
        <v>85</v>
      </c>
      <c r="D1837" t="s">
        <v>435</v>
      </c>
      <c r="E1837" t="s">
        <v>20</v>
      </c>
      <c r="F1837">
        <v>22.4</v>
      </c>
      <c r="G1837" t="s">
        <v>26</v>
      </c>
      <c r="H1837" t="s">
        <v>18</v>
      </c>
    </row>
    <row r="1838" spans="1:8" hidden="1" x14ac:dyDescent="0.2">
      <c r="A1838" t="s">
        <v>434</v>
      </c>
      <c r="B1838" t="s">
        <v>75</v>
      </c>
      <c r="C1838" t="s">
        <v>85</v>
      </c>
      <c r="D1838" t="s">
        <v>435</v>
      </c>
      <c r="E1838" t="s">
        <v>19</v>
      </c>
      <c r="F1838">
        <v>22.4</v>
      </c>
      <c r="G1838" t="s">
        <v>26</v>
      </c>
      <c r="H1838" t="s">
        <v>18</v>
      </c>
    </row>
    <row r="1839" spans="1:8" hidden="1" x14ac:dyDescent="0.2">
      <c r="A1839" t="s">
        <v>434</v>
      </c>
      <c r="B1839" t="s">
        <v>75</v>
      </c>
      <c r="C1839" t="s">
        <v>85</v>
      </c>
      <c r="D1839" t="s">
        <v>435</v>
      </c>
      <c r="E1839" t="s">
        <v>17</v>
      </c>
      <c r="F1839">
        <v>28</v>
      </c>
      <c r="G1839" t="s">
        <v>26</v>
      </c>
      <c r="H1839" t="s">
        <v>18</v>
      </c>
    </row>
    <row r="1840" spans="1:8" hidden="1" x14ac:dyDescent="0.2">
      <c r="A1840" t="s">
        <v>436</v>
      </c>
      <c r="B1840" t="s">
        <v>75</v>
      </c>
      <c r="C1840" t="s">
        <v>85</v>
      </c>
      <c r="D1840" t="s">
        <v>437</v>
      </c>
      <c r="E1840" t="s">
        <v>22</v>
      </c>
      <c r="G1840" t="s">
        <v>26</v>
      </c>
      <c r="H1840" t="s">
        <v>18</v>
      </c>
    </row>
    <row r="1841" spans="1:8" hidden="1" x14ac:dyDescent="0.2">
      <c r="A1841" t="s">
        <v>436</v>
      </c>
      <c r="B1841" t="s">
        <v>75</v>
      </c>
      <c r="C1841" t="s">
        <v>85</v>
      </c>
      <c r="D1841" t="s">
        <v>437</v>
      </c>
      <c r="E1841" t="s">
        <v>1528</v>
      </c>
      <c r="G1841" t="s">
        <v>26</v>
      </c>
      <c r="H1841" t="s">
        <v>18</v>
      </c>
    </row>
    <row r="1842" spans="1:8" hidden="1" x14ac:dyDescent="0.2">
      <c r="A1842" t="s">
        <v>436</v>
      </c>
      <c r="B1842" t="s">
        <v>75</v>
      </c>
      <c r="C1842" t="s">
        <v>85</v>
      </c>
      <c r="D1842" t="s">
        <v>437</v>
      </c>
      <c r="E1842" t="s">
        <v>1529</v>
      </c>
      <c r="G1842" t="s">
        <v>26</v>
      </c>
      <c r="H1842" t="s">
        <v>18</v>
      </c>
    </row>
    <row r="1843" spans="1:8" hidden="1" x14ac:dyDescent="0.2">
      <c r="A1843" t="s">
        <v>436</v>
      </c>
      <c r="B1843" t="s">
        <v>75</v>
      </c>
      <c r="C1843" t="s">
        <v>85</v>
      </c>
      <c r="D1843" t="s">
        <v>437</v>
      </c>
      <c r="E1843" t="s">
        <v>1530</v>
      </c>
      <c r="G1843" t="s">
        <v>26</v>
      </c>
      <c r="H1843" t="s">
        <v>18</v>
      </c>
    </row>
    <row r="1844" spans="1:8" hidden="1" x14ac:dyDescent="0.2">
      <c r="A1844" t="s">
        <v>436</v>
      </c>
      <c r="B1844" t="s">
        <v>75</v>
      </c>
      <c r="C1844" t="s">
        <v>85</v>
      </c>
      <c r="D1844" t="s">
        <v>437</v>
      </c>
      <c r="E1844" t="s">
        <v>1531</v>
      </c>
      <c r="G1844" t="s">
        <v>26</v>
      </c>
      <c r="H1844" t="s">
        <v>18</v>
      </c>
    </row>
    <row r="1845" spans="1:8" hidden="1" x14ac:dyDescent="0.2">
      <c r="A1845" t="s">
        <v>436</v>
      </c>
      <c r="B1845" t="s">
        <v>75</v>
      </c>
      <c r="C1845" t="s">
        <v>85</v>
      </c>
      <c r="D1845" t="s">
        <v>437</v>
      </c>
      <c r="E1845" t="s">
        <v>12</v>
      </c>
      <c r="G1845" t="s">
        <v>26</v>
      </c>
      <c r="H1845" t="s">
        <v>14</v>
      </c>
    </row>
    <row r="1846" spans="1:8" hidden="1" x14ac:dyDescent="0.2">
      <c r="A1846" t="s">
        <v>436</v>
      </c>
      <c r="B1846" t="s">
        <v>75</v>
      </c>
      <c r="C1846" t="s">
        <v>85</v>
      </c>
      <c r="D1846" t="s">
        <v>437</v>
      </c>
      <c r="E1846" t="s">
        <v>21</v>
      </c>
      <c r="G1846" t="s">
        <v>26</v>
      </c>
      <c r="H1846" t="s">
        <v>18</v>
      </c>
    </row>
    <row r="1847" spans="1:8" hidden="1" x14ac:dyDescent="0.2">
      <c r="A1847" t="s">
        <v>436</v>
      </c>
      <c r="B1847" t="s">
        <v>75</v>
      </c>
      <c r="C1847" t="s">
        <v>85</v>
      </c>
      <c r="D1847" t="s">
        <v>437</v>
      </c>
      <c r="E1847" t="s">
        <v>20</v>
      </c>
      <c r="G1847" t="s">
        <v>26</v>
      </c>
      <c r="H1847" t="s">
        <v>18</v>
      </c>
    </row>
    <row r="1848" spans="1:8" hidden="1" x14ac:dyDescent="0.2">
      <c r="A1848" t="s">
        <v>436</v>
      </c>
      <c r="B1848" t="s">
        <v>75</v>
      </c>
      <c r="C1848" t="s">
        <v>85</v>
      </c>
      <c r="D1848" t="s">
        <v>437</v>
      </c>
      <c r="E1848" t="s">
        <v>19</v>
      </c>
      <c r="G1848" t="s">
        <v>26</v>
      </c>
      <c r="H1848" t="s">
        <v>18</v>
      </c>
    </row>
    <row r="1849" spans="1:8" hidden="1" x14ac:dyDescent="0.2">
      <c r="A1849" t="s">
        <v>436</v>
      </c>
      <c r="B1849" t="s">
        <v>75</v>
      </c>
      <c r="C1849" t="s">
        <v>85</v>
      </c>
      <c r="D1849" t="s">
        <v>437</v>
      </c>
      <c r="E1849" t="s">
        <v>17</v>
      </c>
      <c r="G1849" t="s">
        <v>26</v>
      </c>
      <c r="H1849" t="s">
        <v>18</v>
      </c>
    </row>
    <row r="1850" spans="1:8" hidden="1" x14ac:dyDescent="0.2">
      <c r="A1850" t="s">
        <v>438</v>
      </c>
      <c r="B1850" t="s">
        <v>75</v>
      </c>
      <c r="C1850" t="s">
        <v>85</v>
      </c>
      <c r="D1850" t="s">
        <v>439</v>
      </c>
      <c r="E1850" t="s">
        <v>22</v>
      </c>
      <c r="F1850">
        <v>133.30000000000001</v>
      </c>
      <c r="G1850" t="s">
        <v>26</v>
      </c>
      <c r="H1850" t="s">
        <v>18</v>
      </c>
    </row>
    <row r="1851" spans="1:8" hidden="1" x14ac:dyDescent="0.2">
      <c r="A1851" t="s">
        <v>438</v>
      </c>
      <c r="B1851" t="s">
        <v>75</v>
      </c>
      <c r="C1851" t="s">
        <v>85</v>
      </c>
      <c r="D1851" t="s">
        <v>439</v>
      </c>
      <c r="E1851" t="s">
        <v>1528</v>
      </c>
      <c r="G1851" t="s">
        <v>26</v>
      </c>
      <c r="H1851" t="s">
        <v>18</v>
      </c>
    </row>
    <row r="1852" spans="1:8" hidden="1" x14ac:dyDescent="0.2">
      <c r="A1852" t="s">
        <v>438</v>
      </c>
      <c r="B1852" t="s">
        <v>75</v>
      </c>
      <c r="C1852" t="s">
        <v>85</v>
      </c>
      <c r="D1852" t="s">
        <v>439</v>
      </c>
      <c r="E1852" t="s">
        <v>1529</v>
      </c>
      <c r="G1852" t="s">
        <v>26</v>
      </c>
      <c r="H1852" t="s">
        <v>18</v>
      </c>
    </row>
    <row r="1853" spans="1:8" hidden="1" x14ac:dyDescent="0.2">
      <c r="A1853" t="s">
        <v>438</v>
      </c>
      <c r="B1853" t="s">
        <v>75</v>
      </c>
      <c r="C1853" t="s">
        <v>85</v>
      </c>
      <c r="D1853" t="s">
        <v>439</v>
      </c>
      <c r="E1853" t="s">
        <v>1530</v>
      </c>
      <c r="G1853" t="s">
        <v>26</v>
      </c>
      <c r="H1853" t="s">
        <v>18</v>
      </c>
    </row>
    <row r="1854" spans="1:8" hidden="1" x14ac:dyDescent="0.2">
      <c r="A1854" t="s">
        <v>438</v>
      </c>
      <c r="B1854" t="s">
        <v>75</v>
      </c>
      <c r="C1854" t="s">
        <v>85</v>
      </c>
      <c r="D1854" t="s">
        <v>439</v>
      </c>
      <c r="E1854" t="s">
        <v>1531</v>
      </c>
      <c r="G1854" t="s">
        <v>26</v>
      </c>
      <c r="H1854" t="s">
        <v>18</v>
      </c>
    </row>
    <row r="1855" spans="1:8" hidden="1" x14ac:dyDescent="0.2">
      <c r="A1855" t="s">
        <v>438</v>
      </c>
      <c r="B1855" t="s">
        <v>75</v>
      </c>
      <c r="C1855" t="s">
        <v>85</v>
      </c>
      <c r="D1855" t="s">
        <v>439</v>
      </c>
      <c r="E1855" t="s">
        <v>12</v>
      </c>
      <c r="F1855">
        <v>26.7</v>
      </c>
      <c r="G1855" t="s">
        <v>26</v>
      </c>
      <c r="H1855" t="s">
        <v>14</v>
      </c>
    </row>
    <row r="1856" spans="1:8" hidden="1" x14ac:dyDescent="0.2">
      <c r="A1856" t="s">
        <v>438</v>
      </c>
      <c r="B1856" t="s">
        <v>75</v>
      </c>
      <c r="C1856" t="s">
        <v>85</v>
      </c>
      <c r="D1856" t="s">
        <v>439</v>
      </c>
      <c r="E1856" t="s">
        <v>21</v>
      </c>
      <c r="F1856">
        <v>66.599999999999994</v>
      </c>
      <c r="G1856" t="s">
        <v>26</v>
      </c>
      <c r="H1856" t="s">
        <v>18</v>
      </c>
    </row>
    <row r="1857" spans="1:8" hidden="1" x14ac:dyDescent="0.2">
      <c r="A1857" t="s">
        <v>438</v>
      </c>
      <c r="B1857" t="s">
        <v>75</v>
      </c>
      <c r="C1857" t="s">
        <v>85</v>
      </c>
      <c r="D1857" t="s">
        <v>439</v>
      </c>
      <c r="E1857" t="s">
        <v>20</v>
      </c>
      <c r="F1857">
        <v>53.3</v>
      </c>
      <c r="G1857" t="s">
        <v>26</v>
      </c>
      <c r="H1857" t="s">
        <v>18</v>
      </c>
    </row>
    <row r="1858" spans="1:8" hidden="1" x14ac:dyDescent="0.2">
      <c r="A1858" t="s">
        <v>438</v>
      </c>
      <c r="B1858" t="s">
        <v>75</v>
      </c>
      <c r="C1858" t="s">
        <v>85</v>
      </c>
      <c r="D1858" t="s">
        <v>439</v>
      </c>
      <c r="E1858" t="s">
        <v>19</v>
      </c>
      <c r="F1858">
        <v>53.3</v>
      </c>
      <c r="G1858" t="s">
        <v>26</v>
      </c>
      <c r="H1858" t="s">
        <v>18</v>
      </c>
    </row>
    <row r="1859" spans="1:8" hidden="1" x14ac:dyDescent="0.2">
      <c r="A1859" t="s">
        <v>438</v>
      </c>
      <c r="B1859" t="s">
        <v>75</v>
      </c>
      <c r="C1859" t="s">
        <v>85</v>
      </c>
      <c r="D1859" t="s">
        <v>439</v>
      </c>
      <c r="E1859" t="s">
        <v>17</v>
      </c>
      <c r="F1859">
        <v>66.599999999999994</v>
      </c>
      <c r="G1859" t="s">
        <v>26</v>
      </c>
      <c r="H1859" t="s">
        <v>18</v>
      </c>
    </row>
    <row r="1860" spans="1:8" hidden="1" x14ac:dyDescent="0.2">
      <c r="A1860" t="s">
        <v>440</v>
      </c>
      <c r="B1860" t="s">
        <v>56</v>
      </c>
      <c r="C1860" t="s">
        <v>62</v>
      </c>
      <c r="D1860" t="s">
        <v>1621</v>
      </c>
      <c r="E1860" t="s">
        <v>22</v>
      </c>
      <c r="G1860" t="s">
        <v>26</v>
      </c>
      <c r="H1860" t="s">
        <v>18</v>
      </c>
    </row>
    <row r="1861" spans="1:8" hidden="1" x14ac:dyDescent="0.2">
      <c r="A1861" t="s">
        <v>440</v>
      </c>
      <c r="B1861" t="s">
        <v>56</v>
      </c>
      <c r="C1861" t="s">
        <v>62</v>
      </c>
      <c r="D1861" t="s">
        <v>1621</v>
      </c>
      <c r="E1861" t="s">
        <v>1528</v>
      </c>
      <c r="G1861" t="s">
        <v>26</v>
      </c>
      <c r="H1861" t="s">
        <v>18</v>
      </c>
    </row>
    <row r="1862" spans="1:8" hidden="1" x14ac:dyDescent="0.2">
      <c r="A1862" t="s">
        <v>440</v>
      </c>
      <c r="B1862" t="s">
        <v>56</v>
      </c>
      <c r="C1862" t="s">
        <v>62</v>
      </c>
      <c r="D1862" t="s">
        <v>1621</v>
      </c>
      <c r="E1862" t="s">
        <v>1529</v>
      </c>
      <c r="G1862" t="s">
        <v>26</v>
      </c>
      <c r="H1862" t="s">
        <v>18</v>
      </c>
    </row>
    <row r="1863" spans="1:8" hidden="1" x14ac:dyDescent="0.2">
      <c r="A1863" t="s">
        <v>440</v>
      </c>
      <c r="B1863" t="s">
        <v>56</v>
      </c>
      <c r="C1863" t="s">
        <v>62</v>
      </c>
      <c r="D1863" t="s">
        <v>1621</v>
      </c>
      <c r="E1863" t="s">
        <v>1530</v>
      </c>
      <c r="G1863" t="s">
        <v>26</v>
      </c>
      <c r="H1863" t="s">
        <v>18</v>
      </c>
    </row>
    <row r="1864" spans="1:8" hidden="1" x14ac:dyDescent="0.2">
      <c r="A1864" t="s">
        <v>440</v>
      </c>
      <c r="B1864" t="s">
        <v>56</v>
      </c>
      <c r="C1864" t="s">
        <v>62</v>
      </c>
      <c r="D1864" t="s">
        <v>1621</v>
      </c>
      <c r="E1864" t="s">
        <v>1531</v>
      </c>
      <c r="G1864" t="s">
        <v>26</v>
      </c>
      <c r="H1864" t="s">
        <v>18</v>
      </c>
    </row>
    <row r="1865" spans="1:8" hidden="1" x14ac:dyDescent="0.2">
      <c r="A1865" t="s">
        <v>440</v>
      </c>
      <c r="B1865" t="s">
        <v>56</v>
      </c>
      <c r="C1865" t="s">
        <v>62</v>
      </c>
      <c r="D1865" t="s">
        <v>1621</v>
      </c>
      <c r="E1865" t="s">
        <v>12</v>
      </c>
      <c r="G1865" t="s">
        <v>26</v>
      </c>
      <c r="H1865" t="s">
        <v>14</v>
      </c>
    </row>
    <row r="1866" spans="1:8" hidden="1" x14ac:dyDescent="0.2">
      <c r="A1866" t="s">
        <v>440</v>
      </c>
      <c r="B1866" t="s">
        <v>56</v>
      </c>
      <c r="C1866" t="s">
        <v>62</v>
      </c>
      <c r="D1866" t="s">
        <v>1621</v>
      </c>
      <c r="E1866" t="s">
        <v>21</v>
      </c>
      <c r="G1866" t="s">
        <v>26</v>
      </c>
      <c r="H1866" t="s">
        <v>18</v>
      </c>
    </row>
    <row r="1867" spans="1:8" hidden="1" x14ac:dyDescent="0.2">
      <c r="A1867" t="s">
        <v>440</v>
      </c>
      <c r="B1867" t="s">
        <v>56</v>
      </c>
      <c r="C1867" t="s">
        <v>62</v>
      </c>
      <c r="D1867" t="s">
        <v>1621</v>
      </c>
      <c r="E1867" t="s">
        <v>20</v>
      </c>
      <c r="G1867" t="s">
        <v>26</v>
      </c>
      <c r="H1867" t="s">
        <v>18</v>
      </c>
    </row>
    <row r="1868" spans="1:8" hidden="1" x14ac:dyDescent="0.2">
      <c r="A1868" t="s">
        <v>440</v>
      </c>
      <c r="B1868" t="s">
        <v>56</v>
      </c>
      <c r="C1868" t="s">
        <v>62</v>
      </c>
      <c r="D1868" t="s">
        <v>1621</v>
      </c>
      <c r="E1868" t="s">
        <v>19</v>
      </c>
      <c r="G1868" t="s">
        <v>26</v>
      </c>
      <c r="H1868" t="s">
        <v>18</v>
      </c>
    </row>
    <row r="1869" spans="1:8" hidden="1" x14ac:dyDescent="0.2">
      <c r="A1869" t="s">
        <v>440</v>
      </c>
      <c r="B1869" t="s">
        <v>56</v>
      </c>
      <c r="C1869" t="s">
        <v>62</v>
      </c>
      <c r="D1869" t="s">
        <v>1621</v>
      </c>
      <c r="E1869" t="s">
        <v>17</v>
      </c>
      <c r="G1869" t="s">
        <v>26</v>
      </c>
      <c r="H1869" t="s">
        <v>18</v>
      </c>
    </row>
    <row r="1870" spans="1:8" hidden="1" x14ac:dyDescent="0.2">
      <c r="A1870" t="s">
        <v>441</v>
      </c>
      <c r="B1870" t="s">
        <v>75</v>
      </c>
      <c r="C1870" t="s">
        <v>76</v>
      </c>
      <c r="D1870" t="s">
        <v>442</v>
      </c>
      <c r="E1870" t="s">
        <v>22</v>
      </c>
      <c r="F1870">
        <v>32</v>
      </c>
      <c r="G1870" t="s">
        <v>31</v>
      </c>
      <c r="H1870" t="s">
        <v>18</v>
      </c>
    </row>
    <row r="1871" spans="1:8" hidden="1" x14ac:dyDescent="0.2">
      <c r="A1871" t="s">
        <v>441</v>
      </c>
      <c r="B1871" t="s">
        <v>75</v>
      </c>
      <c r="C1871" t="s">
        <v>76</v>
      </c>
      <c r="D1871" t="s">
        <v>442</v>
      </c>
      <c r="E1871" t="s">
        <v>1528</v>
      </c>
      <c r="G1871" t="s">
        <v>31</v>
      </c>
      <c r="H1871" t="s">
        <v>18</v>
      </c>
    </row>
    <row r="1872" spans="1:8" hidden="1" x14ac:dyDescent="0.2">
      <c r="A1872" t="s">
        <v>441</v>
      </c>
      <c r="B1872" t="s">
        <v>75</v>
      </c>
      <c r="C1872" t="s">
        <v>76</v>
      </c>
      <c r="D1872" t="s">
        <v>442</v>
      </c>
      <c r="E1872" t="s">
        <v>1529</v>
      </c>
      <c r="G1872" t="s">
        <v>31</v>
      </c>
      <c r="H1872" t="s">
        <v>18</v>
      </c>
    </row>
    <row r="1873" spans="1:8" hidden="1" x14ac:dyDescent="0.2">
      <c r="A1873" t="s">
        <v>441</v>
      </c>
      <c r="B1873" t="s">
        <v>75</v>
      </c>
      <c r="C1873" t="s">
        <v>76</v>
      </c>
      <c r="D1873" t="s">
        <v>442</v>
      </c>
      <c r="E1873" t="s">
        <v>1530</v>
      </c>
      <c r="G1873" t="s">
        <v>31</v>
      </c>
      <c r="H1873" t="s">
        <v>18</v>
      </c>
    </row>
    <row r="1874" spans="1:8" hidden="1" x14ac:dyDescent="0.2">
      <c r="A1874" t="s">
        <v>441</v>
      </c>
      <c r="B1874" t="s">
        <v>75</v>
      </c>
      <c r="C1874" t="s">
        <v>76</v>
      </c>
      <c r="D1874" t="s">
        <v>442</v>
      </c>
      <c r="E1874" t="s">
        <v>1531</v>
      </c>
      <c r="G1874" t="s">
        <v>31</v>
      </c>
      <c r="H1874" t="s">
        <v>18</v>
      </c>
    </row>
    <row r="1875" spans="1:8" hidden="1" x14ac:dyDescent="0.2">
      <c r="A1875" t="s">
        <v>441</v>
      </c>
      <c r="B1875" t="s">
        <v>75</v>
      </c>
      <c r="C1875" t="s">
        <v>76</v>
      </c>
      <c r="D1875" t="s">
        <v>442</v>
      </c>
      <c r="E1875" t="s">
        <v>12</v>
      </c>
      <c r="F1875">
        <v>6.4</v>
      </c>
      <c r="G1875" t="s">
        <v>31</v>
      </c>
      <c r="H1875" t="s">
        <v>14</v>
      </c>
    </row>
    <row r="1876" spans="1:8" hidden="1" x14ac:dyDescent="0.2">
      <c r="A1876" t="s">
        <v>441</v>
      </c>
      <c r="B1876" t="s">
        <v>75</v>
      </c>
      <c r="C1876" t="s">
        <v>76</v>
      </c>
      <c r="D1876" t="s">
        <v>442</v>
      </c>
      <c r="E1876" t="s">
        <v>21</v>
      </c>
      <c r="F1876">
        <v>16</v>
      </c>
      <c r="G1876" t="s">
        <v>31</v>
      </c>
      <c r="H1876" t="s">
        <v>18</v>
      </c>
    </row>
    <row r="1877" spans="1:8" hidden="1" x14ac:dyDescent="0.2">
      <c r="A1877" t="s">
        <v>441</v>
      </c>
      <c r="B1877" t="s">
        <v>75</v>
      </c>
      <c r="C1877" t="s">
        <v>76</v>
      </c>
      <c r="D1877" t="s">
        <v>442</v>
      </c>
      <c r="E1877" t="s">
        <v>20</v>
      </c>
      <c r="F1877">
        <v>12.8</v>
      </c>
      <c r="G1877" t="s">
        <v>31</v>
      </c>
      <c r="H1877" t="s">
        <v>18</v>
      </c>
    </row>
    <row r="1878" spans="1:8" hidden="1" x14ac:dyDescent="0.2">
      <c r="A1878" t="s">
        <v>441</v>
      </c>
      <c r="B1878" t="s">
        <v>75</v>
      </c>
      <c r="C1878" t="s">
        <v>76</v>
      </c>
      <c r="D1878" t="s">
        <v>442</v>
      </c>
      <c r="E1878" t="s">
        <v>19</v>
      </c>
      <c r="F1878">
        <v>12.8</v>
      </c>
      <c r="G1878" t="s">
        <v>31</v>
      </c>
      <c r="H1878" t="s">
        <v>18</v>
      </c>
    </row>
    <row r="1879" spans="1:8" hidden="1" x14ac:dyDescent="0.2">
      <c r="A1879" t="s">
        <v>441</v>
      </c>
      <c r="B1879" t="s">
        <v>75</v>
      </c>
      <c r="C1879" t="s">
        <v>76</v>
      </c>
      <c r="D1879" t="s">
        <v>442</v>
      </c>
      <c r="E1879" t="s">
        <v>17</v>
      </c>
      <c r="F1879">
        <v>16</v>
      </c>
      <c r="G1879" t="s">
        <v>31</v>
      </c>
      <c r="H1879" t="s">
        <v>18</v>
      </c>
    </row>
    <row r="1880" spans="1:8" hidden="1" x14ac:dyDescent="0.2">
      <c r="A1880" t="s">
        <v>443</v>
      </c>
      <c r="B1880" t="s">
        <v>75</v>
      </c>
      <c r="C1880" t="s">
        <v>76</v>
      </c>
      <c r="D1880" t="s">
        <v>444</v>
      </c>
      <c r="E1880" t="s">
        <v>22</v>
      </c>
      <c r="G1880" t="s">
        <v>31</v>
      </c>
      <c r="H1880" t="s">
        <v>18</v>
      </c>
    </row>
    <row r="1881" spans="1:8" hidden="1" x14ac:dyDescent="0.2">
      <c r="A1881" t="s">
        <v>443</v>
      </c>
      <c r="B1881" t="s">
        <v>75</v>
      </c>
      <c r="C1881" t="s">
        <v>76</v>
      </c>
      <c r="D1881" t="s">
        <v>444</v>
      </c>
      <c r="E1881" t="s">
        <v>1528</v>
      </c>
      <c r="G1881" t="s">
        <v>31</v>
      </c>
      <c r="H1881" t="s">
        <v>18</v>
      </c>
    </row>
    <row r="1882" spans="1:8" hidden="1" x14ac:dyDescent="0.2">
      <c r="A1882" t="s">
        <v>443</v>
      </c>
      <c r="B1882" t="s">
        <v>75</v>
      </c>
      <c r="C1882" t="s">
        <v>76</v>
      </c>
      <c r="D1882" t="s">
        <v>444</v>
      </c>
      <c r="E1882" t="s">
        <v>1529</v>
      </c>
      <c r="G1882" t="s">
        <v>31</v>
      </c>
      <c r="H1882" t="s">
        <v>18</v>
      </c>
    </row>
    <row r="1883" spans="1:8" hidden="1" x14ac:dyDescent="0.2">
      <c r="A1883" t="s">
        <v>443</v>
      </c>
      <c r="B1883" t="s">
        <v>75</v>
      </c>
      <c r="C1883" t="s">
        <v>76</v>
      </c>
      <c r="D1883" t="s">
        <v>444</v>
      </c>
      <c r="E1883" t="s">
        <v>1530</v>
      </c>
      <c r="G1883" t="s">
        <v>31</v>
      </c>
      <c r="H1883" t="s">
        <v>18</v>
      </c>
    </row>
    <row r="1884" spans="1:8" hidden="1" x14ac:dyDescent="0.2">
      <c r="A1884" t="s">
        <v>443</v>
      </c>
      <c r="B1884" t="s">
        <v>75</v>
      </c>
      <c r="C1884" t="s">
        <v>76</v>
      </c>
      <c r="D1884" t="s">
        <v>444</v>
      </c>
      <c r="E1884" t="s">
        <v>1531</v>
      </c>
      <c r="G1884" t="s">
        <v>31</v>
      </c>
      <c r="H1884" t="s">
        <v>18</v>
      </c>
    </row>
    <row r="1885" spans="1:8" hidden="1" x14ac:dyDescent="0.2">
      <c r="A1885" t="s">
        <v>443</v>
      </c>
      <c r="B1885" t="s">
        <v>75</v>
      </c>
      <c r="C1885" t="s">
        <v>76</v>
      </c>
      <c r="D1885" t="s">
        <v>444</v>
      </c>
      <c r="E1885" t="s">
        <v>12</v>
      </c>
      <c r="G1885" t="s">
        <v>31</v>
      </c>
      <c r="H1885" t="s">
        <v>14</v>
      </c>
    </row>
    <row r="1886" spans="1:8" hidden="1" x14ac:dyDescent="0.2">
      <c r="A1886" t="s">
        <v>443</v>
      </c>
      <c r="B1886" t="s">
        <v>75</v>
      </c>
      <c r="C1886" t="s">
        <v>76</v>
      </c>
      <c r="D1886" t="s">
        <v>444</v>
      </c>
      <c r="E1886" t="s">
        <v>21</v>
      </c>
      <c r="G1886" t="s">
        <v>31</v>
      </c>
      <c r="H1886" t="s">
        <v>18</v>
      </c>
    </row>
    <row r="1887" spans="1:8" hidden="1" x14ac:dyDescent="0.2">
      <c r="A1887" t="s">
        <v>443</v>
      </c>
      <c r="B1887" t="s">
        <v>75</v>
      </c>
      <c r="C1887" t="s">
        <v>76</v>
      </c>
      <c r="D1887" t="s">
        <v>444</v>
      </c>
      <c r="E1887" t="s">
        <v>20</v>
      </c>
      <c r="G1887" t="s">
        <v>31</v>
      </c>
      <c r="H1887" t="s">
        <v>18</v>
      </c>
    </row>
    <row r="1888" spans="1:8" hidden="1" x14ac:dyDescent="0.2">
      <c r="A1888" t="s">
        <v>443</v>
      </c>
      <c r="B1888" t="s">
        <v>75</v>
      </c>
      <c r="C1888" t="s">
        <v>76</v>
      </c>
      <c r="D1888" t="s">
        <v>444</v>
      </c>
      <c r="E1888" t="s">
        <v>19</v>
      </c>
      <c r="G1888" t="s">
        <v>31</v>
      </c>
      <c r="H1888" t="s">
        <v>18</v>
      </c>
    </row>
    <row r="1889" spans="1:8" hidden="1" x14ac:dyDescent="0.2">
      <c r="A1889" t="s">
        <v>443</v>
      </c>
      <c r="B1889" t="s">
        <v>75</v>
      </c>
      <c r="C1889" t="s">
        <v>76</v>
      </c>
      <c r="D1889" t="s">
        <v>444</v>
      </c>
      <c r="E1889" t="s">
        <v>17</v>
      </c>
      <c r="G1889" t="s">
        <v>31</v>
      </c>
      <c r="H1889" t="s">
        <v>18</v>
      </c>
    </row>
    <row r="1890" spans="1:8" hidden="1" x14ac:dyDescent="0.2">
      <c r="A1890" t="s">
        <v>445</v>
      </c>
      <c r="B1890" t="s">
        <v>75</v>
      </c>
      <c r="C1890" t="s">
        <v>76</v>
      </c>
      <c r="D1890" t="s">
        <v>446</v>
      </c>
      <c r="E1890" t="s">
        <v>22</v>
      </c>
      <c r="F1890">
        <v>32</v>
      </c>
      <c r="G1890" t="s">
        <v>31</v>
      </c>
      <c r="H1890" t="s">
        <v>18</v>
      </c>
    </row>
    <row r="1891" spans="1:8" hidden="1" x14ac:dyDescent="0.2">
      <c r="A1891" t="s">
        <v>445</v>
      </c>
      <c r="B1891" t="s">
        <v>75</v>
      </c>
      <c r="C1891" t="s">
        <v>76</v>
      </c>
      <c r="D1891" t="s">
        <v>446</v>
      </c>
      <c r="E1891" t="s">
        <v>1528</v>
      </c>
      <c r="G1891" t="s">
        <v>31</v>
      </c>
      <c r="H1891" t="s">
        <v>18</v>
      </c>
    </row>
    <row r="1892" spans="1:8" hidden="1" x14ac:dyDescent="0.2">
      <c r="A1892" t="s">
        <v>445</v>
      </c>
      <c r="B1892" t="s">
        <v>75</v>
      </c>
      <c r="C1892" t="s">
        <v>76</v>
      </c>
      <c r="D1892" t="s">
        <v>446</v>
      </c>
      <c r="E1892" t="s">
        <v>1529</v>
      </c>
      <c r="G1892" t="s">
        <v>31</v>
      </c>
      <c r="H1892" t="s">
        <v>18</v>
      </c>
    </row>
    <row r="1893" spans="1:8" hidden="1" x14ac:dyDescent="0.2">
      <c r="A1893" t="s">
        <v>445</v>
      </c>
      <c r="B1893" t="s">
        <v>75</v>
      </c>
      <c r="C1893" t="s">
        <v>76</v>
      </c>
      <c r="D1893" t="s">
        <v>446</v>
      </c>
      <c r="E1893" t="s">
        <v>1530</v>
      </c>
      <c r="G1893" t="s">
        <v>31</v>
      </c>
      <c r="H1893" t="s">
        <v>18</v>
      </c>
    </row>
    <row r="1894" spans="1:8" hidden="1" x14ac:dyDescent="0.2">
      <c r="A1894" t="s">
        <v>445</v>
      </c>
      <c r="B1894" t="s">
        <v>75</v>
      </c>
      <c r="C1894" t="s">
        <v>76</v>
      </c>
      <c r="D1894" t="s">
        <v>446</v>
      </c>
      <c r="E1894" t="s">
        <v>1531</v>
      </c>
      <c r="G1894" t="s">
        <v>31</v>
      </c>
      <c r="H1894" t="s">
        <v>18</v>
      </c>
    </row>
    <row r="1895" spans="1:8" hidden="1" x14ac:dyDescent="0.2">
      <c r="A1895" t="s">
        <v>445</v>
      </c>
      <c r="B1895" t="s">
        <v>75</v>
      </c>
      <c r="C1895" t="s">
        <v>76</v>
      </c>
      <c r="D1895" t="s">
        <v>446</v>
      </c>
      <c r="E1895" t="s">
        <v>12</v>
      </c>
      <c r="F1895">
        <v>6.4</v>
      </c>
      <c r="G1895" t="s">
        <v>31</v>
      </c>
      <c r="H1895" t="s">
        <v>14</v>
      </c>
    </row>
    <row r="1896" spans="1:8" hidden="1" x14ac:dyDescent="0.2">
      <c r="A1896" t="s">
        <v>445</v>
      </c>
      <c r="B1896" t="s">
        <v>75</v>
      </c>
      <c r="C1896" t="s">
        <v>76</v>
      </c>
      <c r="D1896" t="s">
        <v>446</v>
      </c>
      <c r="E1896" t="s">
        <v>21</v>
      </c>
      <c r="F1896">
        <v>16</v>
      </c>
      <c r="G1896" t="s">
        <v>31</v>
      </c>
      <c r="H1896" t="s">
        <v>18</v>
      </c>
    </row>
    <row r="1897" spans="1:8" hidden="1" x14ac:dyDescent="0.2">
      <c r="A1897" t="s">
        <v>445</v>
      </c>
      <c r="B1897" t="s">
        <v>75</v>
      </c>
      <c r="C1897" t="s">
        <v>76</v>
      </c>
      <c r="D1897" t="s">
        <v>446</v>
      </c>
      <c r="E1897" t="s">
        <v>20</v>
      </c>
      <c r="F1897">
        <v>12.8</v>
      </c>
      <c r="G1897" t="s">
        <v>31</v>
      </c>
      <c r="H1897" t="s">
        <v>18</v>
      </c>
    </row>
    <row r="1898" spans="1:8" hidden="1" x14ac:dyDescent="0.2">
      <c r="A1898" t="s">
        <v>445</v>
      </c>
      <c r="B1898" t="s">
        <v>75</v>
      </c>
      <c r="C1898" t="s">
        <v>76</v>
      </c>
      <c r="D1898" t="s">
        <v>446</v>
      </c>
      <c r="E1898" t="s">
        <v>19</v>
      </c>
      <c r="F1898">
        <v>12.8</v>
      </c>
      <c r="G1898" t="s">
        <v>31</v>
      </c>
      <c r="H1898" t="s">
        <v>18</v>
      </c>
    </row>
    <row r="1899" spans="1:8" hidden="1" x14ac:dyDescent="0.2">
      <c r="A1899" t="s">
        <v>445</v>
      </c>
      <c r="B1899" t="s">
        <v>75</v>
      </c>
      <c r="C1899" t="s">
        <v>76</v>
      </c>
      <c r="D1899" t="s">
        <v>446</v>
      </c>
      <c r="E1899" t="s">
        <v>17</v>
      </c>
      <c r="F1899">
        <v>16</v>
      </c>
      <c r="G1899" t="s">
        <v>31</v>
      </c>
      <c r="H1899" t="s">
        <v>18</v>
      </c>
    </row>
    <row r="1900" spans="1:8" hidden="1" x14ac:dyDescent="0.2">
      <c r="A1900" t="s">
        <v>447</v>
      </c>
      <c r="B1900" t="s">
        <v>75</v>
      </c>
      <c r="C1900" t="s">
        <v>76</v>
      </c>
      <c r="D1900" t="s">
        <v>448</v>
      </c>
      <c r="E1900" t="s">
        <v>22</v>
      </c>
      <c r="G1900" t="s">
        <v>31</v>
      </c>
      <c r="H1900" t="s">
        <v>18</v>
      </c>
    </row>
    <row r="1901" spans="1:8" hidden="1" x14ac:dyDescent="0.2">
      <c r="A1901" t="s">
        <v>447</v>
      </c>
      <c r="B1901" t="s">
        <v>75</v>
      </c>
      <c r="C1901" t="s">
        <v>76</v>
      </c>
      <c r="D1901" t="s">
        <v>448</v>
      </c>
      <c r="E1901" t="s">
        <v>1528</v>
      </c>
      <c r="G1901" t="s">
        <v>31</v>
      </c>
      <c r="H1901" t="s">
        <v>18</v>
      </c>
    </row>
    <row r="1902" spans="1:8" hidden="1" x14ac:dyDescent="0.2">
      <c r="A1902" t="s">
        <v>447</v>
      </c>
      <c r="B1902" t="s">
        <v>75</v>
      </c>
      <c r="C1902" t="s">
        <v>76</v>
      </c>
      <c r="D1902" t="s">
        <v>448</v>
      </c>
      <c r="E1902" t="s">
        <v>1529</v>
      </c>
      <c r="G1902" t="s">
        <v>31</v>
      </c>
      <c r="H1902" t="s">
        <v>18</v>
      </c>
    </row>
    <row r="1903" spans="1:8" hidden="1" x14ac:dyDescent="0.2">
      <c r="A1903" t="s">
        <v>447</v>
      </c>
      <c r="B1903" t="s">
        <v>75</v>
      </c>
      <c r="C1903" t="s">
        <v>76</v>
      </c>
      <c r="D1903" t="s">
        <v>448</v>
      </c>
      <c r="E1903" t="s">
        <v>1530</v>
      </c>
      <c r="G1903" t="s">
        <v>31</v>
      </c>
      <c r="H1903" t="s">
        <v>18</v>
      </c>
    </row>
    <row r="1904" spans="1:8" hidden="1" x14ac:dyDescent="0.2">
      <c r="A1904" t="s">
        <v>447</v>
      </c>
      <c r="B1904" t="s">
        <v>75</v>
      </c>
      <c r="C1904" t="s">
        <v>76</v>
      </c>
      <c r="D1904" t="s">
        <v>448</v>
      </c>
      <c r="E1904" t="s">
        <v>1531</v>
      </c>
      <c r="G1904" t="s">
        <v>31</v>
      </c>
      <c r="H1904" t="s">
        <v>18</v>
      </c>
    </row>
    <row r="1905" spans="1:8" hidden="1" x14ac:dyDescent="0.2">
      <c r="A1905" t="s">
        <v>447</v>
      </c>
      <c r="B1905" t="s">
        <v>75</v>
      </c>
      <c r="C1905" t="s">
        <v>76</v>
      </c>
      <c r="D1905" t="s">
        <v>448</v>
      </c>
      <c r="E1905" t="s">
        <v>12</v>
      </c>
      <c r="G1905" t="s">
        <v>31</v>
      </c>
      <c r="H1905" t="s">
        <v>14</v>
      </c>
    </row>
    <row r="1906" spans="1:8" hidden="1" x14ac:dyDescent="0.2">
      <c r="A1906" t="s">
        <v>447</v>
      </c>
      <c r="B1906" t="s">
        <v>75</v>
      </c>
      <c r="C1906" t="s">
        <v>76</v>
      </c>
      <c r="D1906" t="s">
        <v>448</v>
      </c>
      <c r="E1906" t="s">
        <v>21</v>
      </c>
      <c r="G1906" t="s">
        <v>31</v>
      </c>
      <c r="H1906" t="s">
        <v>18</v>
      </c>
    </row>
    <row r="1907" spans="1:8" hidden="1" x14ac:dyDescent="0.2">
      <c r="A1907" t="s">
        <v>447</v>
      </c>
      <c r="B1907" t="s">
        <v>75</v>
      </c>
      <c r="C1907" t="s">
        <v>76</v>
      </c>
      <c r="D1907" t="s">
        <v>448</v>
      </c>
      <c r="E1907" t="s">
        <v>20</v>
      </c>
      <c r="G1907" t="s">
        <v>31</v>
      </c>
      <c r="H1907" t="s">
        <v>18</v>
      </c>
    </row>
    <row r="1908" spans="1:8" hidden="1" x14ac:dyDescent="0.2">
      <c r="A1908" t="s">
        <v>447</v>
      </c>
      <c r="B1908" t="s">
        <v>75</v>
      </c>
      <c r="C1908" t="s">
        <v>76</v>
      </c>
      <c r="D1908" t="s">
        <v>448</v>
      </c>
      <c r="E1908" t="s">
        <v>19</v>
      </c>
      <c r="G1908" t="s">
        <v>31</v>
      </c>
      <c r="H1908" t="s">
        <v>18</v>
      </c>
    </row>
    <row r="1909" spans="1:8" hidden="1" x14ac:dyDescent="0.2">
      <c r="A1909" t="s">
        <v>447</v>
      </c>
      <c r="B1909" t="s">
        <v>75</v>
      </c>
      <c r="C1909" t="s">
        <v>76</v>
      </c>
      <c r="D1909" t="s">
        <v>448</v>
      </c>
      <c r="E1909" t="s">
        <v>17</v>
      </c>
      <c r="G1909" t="s">
        <v>31</v>
      </c>
      <c r="H1909" t="s">
        <v>18</v>
      </c>
    </row>
    <row r="1910" spans="1:8" hidden="1" x14ac:dyDescent="0.2">
      <c r="A1910" t="s">
        <v>449</v>
      </c>
      <c r="B1910" t="s">
        <v>75</v>
      </c>
      <c r="C1910" t="s">
        <v>76</v>
      </c>
      <c r="D1910" t="s">
        <v>450</v>
      </c>
      <c r="E1910" t="s">
        <v>22</v>
      </c>
      <c r="F1910">
        <v>32</v>
      </c>
      <c r="G1910" t="s">
        <v>31</v>
      </c>
      <c r="H1910" t="s">
        <v>18</v>
      </c>
    </row>
    <row r="1911" spans="1:8" hidden="1" x14ac:dyDescent="0.2">
      <c r="A1911" t="s">
        <v>449</v>
      </c>
      <c r="B1911" t="s">
        <v>75</v>
      </c>
      <c r="C1911" t="s">
        <v>76</v>
      </c>
      <c r="D1911" t="s">
        <v>450</v>
      </c>
      <c r="E1911" t="s">
        <v>1528</v>
      </c>
      <c r="G1911" t="s">
        <v>31</v>
      </c>
      <c r="H1911" t="s">
        <v>18</v>
      </c>
    </row>
    <row r="1912" spans="1:8" hidden="1" x14ac:dyDescent="0.2">
      <c r="A1912" t="s">
        <v>449</v>
      </c>
      <c r="B1912" t="s">
        <v>75</v>
      </c>
      <c r="C1912" t="s">
        <v>76</v>
      </c>
      <c r="D1912" t="s">
        <v>450</v>
      </c>
      <c r="E1912" t="s">
        <v>1529</v>
      </c>
      <c r="G1912" t="s">
        <v>31</v>
      </c>
      <c r="H1912" t="s">
        <v>18</v>
      </c>
    </row>
    <row r="1913" spans="1:8" hidden="1" x14ac:dyDescent="0.2">
      <c r="A1913" t="s">
        <v>449</v>
      </c>
      <c r="B1913" t="s">
        <v>75</v>
      </c>
      <c r="C1913" t="s">
        <v>76</v>
      </c>
      <c r="D1913" t="s">
        <v>450</v>
      </c>
      <c r="E1913" t="s">
        <v>1530</v>
      </c>
      <c r="G1913" t="s">
        <v>31</v>
      </c>
      <c r="H1913" t="s">
        <v>18</v>
      </c>
    </row>
    <row r="1914" spans="1:8" hidden="1" x14ac:dyDescent="0.2">
      <c r="A1914" t="s">
        <v>449</v>
      </c>
      <c r="B1914" t="s">
        <v>75</v>
      </c>
      <c r="C1914" t="s">
        <v>76</v>
      </c>
      <c r="D1914" t="s">
        <v>450</v>
      </c>
      <c r="E1914" t="s">
        <v>1531</v>
      </c>
      <c r="G1914" t="s">
        <v>31</v>
      </c>
      <c r="H1914" t="s">
        <v>18</v>
      </c>
    </row>
    <row r="1915" spans="1:8" hidden="1" x14ac:dyDescent="0.2">
      <c r="A1915" t="s">
        <v>449</v>
      </c>
      <c r="B1915" t="s">
        <v>75</v>
      </c>
      <c r="C1915" t="s">
        <v>76</v>
      </c>
      <c r="D1915" t="s">
        <v>450</v>
      </c>
      <c r="E1915" t="s">
        <v>12</v>
      </c>
      <c r="F1915">
        <v>6.4</v>
      </c>
      <c r="G1915" t="s">
        <v>31</v>
      </c>
      <c r="H1915" t="s">
        <v>14</v>
      </c>
    </row>
    <row r="1916" spans="1:8" hidden="1" x14ac:dyDescent="0.2">
      <c r="A1916" t="s">
        <v>449</v>
      </c>
      <c r="B1916" t="s">
        <v>75</v>
      </c>
      <c r="C1916" t="s">
        <v>76</v>
      </c>
      <c r="D1916" t="s">
        <v>450</v>
      </c>
      <c r="E1916" t="s">
        <v>21</v>
      </c>
      <c r="F1916">
        <v>16</v>
      </c>
      <c r="G1916" t="s">
        <v>31</v>
      </c>
      <c r="H1916" t="s">
        <v>18</v>
      </c>
    </row>
    <row r="1917" spans="1:8" hidden="1" x14ac:dyDescent="0.2">
      <c r="A1917" t="s">
        <v>449</v>
      </c>
      <c r="B1917" t="s">
        <v>75</v>
      </c>
      <c r="C1917" t="s">
        <v>76</v>
      </c>
      <c r="D1917" t="s">
        <v>450</v>
      </c>
      <c r="E1917" t="s">
        <v>20</v>
      </c>
      <c r="F1917">
        <v>12.8</v>
      </c>
      <c r="G1917" t="s">
        <v>31</v>
      </c>
      <c r="H1917" t="s">
        <v>18</v>
      </c>
    </row>
    <row r="1918" spans="1:8" hidden="1" x14ac:dyDescent="0.2">
      <c r="A1918" t="s">
        <v>449</v>
      </c>
      <c r="B1918" t="s">
        <v>75</v>
      </c>
      <c r="C1918" t="s">
        <v>76</v>
      </c>
      <c r="D1918" t="s">
        <v>450</v>
      </c>
      <c r="E1918" t="s">
        <v>19</v>
      </c>
      <c r="F1918">
        <v>12.8</v>
      </c>
      <c r="G1918" t="s">
        <v>31</v>
      </c>
      <c r="H1918" t="s">
        <v>18</v>
      </c>
    </row>
    <row r="1919" spans="1:8" hidden="1" x14ac:dyDescent="0.2">
      <c r="A1919" t="s">
        <v>449</v>
      </c>
      <c r="B1919" t="s">
        <v>75</v>
      </c>
      <c r="C1919" t="s">
        <v>76</v>
      </c>
      <c r="D1919" t="s">
        <v>450</v>
      </c>
      <c r="E1919" t="s">
        <v>17</v>
      </c>
      <c r="F1919">
        <v>16</v>
      </c>
      <c r="G1919" t="s">
        <v>31</v>
      </c>
      <c r="H1919" t="s">
        <v>18</v>
      </c>
    </row>
    <row r="1920" spans="1:8" hidden="1" x14ac:dyDescent="0.2">
      <c r="A1920" t="s">
        <v>451</v>
      </c>
      <c r="B1920" t="s">
        <v>75</v>
      </c>
      <c r="C1920" t="s">
        <v>78</v>
      </c>
      <c r="D1920" t="s">
        <v>452</v>
      </c>
      <c r="E1920" t="s">
        <v>22</v>
      </c>
      <c r="G1920" t="s">
        <v>31</v>
      </c>
      <c r="H1920" t="s">
        <v>18</v>
      </c>
    </row>
    <row r="1921" spans="1:8" hidden="1" x14ac:dyDescent="0.2">
      <c r="A1921" t="s">
        <v>451</v>
      </c>
      <c r="B1921" t="s">
        <v>75</v>
      </c>
      <c r="C1921" t="s">
        <v>78</v>
      </c>
      <c r="D1921" t="s">
        <v>452</v>
      </c>
      <c r="E1921" t="s">
        <v>1528</v>
      </c>
      <c r="G1921" t="s">
        <v>31</v>
      </c>
      <c r="H1921" t="s">
        <v>18</v>
      </c>
    </row>
    <row r="1922" spans="1:8" hidden="1" x14ac:dyDescent="0.2">
      <c r="A1922" t="s">
        <v>451</v>
      </c>
      <c r="B1922" t="s">
        <v>75</v>
      </c>
      <c r="C1922" t="s">
        <v>78</v>
      </c>
      <c r="D1922" t="s">
        <v>452</v>
      </c>
      <c r="E1922" t="s">
        <v>1529</v>
      </c>
      <c r="G1922" t="s">
        <v>31</v>
      </c>
      <c r="H1922" t="s">
        <v>18</v>
      </c>
    </row>
    <row r="1923" spans="1:8" hidden="1" x14ac:dyDescent="0.2">
      <c r="A1923" t="s">
        <v>451</v>
      </c>
      <c r="B1923" t="s">
        <v>75</v>
      </c>
      <c r="C1923" t="s">
        <v>78</v>
      </c>
      <c r="D1923" t="s">
        <v>452</v>
      </c>
      <c r="E1923" t="s">
        <v>1530</v>
      </c>
      <c r="G1923" t="s">
        <v>31</v>
      </c>
      <c r="H1923" t="s">
        <v>18</v>
      </c>
    </row>
    <row r="1924" spans="1:8" hidden="1" x14ac:dyDescent="0.2">
      <c r="A1924" t="s">
        <v>451</v>
      </c>
      <c r="B1924" t="s">
        <v>75</v>
      </c>
      <c r="C1924" t="s">
        <v>78</v>
      </c>
      <c r="D1924" t="s">
        <v>452</v>
      </c>
      <c r="E1924" t="s">
        <v>1531</v>
      </c>
      <c r="G1924" t="s">
        <v>31</v>
      </c>
      <c r="H1924" t="s">
        <v>18</v>
      </c>
    </row>
    <row r="1925" spans="1:8" hidden="1" x14ac:dyDescent="0.2">
      <c r="A1925" t="s">
        <v>451</v>
      </c>
      <c r="B1925" t="s">
        <v>75</v>
      </c>
      <c r="C1925" t="s">
        <v>78</v>
      </c>
      <c r="D1925" t="s">
        <v>452</v>
      </c>
      <c r="E1925" t="s">
        <v>12</v>
      </c>
      <c r="G1925" t="s">
        <v>31</v>
      </c>
      <c r="H1925" t="s">
        <v>14</v>
      </c>
    </row>
    <row r="1926" spans="1:8" hidden="1" x14ac:dyDescent="0.2">
      <c r="A1926" t="s">
        <v>451</v>
      </c>
      <c r="B1926" t="s">
        <v>75</v>
      </c>
      <c r="C1926" t="s">
        <v>78</v>
      </c>
      <c r="D1926" t="s">
        <v>452</v>
      </c>
      <c r="E1926" t="s">
        <v>21</v>
      </c>
      <c r="G1926" t="s">
        <v>31</v>
      </c>
      <c r="H1926" t="s">
        <v>18</v>
      </c>
    </row>
    <row r="1927" spans="1:8" hidden="1" x14ac:dyDescent="0.2">
      <c r="A1927" t="s">
        <v>451</v>
      </c>
      <c r="B1927" t="s">
        <v>75</v>
      </c>
      <c r="C1927" t="s">
        <v>78</v>
      </c>
      <c r="D1927" t="s">
        <v>452</v>
      </c>
      <c r="E1927" t="s">
        <v>20</v>
      </c>
      <c r="G1927" t="s">
        <v>31</v>
      </c>
      <c r="H1927" t="s">
        <v>18</v>
      </c>
    </row>
    <row r="1928" spans="1:8" hidden="1" x14ac:dyDescent="0.2">
      <c r="A1928" t="s">
        <v>451</v>
      </c>
      <c r="B1928" t="s">
        <v>75</v>
      </c>
      <c r="C1928" t="s">
        <v>78</v>
      </c>
      <c r="D1928" t="s">
        <v>452</v>
      </c>
      <c r="E1928" t="s">
        <v>19</v>
      </c>
      <c r="G1928" t="s">
        <v>31</v>
      </c>
      <c r="H1928" t="s">
        <v>18</v>
      </c>
    </row>
    <row r="1929" spans="1:8" hidden="1" x14ac:dyDescent="0.2">
      <c r="A1929" t="s">
        <v>451</v>
      </c>
      <c r="B1929" t="s">
        <v>75</v>
      </c>
      <c r="C1929" t="s">
        <v>78</v>
      </c>
      <c r="D1929" t="s">
        <v>452</v>
      </c>
      <c r="E1929" t="s">
        <v>17</v>
      </c>
      <c r="G1929" t="s">
        <v>31</v>
      </c>
      <c r="H1929" t="s">
        <v>18</v>
      </c>
    </row>
    <row r="1930" spans="1:8" hidden="1" x14ac:dyDescent="0.2">
      <c r="A1930" t="s">
        <v>453</v>
      </c>
      <c r="B1930" t="s">
        <v>75</v>
      </c>
      <c r="C1930" t="s">
        <v>78</v>
      </c>
      <c r="D1930" t="s">
        <v>454</v>
      </c>
      <c r="E1930" t="s">
        <v>22</v>
      </c>
      <c r="G1930" t="s">
        <v>31</v>
      </c>
      <c r="H1930" t="s">
        <v>18</v>
      </c>
    </row>
    <row r="1931" spans="1:8" hidden="1" x14ac:dyDescent="0.2">
      <c r="A1931" t="s">
        <v>453</v>
      </c>
      <c r="B1931" t="s">
        <v>75</v>
      </c>
      <c r="C1931" t="s">
        <v>78</v>
      </c>
      <c r="D1931" t="s">
        <v>454</v>
      </c>
      <c r="E1931" t="s">
        <v>1528</v>
      </c>
      <c r="G1931" t="s">
        <v>31</v>
      </c>
      <c r="H1931" t="s">
        <v>18</v>
      </c>
    </row>
    <row r="1932" spans="1:8" hidden="1" x14ac:dyDescent="0.2">
      <c r="A1932" t="s">
        <v>453</v>
      </c>
      <c r="B1932" t="s">
        <v>75</v>
      </c>
      <c r="C1932" t="s">
        <v>78</v>
      </c>
      <c r="D1932" t="s">
        <v>454</v>
      </c>
      <c r="E1932" t="s">
        <v>1529</v>
      </c>
      <c r="G1932" t="s">
        <v>31</v>
      </c>
      <c r="H1932" t="s">
        <v>18</v>
      </c>
    </row>
    <row r="1933" spans="1:8" hidden="1" x14ac:dyDescent="0.2">
      <c r="A1933" t="s">
        <v>453</v>
      </c>
      <c r="B1933" t="s">
        <v>75</v>
      </c>
      <c r="C1933" t="s">
        <v>78</v>
      </c>
      <c r="D1933" t="s">
        <v>454</v>
      </c>
      <c r="E1933" t="s">
        <v>1530</v>
      </c>
      <c r="G1933" t="s">
        <v>31</v>
      </c>
      <c r="H1933" t="s">
        <v>18</v>
      </c>
    </row>
    <row r="1934" spans="1:8" hidden="1" x14ac:dyDescent="0.2">
      <c r="A1934" t="s">
        <v>453</v>
      </c>
      <c r="B1934" t="s">
        <v>75</v>
      </c>
      <c r="C1934" t="s">
        <v>78</v>
      </c>
      <c r="D1934" t="s">
        <v>454</v>
      </c>
      <c r="E1934" t="s">
        <v>1531</v>
      </c>
      <c r="G1934" t="s">
        <v>31</v>
      </c>
      <c r="H1934" t="s">
        <v>18</v>
      </c>
    </row>
    <row r="1935" spans="1:8" hidden="1" x14ac:dyDescent="0.2">
      <c r="A1935" t="s">
        <v>453</v>
      </c>
      <c r="B1935" t="s">
        <v>75</v>
      </c>
      <c r="C1935" t="s">
        <v>78</v>
      </c>
      <c r="D1935" t="s">
        <v>454</v>
      </c>
      <c r="E1935" t="s">
        <v>12</v>
      </c>
      <c r="G1935" t="s">
        <v>31</v>
      </c>
      <c r="H1935" t="s">
        <v>14</v>
      </c>
    </row>
    <row r="1936" spans="1:8" hidden="1" x14ac:dyDescent="0.2">
      <c r="A1936" t="s">
        <v>453</v>
      </c>
      <c r="B1936" t="s">
        <v>75</v>
      </c>
      <c r="C1936" t="s">
        <v>78</v>
      </c>
      <c r="D1936" t="s">
        <v>454</v>
      </c>
      <c r="E1936" t="s">
        <v>21</v>
      </c>
      <c r="G1936" t="s">
        <v>31</v>
      </c>
      <c r="H1936" t="s">
        <v>18</v>
      </c>
    </row>
    <row r="1937" spans="1:8" hidden="1" x14ac:dyDescent="0.2">
      <c r="A1937" t="s">
        <v>453</v>
      </c>
      <c r="B1937" t="s">
        <v>75</v>
      </c>
      <c r="C1937" t="s">
        <v>78</v>
      </c>
      <c r="D1937" t="s">
        <v>454</v>
      </c>
      <c r="E1937" t="s">
        <v>20</v>
      </c>
      <c r="G1937" t="s">
        <v>31</v>
      </c>
      <c r="H1937" t="s">
        <v>18</v>
      </c>
    </row>
    <row r="1938" spans="1:8" hidden="1" x14ac:dyDescent="0.2">
      <c r="A1938" t="s">
        <v>453</v>
      </c>
      <c r="B1938" t="s">
        <v>75</v>
      </c>
      <c r="C1938" t="s">
        <v>78</v>
      </c>
      <c r="D1938" t="s">
        <v>454</v>
      </c>
      <c r="E1938" t="s">
        <v>19</v>
      </c>
      <c r="G1938" t="s">
        <v>31</v>
      </c>
      <c r="H1938" t="s">
        <v>18</v>
      </c>
    </row>
    <row r="1939" spans="1:8" hidden="1" x14ac:dyDescent="0.2">
      <c r="A1939" t="s">
        <v>453</v>
      </c>
      <c r="B1939" t="s">
        <v>75</v>
      </c>
      <c r="C1939" t="s">
        <v>78</v>
      </c>
      <c r="D1939" t="s">
        <v>454</v>
      </c>
      <c r="E1939" t="s">
        <v>17</v>
      </c>
      <c r="G1939" t="s">
        <v>31</v>
      </c>
      <c r="H1939" t="s">
        <v>18</v>
      </c>
    </row>
    <row r="1940" spans="1:8" hidden="1" x14ac:dyDescent="0.2">
      <c r="A1940" t="s">
        <v>455</v>
      </c>
      <c r="B1940" t="s">
        <v>75</v>
      </c>
      <c r="C1940" t="s">
        <v>78</v>
      </c>
      <c r="D1940" t="s">
        <v>456</v>
      </c>
      <c r="E1940" t="s">
        <v>22</v>
      </c>
      <c r="F1940">
        <v>53.3</v>
      </c>
      <c r="G1940" t="s">
        <v>31</v>
      </c>
      <c r="H1940" t="s">
        <v>18</v>
      </c>
    </row>
    <row r="1941" spans="1:8" hidden="1" x14ac:dyDescent="0.2">
      <c r="A1941" t="s">
        <v>455</v>
      </c>
      <c r="B1941" t="s">
        <v>75</v>
      </c>
      <c r="C1941" t="s">
        <v>78</v>
      </c>
      <c r="D1941" t="s">
        <v>456</v>
      </c>
      <c r="E1941" t="s">
        <v>1528</v>
      </c>
      <c r="G1941" t="s">
        <v>31</v>
      </c>
      <c r="H1941" t="s">
        <v>18</v>
      </c>
    </row>
    <row r="1942" spans="1:8" hidden="1" x14ac:dyDescent="0.2">
      <c r="A1942" t="s">
        <v>455</v>
      </c>
      <c r="B1942" t="s">
        <v>75</v>
      </c>
      <c r="C1942" t="s">
        <v>78</v>
      </c>
      <c r="D1942" t="s">
        <v>456</v>
      </c>
      <c r="E1942" t="s">
        <v>1529</v>
      </c>
      <c r="G1942" t="s">
        <v>31</v>
      </c>
      <c r="H1942" t="s">
        <v>18</v>
      </c>
    </row>
    <row r="1943" spans="1:8" hidden="1" x14ac:dyDescent="0.2">
      <c r="A1943" t="s">
        <v>455</v>
      </c>
      <c r="B1943" t="s">
        <v>75</v>
      </c>
      <c r="C1943" t="s">
        <v>78</v>
      </c>
      <c r="D1943" t="s">
        <v>456</v>
      </c>
      <c r="E1943" t="s">
        <v>1530</v>
      </c>
      <c r="G1943" t="s">
        <v>31</v>
      </c>
      <c r="H1943" t="s">
        <v>18</v>
      </c>
    </row>
    <row r="1944" spans="1:8" hidden="1" x14ac:dyDescent="0.2">
      <c r="A1944" t="s">
        <v>455</v>
      </c>
      <c r="B1944" t="s">
        <v>75</v>
      </c>
      <c r="C1944" t="s">
        <v>78</v>
      </c>
      <c r="D1944" t="s">
        <v>456</v>
      </c>
      <c r="E1944" t="s">
        <v>1531</v>
      </c>
      <c r="G1944" t="s">
        <v>31</v>
      </c>
      <c r="H1944" t="s">
        <v>18</v>
      </c>
    </row>
    <row r="1945" spans="1:8" hidden="1" x14ac:dyDescent="0.2">
      <c r="A1945" t="s">
        <v>455</v>
      </c>
      <c r="B1945" t="s">
        <v>75</v>
      </c>
      <c r="C1945" t="s">
        <v>78</v>
      </c>
      <c r="D1945" t="s">
        <v>456</v>
      </c>
      <c r="E1945" t="s">
        <v>12</v>
      </c>
      <c r="F1945">
        <v>10.7</v>
      </c>
      <c r="G1945" t="s">
        <v>31</v>
      </c>
      <c r="H1945" t="s">
        <v>14</v>
      </c>
    </row>
    <row r="1946" spans="1:8" hidden="1" x14ac:dyDescent="0.2">
      <c r="A1946" t="s">
        <v>455</v>
      </c>
      <c r="B1946" t="s">
        <v>75</v>
      </c>
      <c r="C1946" t="s">
        <v>78</v>
      </c>
      <c r="D1946" t="s">
        <v>456</v>
      </c>
      <c r="E1946" t="s">
        <v>21</v>
      </c>
      <c r="F1946">
        <v>26.6</v>
      </c>
      <c r="G1946" t="s">
        <v>31</v>
      </c>
      <c r="H1946" t="s">
        <v>18</v>
      </c>
    </row>
    <row r="1947" spans="1:8" hidden="1" x14ac:dyDescent="0.2">
      <c r="A1947" t="s">
        <v>455</v>
      </c>
      <c r="B1947" t="s">
        <v>75</v>
      </c>
      <c r="C1947" t="s">
        <v>78</v>
      </c>
      <c r="D1947" t="s">
        <v>456</v>
      </c>
      <c r="E1947" t="s">
        <v>20</v>
      </c>
      <c r="F1947">
        <v>21.3</v>
      </c>
      <c r="G1947" t="s">
        <v>31</v>
      </c>
      <c r="H1947" t="s">
        <v>18</v>
      </c>
    </row>
    <row r="1948" spans="1:8" hidden="1" x14ac:dyDescent="0.2">
      <c r="A1948" t="s">
        <v>455</v>
      </c>
      <c r="B1948" t="s">
        <v>75</v>
      </c>
      <c r="C1948" t="s">
        <v>78</v>
      </c>
      <c r="D1948" t="s">
        <v>456</v>
      </c>
      <c r="E1948" t="s">
        <v>19</v>
      </c>
      <c r="F1948">
        <v>21.3</v>
      </c>
      <c r="G1948" t="s">
        <v>31</v>
      </c>
      <c r="H1948" t="s">
        <v>18</v>
      </c>
    </row>
    <row r="1949" spans="1:8" hidden="1" x14ac:dyDescent="0.2">
      <c r="A1949" t="s">
        <v>455</v>
      </c>
      <c r="B1949" t="s">
        <v>75</v>
      </c>
      <c r="C1949" t="s">
        <v>78</v>
      </c>
      <c r="D1949" t="s">
        <v>456</v>
      </c>
      <c r="E1949" t="s">
        <v>17</v>
      </c>
      <c r="F1949">
        <v>26.6</v>
      </c>
      <c r="G1949" t="s">
        <v>31</v>
      </c>
      <c r="H1949" t="s">
        <v>18</v>
      </c>
    </row>
    <row r="1950" spans="1:8" hidden="1" x14ac:dyDescent="0.2">
      <c r="A1950" t="s">
        <v>457</v>
      </c>
      <c r="B1950" t="s">
        <v>75</v>
      </c>
      <c r="C1950" t="s">
        <v>78</v>
      </c>
      <c r="D1950" t="s">
        <v>458</v>
      </c>
      <c r="E1950" t="s">
        <v>22</v>
      </c>
      <c r="G1950" t="s">
        <v>31</v>
      </c>
      <c r="H1950" t="s">
        <v>18</v>
      </c>
    </row>
    <row r="1951" spans="1:8" hidden="1" x14ac:dyDescent="0.2">
      <c r="A1951" t="s">
        <v>457</v>
      </c>
      <c r="B1951" t="s">
        <v>75</v>
      </c>
      <c r="C1951" t="s">
        <v>78</v>
      </c>
      <c r="D1951" t="s">
        <v>458</v>
      </c>
      <c r="E1951" t="s">
        <v>1528</v>
      </c>
      <c r="G1951" t="s">
        <v>31</v>
      </c>
      <c r="H1951" t="s">
        <v>18</v>
      </c>
    </row>
    <row r="1952" spans="1:8" hidden="1" x14ac:dyDescent="0.2">
      <c r="A1952" t="s">
        <v>457</v>
      </c>
      <c r="B1952" t="s">
        <v>75</v>
      </c>
      <c r="C1952" t="s">
        <v>78</v>
      </c>
      <c r="D1952" t="s">
        <v>458</v>
      </c>
      <c r="E1952" t="s">
        <v>1529</v>
      </c>
      <c r="G1952" t="s">
        <v>31</v>
      </c>
      <c r="H1952" t="s">
        <v>18</v>
      </c>
    </row>
    <row r="1953" spans="1:8" hidden="1" x14ac:dyDescent="0.2">
      <c r="A1953" t="s">
        <v>457</v>
      </c>
      <c r="B1953" t="s">
        <v>75</v>
      </c>
      <c r="C1953" t="s">
        <v>78</v>
      </c>
      <c r="D1953" t="s">
        <v>458</v>
      </c>
      <c r="E1953" t="s">
        <v>1530</v>
      </c>
      <c r="G1953" t="s">
        <v>31</v>
      </c>
      <c r="H1953" t="s">
        <v>18</v>
      </c>
    </row>
    <row r="1954" spans="1:8" hidden="1" x14ac:dyDescent="0.2">
      <c r="A1954" t="s">
        <v>457</v>
      </c>
      <c r="B1954" t="s">
        <v>75</v>
      </c>
      <c r="C1954" t="s">
        <v>78</v>
      </c>
      <c r="D1954" t="s">
        <v>458</v>
      </c>
      <c r="E1954" t="s">
        <v>1531</v>
      </c>
      <c r="G1954" t="s">
        <v>31</v>
      </c>
      <c r="H1954" t="s">
        <v>18</v>
      </c>
    </row>
    <row r="1955" spans="1:8" hidden="1" x14ac:dyDescent="0.2">
      <c r="A1955" t="s">
        <v>457</v>
      </c>
      <c r="B1955" t="s">
        <v>75</v>
      </c>
      <c r="C1955" t="s">
        <v>78</v>
      </c>
      <c r="D1955" t="s">
        <v>458</v>
      </c>
      <c r="E1955" t="s">
        <v>12</v>
      </c>
      <c r="G1955" t="s">
        <v>31</v>
      </c>
      <c r="H1955" t="s">
        <v>14</v>
      </c>
    </row>
    <row r="1956" spans="1:8" hidden="1" x14ac:dyDescent="0.2">
      <c r="A1956" t="s">
        <v>457</v>
      </c>
      <c r="B1956" t="s">
        <v>75</v>
      </c>
      <c r="C1956" t="s">
        <v>78</v>
      </c>
      <c r="D1956" t="s">
        <v>458</v>
      </c>
      <c r="E1956" t="s">
        <v>21</v>
      </c>
      <c r="G1956" t="s">
        <v>31</v>
      </c>
      <c r="H1956" t="s">
        <v>18</v>
      </c>
    </row>
    <row r="1957" spans="1:8" hidden="1" x14ac:dyDescent="0.2">
      <c r="A1957" t="s">
        <v>457</v>
      </c>
      <c r="B1957" t="s">
        <v>75</v>
      </c>
      <c r="C1957" t="s">
        <v>78</v>
      </c>
      <c r="D1957" t="s">
        <v>458</v>
      </c>
      <c r="E1957" t="s">
        <v>20</v>
      </c>
      <c r="G1957" t="s">
        <v>31</v>
      </c>
      <c r="H1957" t="s">
        <v>18</v>
      </c>
    </row>
    <row r="1958" spans="1:8" hidden="1" x14ac:dyDescent="0.2">
      <c r="A1958" t="s">
        <v>457</v>
      </c>
      <c r="B1958" t="s">
        <v>75</v>
      </c>
      <c r="C1958" t="s">
        <v>78</v>
      </c>
      <c r="D1958" t="s">
        <v>458</v>
      </c>
      <c r="E1958" t="s">
        <v>19</v>
      </c>
      <c r="G1958" t="s">
        <v>31</v>
      </c>
      <c r="H1958" t="s">
        <v>18</v>
      </c>
    </row>
    <row r="1959" spans="1:8" hidden="1" x14ac:dyDescent="0.2">
      <c r="A1959" t="s">
        <v>457</v>
      </c>
      <c r="B1959" t="s">
        <v>75</v>
      </c>
      <c r="C1959" t="s">
        <v>78</v>
      </c>
      <c r="D1959" t="s">
        <v>458</v>
      </c>
      <c r="E1959" t="s">
        <v>17</v>
      </c>
      <c r="G1959" t="s">
        <v>31</v>
      </c>
      <c r="H1959" t="s">
        <v>18</v>
      </c>
    </row>
    <row r="1960" spans="1:8" hidden="1" x14ac:dyDescent="0.2">
      <c r="A1960" t="s">
        <v>459</v>
      </c>
      <c r="B1960" t="s">
        <v>75</v>
      </c>
      <c r="C1960" t="s">
        <v>85</v>
      </c>
      <c r="D1960" t="s">
        <v>460</v>
      </c>
      <c r="E1960" t="s">
        <v>22</v>
      </c>
      <c r="G1960" t="s">
        <v>31</v>
      </c>
      <c r="H1960" t="s">
        <v>18</v>
      </c>
    </row>
    <row r="1961" spans="1:8" hidden="1" x14ac:dyDescent="0.2">
      <c r="A1961" t="s">
        <v>459</v>
      </c>
      <c r="B1961" t="s">
        <v>75</v>
      </c>
      <c r="C1961" t="s">
        <v>85</v>
      </c>
      <c r="D1961" t="s">
        <v>460</v>
      </c>
      <c r="E1961" t="s">
        <v>1528</v>
      </c>
      <c r="G1961" t="s">
        <v>31</v>
      </c>
      <c r="H1961" t="s">
        <v>18</v>
      </c>
    </row>
    <row r="1962" spans="1:8" hidden="1" x14ac:dyDescent="0.2">
      <c r="A1962" t="s">
        <v>459</v>
      </c>
      <c r="B1962" t="s">
        <v>75</v>
      </c>
      <c r="C1962" t="s">
        <v>85</v>
      </c>
      <c r="D1962" t="s">
        <v>460</v>
      </c>
      <c r="E1962" t="s">
        <v>1529</v>
      </c>
      <c r="G1962" t="s">
        <v>31</v>
      </c>
      <c r="H1962" t="s">
        <v>18</v>
      </c>
    </row>
    <row r="1963" spans="1:8" hidden="1" x14ac:dyDescent="0.2">
      <c r="A1963" t="s">
        <v>459</v>
      </c>
      <c r="B1963" t="s">
        <v>75</v>
      </c>
      <c r="C1963" t="s">
        <v>85</v>
      </c>
      <c r="D1963" t="s">
        <v>460</v>
      </c>
      <c r="E1963" t="s">
        <v>1530</v>
      </c>
      <c r="G1963" t="s">
        <v>31</v>
      </c>
      <c r="H1963" t="s">
        <v>18</v>
      </c>
    </row>
    <row r="1964" spans="1:8" hidden="1" x14ac:dyDescent="0.2">
      <c r="A1964" t="s">
        <v>459</v>
      </c>
      <c r="B1964" t="s">
        <v>75</v>
      </c>
      <c r="C1964" t="s">
        <v>85</v>
      </c>
      <c r="D1964" t="s">
        <v>460</v>
      </c>
      <c r="E1964" t="s">
        <v>1531</v>
      </c>
      <c r="G1964" t="s">
        <v>31</v>
      </c>
      <c r="H1964" t="s">
        <v>18</v>
      </c>
    </row>
    <row r="1965" spans="1:8" hidden="1" x14ac:dyDescent="0.2">
      <c r="A1965" t="s">
        <v>459</v>
      </c>
      <c r="B1965" t="s">
        <v>75</v>
      </c>
      <c r="C1965" t="s">
        <v>85</v>
      </c>
      <c r="D1965" t="s">
        <v>460</v>
      </c>
      <c r="E1965" t="s">
        <v>12</v>
      </c>
      <c r="G1965" t="s">
        <v>31</v>
      </c>
      <c r="H1965" t="s">
        <v>14</v>
      </c>
    </row>
    <row r="1966" spans="1:8" hidden="1" x14ac:dyDescent="0.2">
      <c r="A1966" t="s">
        <v>459</v>
      </c>
      <c r="B1966" t="s">
        <v>75</v>
      </c>
      <c r="C1966" t="s">
        <v>85</v>
      </c>
      <c r="D1966" t="s">
        <v>460</v>
      </c>
      <c r="E1966" t="s">
        <v>21</v>
      </c>
      <c r="G1966" t="s">
        <v>31</v>
      </c>
      <c r="H1966" t="s">
        <v>18</v>
      </c>
    </row>
    <row r="1967" spans="1:8" hidden="1" x14ac:dyDescent="0.2">
      <c r="A1967" t="s">
        <v>459</v>
      </c>
      <c r="B1967" t="s">
        <v>75</v>
      </c>
      <c r="C1967" t="s">
        <v>85</v>
      </c>
      <c r="D1967" t="s">
        <v>460</v>
      </c>
      <c r="E1967" t="s">
        <v>20</v>
      </c>
      <c r="G1967" t="s">
        <v>31</v>
      </c>
      <c r="H1967" t="s">
        <v>18</v>
      </c>
    </row>
    <row r="1968" spans="1:8" hidden="1" x14ac:dyDescent="0.2">
      <c r="A1968" t="s">
        <v>459</v>
      </c>
      <c r="B1968" t="s">
        <v>75</v>
      </c>
      <c r="C1968" t="s">
        <v>85</v>
      </c>
      <c r="D1968" t="s">
        <v>460</v>
      </c>
      <c r="E1968" t="s">
        <v>19</v>
      </c>
      <c r="G1968" t="s">
        <v>31</v>
      </c>
      <c r="H1968" t="s">
        <v>18</v>
      </c>
    </row>
    <row r="1969" spans="1:8" hidden="1" x14ac:dyDescent="0.2">
      <c r="A1969" t="s">
        <v>459</v>
      </c>
      <c r="B1969" t="s">
        <v>75</v>
      </c>
      <c r="C1969" t="s">
        <v>85</v>
      </c>
      <c r="D1969" t="s">
        <v>460</v>
      </c>
      <c r="E1969" t="s">
        <v>17</v>
      </c>
      <c r="G1969" t="s">
        <v>31</v>
      </c>
      <c r="H1969" t="s">
        <v>18</v>
      </c>
    </row>
    <row r="1970" spans="1:8" hidden="1" x14ac:dyDescent="0.2">
      <c r="A1970" t="s">
        <v>461</v>
      </c>
      <c r="B1970" t="s">
        <v>75</v>
      </c>
      <c r="C1970" t="s">
        <v>85</v>
      </c>
      <c r="D1970" t="s">
        <v>462</v>
      </c>
      <c r="E1970" t="s">
        <v>22</v>
      </c>
      <c r="G1970" t="s">
        <v>31</v>
      </c>
      <c r="H1970" t="s">
        <v>18</v>
      </c>
    </row>
    <row r="1971" spans="1:8" hidden="1" x14ac:dyDescent="0.2">
      <c r="A1971" t="s">
        <v>461</v>
      </c>
      <c r="B1971" t="s">
        <v>75</v>
      </c>
      <c r="C1971" t="s">
        <v>85</v>
      </c>
      <c r="D1971" t="s">
        <v>462</v>
      </c>
      <c r="E1971" t="s">
        <v>1528</v>
      </c>
      <c r="G1971" t="s">
        <v>31</v>
      </c>
      <c r="H1971" t="s">
        <v>18</v>
      </c>
    </row>
    <row r="1972" spans="1:8" hidden="1" x14ac:dyDescent="0.2">
      <c r="A1972" t="s">
        <v>461</v>
      </c>
      <c r="B1972" t="s">
        <v>75</v>
      </c>
      <c r="C1972" t="s">
        <v>85</v>
      </c>
      <c r="D1972" t="s">
        <v>462</v>
      </c>
      <c r="E1972" t="s">
        <v>1529</v>
      </c>
      <c r="G1972" t="s">
        <v>31</v>
      </c>
      <c r="H1972" t="s">
        <v>18</v>
      </c>
    </row>
    <row r="1973" spans="1:8" hidden="1" x14ac:dyDescent="0.2">
      <c r="A1973" t="s">
        <v>461</v>
      </c>
      <c r="B1973" t="s">
        <v>75</v>
      </c>
      <c r="C1973" t="s">
        <v>85</v>
      </c>
      <c r="D1973" t="s">
        <v>462</v>
      </c>
      <c r="E1973" t="s">
        <v>1530</v>
      </c>
      <c r="G1973" t="s">
        <v>31</v>
      </c>
      <c r="H1973" t="s">
        <v>18</v>
      </c>
    </row>
    <row r="1974" spans="1:8" hidden="1" x14ac:dyDescent="0.2">
      <c r="A1974" t="s">
        <v>461</v>
      </c>
      <c r="B1974" t="s">
        <v>75</v>
      </c>
      <c r="C1974" t="s">
        <v>85</v>
      </c>
      <c r="D1974" t="s">
        <v>462</v>
      </c>
      <c r="E1974" t="s">
        <v>1531</v>
      </c>
      <c r="G1974" t="s">
        <v>31</v>
      </c>
      <c r="H1974" t="s">
        <v>18</v>
      </c>
    </row>
    <row r="1975" spans="1:8" hidden="1" x14ac:dyDescent="0.2">
      <c r="A1975" t="s">
        <v>461</v>
      </c>
      <c r="B1975" t="s">
        <v>75</v>
      </c>
      <c r="C1975" t="s">
        <v>85</v>
      </c>
      <c r="D1975" t="s">
        <v>462</v>
      </c>
      <c r="E1975" t="s">
        <v>12</v>
      </c>
      <c r="G1975" t="s">
        <v>31</v>
      </c>
      <c r="H1975" t="s">
        <v>14</v>
      </c>
    </row>
    <row r="1976" spans="1:8" hidden="1" x14ac:dyDescent="0.2">
      <c r="A1976" t="s">
        <v>461</v>
      </c>
      <c r="B1976" t="s">
        <v>75</v>
      </c>
      <c r="C1976" t="s">
        <v>85</v>
      </c>
      <c r="D1976" t="s">
        <v>462</v>
      </c>
      <c r="E1976" t="s">
        <v>21</v>
      </c>
      <c r="G1976" t="s">
        <v>31</v>
      </c>
      <c r="H1976" t="s">
        <v>18</v>
      </c>
    </row>
    <row r="1977" spans="1:8" hidden="1" x14ac:dyDescent="0.2">
      <c r="A1977" t="s">
        <v>461</v>
      </c>
      <c r="B1977" t="s">
        <v>75</v>
      </c>
      <c r="C1977" t="s">
        <v>85</v>
      </c>
      <c r="D1977" t="s">
        <v>462</v>
      </c>
      <c r="E1977" t="s">
        <v>20</v>
      </c>
      <c r="G1977" t="s">
        <v>31</v>
      </c>
      <c r="H1977" t="s">
        <v>18</v>
      </c>
    </row>
    <row r="1978" spans="1:8" hidden="1" x14ac:dyDescent="0.2">
      <c r="A1978" t="s">
        <v>461</v>
      </c>
      <c r="B1978" t="s">
        <v>75</v>
      </c>
      <c r="C1978" t="s">
        <v>85</v>
      </c>
      <c r="D1978" t="s">
        <v>462</v>
      </c>
      <c r="E1978" t="s">
        <v>19</v>
      </c>
      <c r="G1978" t="s">
        <v>31</v>
      </c>
      <c r="H1978" t="s">
        <v>18</v>
      </c>
    </row>
    <row r="1979" spans="1:8" hidden="1" x14ac:dyDescent="0.2">
      <c r="A1979" t="s">
        <v>461</v>
      </c>
      <c r="B1979" t="s">
        <v>75</v>
      </c>
      <c r="C1979" t="s">
        <v>85</v>
      </c>
      <c r="D1979" t="s">
        <v>462</v>
      </c>
      <c r="E1979" t="s">
        <v>17</v>
      </c>
      <c r="G1979" t="s">
        <v>31</v>
      </c>
      <c r="H1979" t="s">
        <v>18</v>
      </c>
    </row>
    <row r="1980" spans="1:8" hidden="1" x14ac:dyDescent="0.2">
      <c r="A1980" t="s">
        <v>463</v>
      </c>
      <c r="B1980" t="s">
        <v>75</v>
      </c>
      <c r="C1980" t="s">
        <v>85</v>
      </c>
      <c r="D1980" t="s">
        <v>464</v>
      </c>
      <c r="E1980" t="s">
        <v>22</v>
      </c>
      <c r="G1980" t="s">
        <v>31</v>
      </c>
      <c r="H1980" t="s">
        <v>18</v>
      </c>
    </row>
    <row r="1981" spans="1:8" hidden="1" x14ac:dyDescent="0.2">
      <c r="A1981" t="s">
        <v>463</v>
      </c>
      <c r="B1981" t="s">
        <v>75</v>
      </c>
      <c r="C1981" t="s">
        <v>85</v>
      </c>
      <c r="D1981" t="s">
        <v>464</v>
      </c>
      <c r="E1981" t="s">
        <v>1528</v>
      </c>
      <c r="G1981" t="s">
        <v>31</v>
      </c>
      <c r="H1981" t="s">
        <v>18</v>
      </c>
    </row>
    <row r="1982" spans="1:8" hidden="1" x14ac:dyDescent="0.2">
      <c r="A1982" t="s">
        <v>463</v>
      </c>
      <c r="B1982" t="s">
        <v>75</v>
      </c>
      <c r="C1982" t="s">
        <v>85</v>
      </c>
      <c r="D1982" t="s">
        <v>464</v>
      </c>
      <c r="E1982" t="s">
        <v>1529</v>
      </c>
      <c r="G1982" t="s">
        <v>31</v>
      </c>
      <c r="H1982" t="s">
        <v>18</v>
      </c>
    </row>
    <row r="1983" spans="1:8" hidden="1" x14ac:dyDescent="0.2">
      <c r="A1983" t="s">
        <v>463</v>
      </c>
      <c r="B1983" t="s">
        <v>75</v>
      </c>
      <c r="C1983" t="s">
        <v>85</v>
      </c>
      <c r="D1983" t="s">
        <v>464</v>
      </c>
      <c r="E1983" t="s">
        <v>1530</v>
      </c>
      <c r="G1983" t="s">
        <v>31</v>
      </c>
      <c r="H1983" t="s">
        <v>18</v>
      </c>
    </row>
    <row r="1984" spans="1:8" hidden="1" x14ac:dyDescent="0.2">
      <c r="A1984" t="s">
        <v>463</v>
      </c>
      <c r="B1984" t="s">
        <v>75</v>
      </c>
      <c r="C1984" t="s">
        <v>85</v>
      </c>
      <c r="D1984" t="s">
        <v>464</v>
      </c>
      <c r="E1984" t="s">
        <v>1531</v>
      </c>
      <c r="G1984" t="s">
        <v>31</v>
      </c>
      <c r="H1984" t="s">
        <v>18</v>
      </c>
    </row>
    <row r="1985" spans="1:8" hidden="1" x14ac:dyDescent="0.2">
      <c r="A1985" t="s">
        <v>463</v>
      </c>
      <c r="B1985" t="s">
        <v>75</v>
      </c>
      <c r="C1985" t="s">
        <v>85</v>
      </c>
      <c r="D1985" t="s">
        <v>464</v>
      </c>
      <c r="E1985" t="s">
        <v>12</v>
      </c>
      <c r="G1985" t="s">
        <v>31</v>
      </c>
      <c r="H1985" t="s">
        <v>14</v>
      </c>
    </row>
    <row r="1986" spans="1:8" hidden="1" x14ac:dyDescent="0.2">
      <c r="A1986" t="s">
        <v>463</v>
      </c>
      <c r="B1986" t="s">
        <v>75</v>
      </c>
      <c r="C1986" t="s">
        <v>85</v>
      </c>
      <c r="D1986" t="s">
        <v>464</v>
      </c>
      <c r="E1986" t="s">
        <v>21</v>
      </c>
      <c r="G1986" t="s">
        <v>31</v>
      </c>
      <c r="H1986" t="s">
        <v>18</v>
      </c>
    </row>
    <row r="1987" spans="1:8" hidden="1" x14ac:dyDescent="0.2">
      <c r="A1987" t="s">
        <v>463</v>
      </c>
      <c r="B1987" t="s">
        <v>75</v>
      </c>
      <c r="C1987" t="s">
        <v>85</v>
      </c>
      <c r="D1987" t="s">
        <v>464</v>
      </c>
      <c r="E1987" t="s">
        <v>20</v>
      </c>
      <c r="G1987" t="s">
        <v>31</v>
      </c>
      <c r="H1987" t="s">
        <v>18</v>
      </c>
    </row>
    <row r="1988" spans="1:8" hidden="1" x14ac:dyDescent="0.2">
      <c r="A1988" t="s">
        <v>463</v>
      </c>
      <c r="B1988" t="s">
        <v>75</v>
      </c>
      <c r="C1988" t="s">
        <v>85</v>
      </c>
      <c r="D1988" t="s">
        <v>464</v>
      </c>
      <c r="E1988" t="s">
        <v>19</v>
      </c>
      <c r="G1988" t="s">
        <v>31</v>
      </c>
      <c r="H1988" t="s">
        <v>18</v>
      </c>
    </row>
    <row r="1989" spans="1:8" hidden="1" x14ac:dyDescent="0.2">
      <c r="A1989" t="s">
        <v>463</v>
      </c>
      <c r="B1989" t="s">
        <v>75</v>
      </c>
      <c r="C1989" t="s">
        <v>85</v>
      </c>
      <c r="D1989" t="s">
        <v>464</v>
      </c>
      <c r="E1989" t="s">
        <v>17</v>
      </c>
      <c r="G1989" t="s">
        <v>31</v>
      </c>
      <c r="H1989" t="s">
        <v>18</v>
      </c>
    </row>
    <row r="1990" spans="1:8" hidden="1" x14ac:dyDescent="0.2">
      <c r="A1990" t="s">
        <v>465</v>
      </c>
      <c r="B1990" t="s">
        <v>75</v>
      </c>
      <c r="C1990" t="s">
        <v>85</v>
      </c>
      <c r="D1990" t="s">
        <v>466</v>
      </c>
      <c r="E1990" t="s">
        <v>22</v>
      </c>
      <c r="G1990" t="s">
        <v>31</v>
      </c>
      <c r="H1990" t="s">
        <v>18</v>
      </c>
    </row>
    <row r="1991" spans="1:8" hidden="1" x14ac:dyDescent="0.2">
      <c r="A1991" t="s">
        <v>465</v>
      </c>
      <c r="B1991" t="s">
        <v>75</v>
      </c>
      <c r="C1991" t="s">
        <v>85</v>
      </c>
      <c r="D1991" t="s">
        <v>466</v>
      </c>
      <c r="E1991" t="s">
        <v>1528</v>
      </c>
      <c r="G1991" t="s">
        <v>31</v>
      </c>
      <c r="H1991" t="s">
        <v>18</v>
      </c>
    </row>
    <row r="1992" spans="1:8" hidden="1" x14ac:dyDescent="0.2">
      <c r="A1992" t="s">
        <v>465</v>
      </c>
      <c r="B1992" t="s">
        <v>75</v>
      </c>
      <c r="C1992" t="s">
        <v>85</v>
      </c>
      <c r="D1992" t="s">
        <v>466</v>
      </c>
      <c r="E1992" t="s">
        <v>1529</v>
      </c>
      <c r="G1992" t="s">
        <v>31</v>
      </c>
      <c r="H1992" t="s">
        <v>18</v>
      </c>
    </row>
    <row r="1993" spans="1:8" hidden="1" x14ac:dyDescent="0.2">
      <c r="A1993" t="s">
        <v>465</v>
      </c>
      <c r="B1993" t="s">
        <v>75</v>
      </c>
      <c r="C1993" t="s">
        <v>85</v>
      </c>
      <c r="D1993" t="s">
        <v>466</v>
      </c>
      <c r="E1993" t="s">
        <v>1530</v>
      </c>
      <c r="G1993" t="s">
        <v>31</v>
      </c>
      <c r="H1993" t="s">
        <v>18</v>
      </c>
    </row>
    <row r="1994" spans="1:8" hidden="1" x14ac:dyDescent="0.2">
      <c r="A1994" t="s">
        <v>465</v>
      </c>
      <c r="B1994" t="s">
        <v>75</v>
      </c>
      <c r="C1994" t="s">
        <v>85</v>
      </c>
      <c r="D1994" t="s">
        <v>466</v>
      </c>
      <c r="E1994" t="s">
        <v>1531</v>
      </c>
      <c r="G1994" t="s">
        <v>31</v>
      </c>
      <c r="H1994" t="s">
        <v>18</v>
      </c>
    </row>
    <row r="1995" spans="1:8" hidden="1" x14ac:dyDescent="0.2">
      <c r="A1995" t="s">
        <v>465</v>
      </c>
      <c r="B1995" t="s">
        <v>75</v>
      </c>
      <c r="C1995" t="s">
        <v>85</v>
      </c>
      <c r="D1995" t="s">
        <v>466</v>
      </c>
      <c r="E1995" t="s">
        <v>12</v>
      </c>
      <c r="G1995" t="s">
        <v>31</v>
      </c>
      <c r="H1995" t="s">
        <v>14</v>
      </c>
    </row>
    <row r="1996" spans="1:8" hidden="1" x14ac:dyDescent="0.2">
      <c r="A1996" t="s">
        <v>465</v>
      </c>
      <c r="B1996" t="s">
        <v>75</v>
      </c>
      <c r="C1996" t="s">
        <v>85</v>
      </c>
      <c r="D1996" t="s">
        <v>466</v>
      </c>
      <c r="E1996" t="s">
        <v>21</v>
      </c>
      <c r="G1996" t="s">
        <v>31</v>
      </c>
      <c r="H1996" t="s">
        <v>18</v>
      </c>
    </row>
    <row r="1997" spans="1:8" hidden="1" x14ac:dyDescent="0.2">
      <c r="A1997" t="s">
        <v>465</v>
      </c>
      <c r="B1997" t="s">
        <v>75</v>
      </c>
      <c r="C1997" t="s">
        <v>85</v>
      </c>
      <c r="D1997" t="s">
        <v>466</v>
      </c>
      <c r="E1997" t="s">
        <v>20</v>
      </c>
      <c r="G1997" t="s">
        <v>31</v>
      </c>
      <c r="H1997" t="s">
        <v>18</v>
      </c>
    </row>
    <row r="1998" spans="1:8" hidden="1" x14ac:dyDescent="0.2">
      <c r="A1998" t="s">
        <v>465</v>
      </c>
      <c r="B1998" t="s">
        <v>75</v>
      </c>
      <c r="C1998" t="s">
        <v>85</v>
      </c>
      <c r="D1998" t="s">
        <v>466</v>
      </c>
      <c r="E1998" t="s">
        <v>19</v>
      </c>
      <c r="G1998" t="s">
        <v>31</v>
      </c>
      <c r="H1998" t="s">
        <v>18</v>
      </c>
    </row>
    <row r="1999" spans="1:8" hidden="1" x14ac:dyDescent="0.2">
      <c r="A1999" t="s">
        <v>465</v>
      </c>
      <c r="B1999" t="s">
        <v>75</v>
      </c>
      <c r="C1999" t="s">
        <v>85</v>
      </c>
      <c r="D1999" t="s">
        <v>466</v>
      </c>
      <c r="E1999" t="s">
        <v>17</v>
      </c>
      <c r="G1999" t="s">
        <v>31</v>
      </c>
      <c r="H1999" t="s">
        <v>18</v>
      </c>
    </row>
    <row r="2000" spans="1:8" hidden="1" x14ac:dyDescent="0.2">
      <c r="A2000" t="s">
        <v>467</v>
      </c>
      <c r="B2000" t="s">
        <v>75</v>
      </c>
      <c r="C2000" t="s">
        <v>77</v>
      </c>
      <c r="D2000" t="s">
        <v>468</v>
      </c>
      <c r="E2000" t="s">
        <v>22</v>
      </c>
      <c r="G2000" t="s">
        <v>26</v>
      </c>
      <c r="H2000" t="s">
        <v>18</v>
      </c>
    </row>
    <row r="2001" spans="1:8" hidden="1" x14ac:dyDescent="0.2">
      <c r="A2001" t="s">
        <v>467</v>
      </c>
      <c r="B2001" t="s">
        <v>75</v>
      </c>
      <c r="C2001" t="s">
        <v>77</v>
      </c>
      <c r="D2001" t="s">
        <v>468</v>
      </c>
      <c r="E2001" t="s">
        <v>1528</v>
      </c>
      <c r="G2001" t="s">
        <v>26</v>
      </c>
      <c r="H2001" t="s">
        <v>18</v>
      </c>
    </row>
    <row r="2002" spans="1:8" hidden="1" x14ac:dyDescent="0.2">
      <c r="A2002" t="s">
        <v>467</v>
      </c>
      <c r="B2002" t="s">
        <v>75</v>
      </c>
      <c r="C2002" t="s">
        <v>77</v>
      </c>
      <c r="D2002" t="s">
        <v>468</v>
      </c>
      <c r="E2002" t="s">
        <v>1529</v>
      </c>
      <c r="G2002" t="s">
        <v>26</v>
      </c>
      <c r="H2002" t="s">
        <v>18</v>
      </c>
    </row>
    <row r="2003" spans="1:8" hidden="1" x14ac:dyDescent="0.2">
      <c r="A2003" t="s">
        <v>467</v>
      </c>
      <c r="B2003" t="s">
        <v>75</v>
      </c>
      <c r="C2003" t="s">
        <v>77</v>
      </c>
      <c r="D2003" t="s">
        <v>468</v>
      </c>
      <c r="E2003" t="s">
        <v>1530</v>
      </c>
      <c r="G2003" t="s">
        <v>26</v>
      </c>
      <c r="H2003" t="s">
        <v>18</v>
      </c>
    </row>
    <row r="2004" spans="1:8" hidden="1" x14ac:dyDescent="0.2">
      <c r="A2004" t="s">
        <v>467</v>
      </c>
      <c r="B2004" t="s">
        <v>75</v>
      </c>
      <c r="C2004" t="s">
        <v>77</v>
      </c>
      <c r="D2004" t="s">
        <v>468</v>
      </c>
      <c r="E2004" t="s">
        <v>1531</v>
      </c>
      <c r="G2004" t="s">
        <v>26</v>
      </c>
      <c r="H2004" t="s">
        <v>18</v>
      </c>
    </row>
    <row r="2005" spans="1:8" hidden="1" x14ac:dyDescent="0.2">
      <c r="A2005" t="s">
        <v>467</v>
      </c>
      <c r="B2005" t="s">
        <v>75</v>
      </c>
      <c r="C2005" t="s">
        <v>77</v>
      </c>
      <c r="D2005" t="s">
        <v>468</v>
      </c>
      <c r="E2005" t="s">
        <v>12</v>
      </c>
      <c r="G2005" t="s">
        <v>26</v>
      </c>
      <c r="H2005" t="s">
        <v>14</v>
      </c>
    </row>
    <row r="2006" spans="1:8" hidden="1" x14ac:dyDescent="0.2">
      <c r="A2006" t="s">
        <v>467</v>
      </c>
      <c r="B2006" t="s">
        <v>75</v>
      </c>
      <c r="C2006" t="s">
        <v>77</v>
      </c>
      <c r="D2006" t="s">
        <v>468</v>
      </c>
      <c r="E2006" t="s">
        <v>21</v>
      </c>
      <c r="G2006" t="s">
        <v>26</v>
      </c>
      <c r="H2006" t="s">
        <v>18</v>
      </c>
    </row>
    <row r="2007" spans="1:8" hidden="1" x14ac:dyDescent="0.2">
      <c r="A2007" t="s">
        <v>467</v>
      </c>
      <c r="B2007" t="s">
        <v>75</v>
      </c>
      <c r="C2007" t="s">
        <v>77</v>
      </c>
      <c r="D2007" t="s">
        <v>468</v>
      </c>
      <c r="E2007" t="s">
        <v>20</v>
      </c>
      <c r="G2007" t="s">
        <v>26</v>
      </c>
      <c r="H2007" t="s">
        <v>18</v>
      </c>
    </row>
    <row r="2008" spans="1:8" hidden="1" x14ac:dyDescent="0.2">
      <c r="A2008" t="s">
        <v>467</v>
      </c>
      <c r="B2008" t="s">
        <v>75</v>
      </c>
      <c r="C2008" t="s">
        <v>77</v>
      </c>
      <c r="D2008" t="s">
        <v>468</v>
      </c>
      <c r="E2008" t="s">
        <v>19</v>
      </c>
      <c r="G2008" t="s">
        <v>26</v>
      </c>
      <c r="H2008" t="s">
        <v>18</v>
      </c>
    </row>
    <row r="2009" spans="1:8" hidden="1" x14ac:dyDescent="0.2">
      <c r="A2009" t="s">
        <v>467</v>
      </c>
      <c r="B2009" t="s">
        <v>75</v>
      </c>
      <c r="C2009" t="s">
        <v>77</v>
      </c>
      <c r="D2009" t="s">
        <v>468</v>
      </c>
      <c r="E2009" t="s">
        <v>17</v>
      </c>
      <c r="G2009" t="s">
        <v>26</v>
      </c>
      <c r="H2009" t="s">
        <v>18</v>
      </c>
    </row>
    <row r="2010" spans="1:8" hidden="1" x14ac:dyDescent="0.2">
      <c r="A2010" t="s">
        <v>1594</v>
      </c>
      <c r="D2010" t="s">
        <v>1595</v>
      </c>
      <c r="E2010" t="s">
        <v>22</v>
      </c>
      <c r="F2010">
        <v>213.3</v>
      </c>
      <c r="G2010" t="s">
        <v>31</v>
      </c>
      <c r="H2010" t="s">
        <v>18</v>
      </c>
    </row>
    <row r="2011" spans="1:8" hidden="1" x14ac:dyDescent="0.2">
      <c r="A2011" t="s">
        <v>1594</v>
      </c>
      <c r="D2011" t="s">
        <v>1595</v>
      </c>
      <c r="E2011" t="s">
        <v>1528</v>
      </c>
      <c r="G2011" t="s">
        <v>31</v>
      </c>
      <c r="H2011" t="s">
        <v>18</v>
      </c>
    </row>
    <row r="2012" spans="1:8" hidden="1" x14ac:dyDescent="0.2">
      <c r="A2012" t="s">
        <v>1594</v>
      </c>
      <c r="D2012" t="s">
        <v>1595</v>
      </c>
      <c r="E2012" t="s">
        <v>1529</v>
      </c>
      <c r="G2012" t="s">
        <v>31</v>
      </c>
      <c r="H2012" t="s">
        <v>18</v>
      </c>
    </row>
    <row r="2013" spans="1:8" hidden="1" x14ac:dyDescent="0.2">
      <c r="A2013" t="s">
        <v>1594</v>
      </c>
      <c r="D2013" t="s">
        <v>1595</v>
      </c>
      <c r="E2013" t="s">
        <v>1530</v>
      </c>
      <c r="G2013" t="s">
        <v>31</v>
      </c>
      <c r="H2013" t="s">
        <v>18</v>
      </c>
    </row>
    <row r="2014" spans="1:8" hidden="1" x14ac:dyDescent="0.2">
      <c r="A2014" t="s">
        <v>1594</v>
      </c>
      <c r="D2014" t="s">
        <v>1595</v>
      </c>
      <c r="E2014" t="s">
        <v>1531</v>
      </c>
      <c r="G2014" t="s">
        <v>31</v>
      </c>
      <c r="H2014" t="s">
        <v>18</v>
      </c>
    </row>
    <row r="2015" spans="1:8" hidden="1" x14ac:dyDescent="0.2">
      <c r="A2015" t="s">
        <v>1594</v>
      </c>
      <c r="D2015" t="s">
        <v>1595</v>
      </c>
      <c r="E2015" t="s">
        <v>12</v>
      </c>
      <c r="F2015">
        <v>42.7</v>
      </c>
      <c r="G2015" t="s">
        <v>31</v>
      </c>
      <c r="H2015" t="s">
        <v>14</v>
      </c>
    </row>
    <row r="2016" spans="1:8" hidden="1" x14ac:dyDescent="0.2">
      <c r="A2016" t="s">
        <v>1594</v>
      </c>
      <c r="D2016" t="s">
        <v>1595</v>
      </c>
      <c r="E2016" t="s">
        <v>21</v>
      </c>
      <c r="F2016">
        <v>106.6</v>
      </c>
      <c r="G2016" t="s">
        <v>31</v>
      </c>
      <c r="H2016" t="s">
        <v>18</v>
      </c>
    </row>
    <row r="2017" spans="1:8" hidden="1" x14ac:dyDescent="0.2">
      <c r="A2017" t="s">
        <v>1594</v>
      </c>
      <c r="D2017" t="s">
        <v>1595</v>
      </c>
      <c r="E2017" t="s">
        <v>20</v>
      </c>
      <c r="F2017">
        <v>85.3</v>
      </c>
      <c r="G2017" t="s">
        <v>31</v>
      </c>
      <c r="H2017" t="s">
        <v>18</v>
      </c>
    </row>
    <row r="2018" spans="1:8" hidden="1" x14ac:dyDescent="0.2">
      <c r="A2018" t="s">
        <v>1594</v>
      </c>
      <c r="D2018" t="s">
        <v>1595</v>
      </c>
      <c r="E2018" t="s">
        <v>19</v>
      </c>
      <c r="F2018">
        <v>85.3</v>
      </c>
      <c r="G2018" t="s">
        <v>31</v>
      </c>
      <c r="H2018" t="s">
        <v>18</v>
      </c>
    </row>
    <row r="2019" spans="1:8" hidden="1" x14ac:dyDescent="0.2">
      <c r="A2019" t="s">
        <v>1594</v>
      </c>
      <c r="D2019" t="s">
        <v>1595</v>
      </c>
      <c r="E2019" t="s">
        <v>17</v>
      </c>
      <c r="F2019">
        <v>106.6</v>
      </c>
      <c r="G2019" t="s">
        <v>31</v>
      </c>
      <c r="H2019" t="s">
        <v>18</v>
      </c>
    </row>
    <row r="2020" spans="1:8" hidden="1" x14ac:dyDescent="0.2">
      <c r="A2020" t="s">
        <v>1596</v>
      </c>
      <c r="B2020" t="s">
        <v>75</v>
      </c>
      <c r="C2020" t="s">
        <v>85</v>
      </c>
      <c r="D2020" t="s">
        <v>527</v>
      </c>
      <c r="E2020" t="s">
        <v>22</v>
      </c>
      <c r="G2020" t="s">
        <v>31</v>
      </c>
      <c r="H2020" t="s">
        <v>18</v>
      </c>
    </row>
    <row r="2021" spans="1:8" hidden="1" x14ac:dyDescent="0.2">
      <c r="A2021" t="s">
        <v>1596</v>
      </c>
      <c r="B2021" t="s">
        <v>75</v>
      </c>
      <c r="C2021" t="s">
        <v>85</v>
      </c>
      <c r="D2021" t="s">
        <v>527</v>
      </c>
      <c r="E2021" t="s">
        <v>1528</v>
      </c>
      <c r="G2021" t="s">
        <v>31</v>
      </c>
      <c r="H2021" t="s">
        <v>18</v>
      </c>
    </row>
    <row r="2022" spans="1:8" hidden="1" x14ac:dyDescent="0.2">
      <c r="A2022" t="s">
        <v>1596</v>
      </c>
      <c r="B2022" t="s">
        <v>75</v>
      </c>
      <c r="C2022" t="s">
        <v>85</v>
      </c>
      <c r="D2022" t="s">
        <v>527</v>
      </c>
      <c r="E2022" t="s">
        <v>1529</v>
      </c>
      <c r="G2022" t="s">
        <v>31</v>
      </c>
      <c r="H2022" t="s">
        <v>18</v>
      </c>
    </row>
    <row r="2023" spans="1:8" hidden="1" x14ac:dyDescent="0.2">
      <c r="A2023" t="s">
        <v>1596</v>
      </c>
      <c r="B2023" t="s">
        <v>75</v>
      </c>
      <c r="C2023" t="s">
        <v>85</v>
      </c>
      <c r="D2023" t="s">
        <v>527</v>
      </c>
      <c r="E2023" t="s">
        <v>1530</v>
      </c>
      <c r="G2023" t="s">
        <v>31</v>
      </c>
      <c r="H2023" t="s">
        <v>18</v>
      </c>
    </row>
    <row r="2024" spans="1:8" hidden="1" x14ac:dyDescent="0.2">
      <c r="A2024" t="s">
        <v>1596</v>
      </c>
      <c r="B2024" t="s">
        <v>75</v>
      </c>
      <c r="C2024" t="s">
        <v>85</v>
      </c>
      <c r="D2024" t="s">
        <v>527</v>
      </c>
      <c r="E2024" t="s">
        <v>1531</v>
      </c>
      <c r="G2024" t="s">
        <v>31</v>
      </c>
      <c r="H2024" t="s">
        <v>18</v>
      </c>
    </row>
    <row r="2025" spans="1:8" hidden="1" x14ac:dyDescent="0.2">
      <c r="A2025" t="s">
        <v>1596</v>
      </c>
      <c r="B2025" t="s">
        <v>75</v>
      </c>
      <c r="C2025" t="s">
        <v>85</v>
      </c>
      <c r="D2025" t="s">
        <v>527</v>
      </c>
      <c r="E2025" t="s">
        <v>12</v>
      </c>
      <c r="G2025" t="s">
        <v>31</v>
      </c>
      <c r="H2025" t="s">
        <v>14</v>
      </c>
    </row>
    <row r="2026" spans="1:8" hidden="1" x14ac:dyDescent="0.2">
      <c r="A2026" t="s">
        <v>1596</v>
      </c>
      <c r="B2026" t="s">
        <v>75</v>
      </c>
      <c r="C2026" t="s">
        <v>85</v>
      </c>
      <c r="D2026" t="s">
        <v>527</v>
      </c>
      <c r="E2026" t="s">
        <v>21</v>
      </c>
      <c r="G2026" t="s">
        <v>31</v>
      </c>
      <c r="H2026" t="s">
        <v>18</v>
      </c>
    </row>
    <row r="2027" spans="1:8" hidden="1" x14ac:dyDescent="0.2">
      <c r="A2027" t="s">
        <v>1596</v>
      </c>
      <c r="B2027" t="s">
        <v>75</v>
      </c>
      <c r="C2027" t="s">
        <v>85</v>
      </c>
      <c r="D2027" t="s">
        <v>527</v>
      </c>
      <c r="E2027" t="s">
        <v>20</v>
      </c>
      <c r="G2027" t="s">
        <v>31</v>
      </c>
      <c r="H2027" t="s">
        <v>18</v>
      </c>
    </row>
    <row r="2028" spans="1:8" hidden="1" x14ac:dyDescent="0.2">
      <c r="A2028" t="s">
        <v>1596</v>
      </c>
      <c r="B2028" t="s">
        <v>75</v>
      </c>
      <c r="C2028" t="s">
        <v>85</v>
      </c>
      <c r="D2028" t="s">
        <v>527</v>
      </c>
      <c r="E2028" t="s">
        <v>19</v>
      </c>
      <c r="G2028" t="s">
        <v>31</v>
      </c>
      <c r="H2028" t="s">
        <v>18</v>
      </c>
    </row>
    <row r="2029" spans="1:8" hidden="1" x14ac:dyDescent="0.2">
      <c r="A2029" t="s">
        <v>1596</v>
      </c>
      <c r="B2029" t="s">
        <v>75</v>
      </c>
      <c r="C2029" t="s">
        <v>85</v>
      </c>
      <c r="D2029" t="s">
        <v>527</v>
      </c>
      <c r="E2029" t="s">
        <v>17</v>
      </c>
      <c r="G2029" t="s">
        <v>31</v>
      </c>
      <c r="H2029" t="s">
        <v>18</v>
      </c>
    </row>
    <row r="2030" spans="1:8" hidden="1" x14ac:dyDescent="0.2">
      <c r="A2030" t="s">
        <v>1597</v>
      </c>
      <c r="B2030" t="s">
        <v>75</v>
      </c>
      <c r="C2030" t="s">
        <v>78</v>
      </c>
      <c r="D2030" t="s">
        <v>1598</v>
      </c>
      <c r="E2030" t="s">
        <v>22</v>
      </c>
      <c r="G2030" t="s">
        <v>31</v>
      </c>
      <c r="H2030" t="s">
        <v>18</v>
      </c>
    </row>
    <row r="2031" spans="1:8" hidden="1" x14ac:dyDescent="0.2">
      <c r="A2031" t="s">
        <v>1597</v>
      </c>
      <c r="B2031" t="s">
        <v>75</v>
      </c>
      <c r="C2031" t="s">
        <v>78</v>
      </c>
      <c r="D2031" t="s">
        <v>1598</v>
      </c>
      <c r="E2031" t="s">
        <v>1528</v>
      </c>
      <c r="G2031" t="s">
        <v>31</v>
      </c>
      <c r="H2031" t="s">
        <v>18</v>
      </c>
    </row>
    <row r="2032" spans="1:8" hidden="1" x14ac:dyDescent="0.2">
      <c r="A2032" t="s">
        <v>1597</v>
      </c>
      <c r="B2032" t="s">
        <v>75</v>
      </c>
      <c r="C2032" t="s">
        <v>78</v>
      </c>
      <c r="D2032" t="s">
        <v>1598</v>
      </c>
      <c r="E2032" t="s">
        <v>1529</v>
      </c>
      <c r="G2032" t="s">
        <v>31</v>
      </c>
      <c r="H2032" t="s">
        <v>18</v>
      </c>
    </row>
    <row r="2033" spans="1:8" hidden="1" x14ac:dyDescent="0.2">
      <c r="A2033" t="s">
        <v>1597</v>
      </c>
      <c r="B2033" t="s">
        <v>75</v>
      </c>
      <c r="C2033" t="s">
        <v>78</v>
      </c>
      <c r="D2033" t="s">
        <v>1598</v>
      </c>
      <c r="E2033" t="s">
        <v>1530</v>
      </c>
      <c r="G2033" t="s">
        <v>31</v>
      </c>
      <c r="H2033" t="s">
        <v>18</v>
      </c>
    </row>
    <row r="2034" spans="1:8" hidden="1" x14ac:dyDescent="0.2">
      <c r="A2034" t="s">
        <v>1597</v>
      </c>
      <c r="B2034" t="s">
        <v>75</v>
      </c>
      <c r="C2034" t="s">
        <v>78</v>
      </c>
      <c r="D2034" t="s">
        <v>1598</v>
      </c>
      <c r="E2034" t="s">
        <v>1531</v>
      </c>
      <c r="G2034" t="s">
        <v>31</v>
      </c>
      <c r="H2034" t="s">
        <v>18</v>
      </c>
    </row>
    <row r="2035" spans="1:8" hidden="1" x14ac:dyDescent="0.2">
      <c r="A2035" t="s">
        <v>1597</v>
      </c>
      <c r="B2035" t="s">
        <v>75</v>
      </c>
      <c r="C2035" t="s">
        <v>78</v>
      </c>
      <c r="D2035" t="s">
        <v>1598</v>
      </c>
      <c r="E2035" t="s">
        <v>12</v>
      </c>
      <c r="G2035" t="s">
        <v>31</v>
      </c>
      <c r="H2035" t="s">
        <v>14</v>
      </c>
    </row>
    <row r="2036" spans="1:8" hidden="1" x14ac:dyDescent="0.2">
      <c r="A2036" t="s">
        <v>1597</v>
      </c>
      <c r="B2036" t="s">
        <v>75</v>
      </c>
      <c r="C2036" t="s">
        <v>78</v>
      </c>
      <c r="D2036" t="s">
        <v>1598</v>
      </c>
      <c r="E2036" t="s">
        <v>21</v>
      </c>
      <c r="G2036" t="s">
        <v>31</v>
      </c>
      <c r="H2036" t="s">
        <v>18</v>
      </c>
    </row>
    <row r="2037" spans="1:8" hidden="1" x14ac:dyDescent="0.2">
      <c r="A2037" t="s">
        <v>1597</v>
      </c>
      <c r="B2037" t="s">
        <v>75</v>
      </c>
      <c r="C2037" t="s">
        <v>78</v>
      </c>
      <c r="D2037" t="s">
        <v>1598</v>
      </c>
      <c r="E2037" t="s">
        <v>20</v>
      </c>
      <c r="G2037" t="s">
        <v>31</v>
      </c>
      <c r="H2037" t="s">
        <v>18</v>
      </c>
    </row>
    <row r="2038" spans="1:8" hidden="1" x14ac:dyDescent="0.2">
      <c r="A2038" t="s">
        <v>1597</v>
      </c>
      <c r="B2038" t="s">
        <v>75</v>
      </c>
      <c r="C2038" t="s">
        <v>78</v>
      </c>
      <c r="D2038" t="s">
        <v>1598</v>
      </c>
      <c r="E2038" t="s">
        <v>19</v>
      </c>
      <c r="G2038" t="s">
        <v>31</v>
      </c>
      <c r="H2038" t="s">
        <v>18</v>
      </c>
    </row>
    <row r="2039" spans="1:8" hidden="1" x14ac:dyDescent="0.2">
      <c r="A2039" t="s">
        <v>1597</v>
      </c>
      <c r="B2039" t="s">
        <v>75</v>
      </c>
      <c r="C2039" t="s">
        <v>78</v>
      </c>
      <c r="D2039" t="s">
        <v>1598</v>
      </c>
      <c r="E2039" t="s">
        <v>17</v>
      </c>
      <c r="G2039" t="s">
        <v>31</v>
      </c>
      <c r="H2039" t="s">
        <v>18</v>
      </c>
    </row>
    <row r="2040" spans="1:8" hidden="1" x14ac:dyDescent="0.2">
      <c r="A2040" t="s">
        <v>1599</v>
      </c>
      <c r="B2040" t="s">
        <v>75</v>
      </c>
      <c r="C2040" t="s">
        <v>78</v>
      </c>
      <c r="D2040" t="s">
        <v>496</v>
      </c>
      <c r="E2040" t="s">
        <v>22</v>
      </c>
      <c r="G2040" t="s">
        <v>31</v>
      </c>
      <c r="H2040" t="s">
        <v>18</v>
      </c>
    </row>
    <row r="2041" spans="1:8" hidden="1" x14ac:dyDescent="0.2">
      <c r="A2041" t="s">
        <v>1599</v>
      </c>
      <c r="B2041" t="s">
        <v>75</v>
      </c>
      <c r="C2041" t="s">
        <v>78</v>
      </c>
      <c r="D2041" t="s">
        <v>496</v>
      </c>
      <c r="E2041" t="s">
        <v>1528</v>
      </c>
      <c r="G2041" t="s">
        <v>31</v>
      </c>
      <c r="H2041" t="s">
        <v>18</v>
      </c>
    </row>
    <row r="2042" spans="1:8" hidden="1" x14ac:dyDescent="0.2">
      <c r="A2042" t="s">
        <v>1599</v>
      </c>
      <c r="B2042" t="s">
        <v>75</v>
      </c>
      <c r="C2042" t="s">
        <v>78</v>
      </c>
      <c r="D2042" t="s">
        <v>496</v>
      </c>
      <c r="E2042" t="s">
        <v>1529</v>
      </c>
      <c r="G2042" t="s">
        <v>31</v>
      </c>
      <c r="H2042" t="s">
        <v>18</v>
      </c>
    </row>
    <row r="2043" spans="1:8" hidden="1" x14ac:dyDescent="0.2">
      <c r="A2043" t="s">
        <v>1599</v>
      </c>
      <c r="B2043" t="s">
        <v>75</v>
      </c>
      <c r="C2043" t="s">
        <v>78</v>
      </c>
      <c r="D2043" t="s">
        <v>496</v>
      </c>
      <c r="E2043" t="s">
        <v>1530</v>
      </c>
      <c r="G2043" t="s">
        <v>31</v>
      </c>
      <c r="H2043" t="s">
        <v>18</v>
      </c>
    </row>
    <row r="2044" spans="1:8" hidden="1" x14ac:dyDescent="0.2">
      <c r="A2044" t="s">
        <v>1599</v>
      </c>
      <c r="B2044" t="s">
        <v>75</v>
      </c>
      <c r="C2044" t="s">
        <v>78</v>
      </c>
      <c r="D2044" t="s">
        <v>496</v>
      </c>
      <c r="E2044" t="s">
        <v>1531</v>
      </c>
      <c r="G2044" t="s">
        <v>31</v>
      </c>
      <c r="H2044" t="s">
        <v>18</v>
      </c>
    </row>
    <row r="2045" spans="1:8" hidden="1" x14ac:dyDescent="0.2">
      <c r="A2045" t="s">
        <v>1599</v>
      </c>
      <c r="B2045" t="s">
        <v>75</v>
      </c>
      <c r="C2045" t="s">
        <v>78</v>
      </c>
      <c r="D2045" t="s">
        <v>496</v>
      </c>
      <c r="E2045" t="s">
        <v>12</v>
      </c>
      <c r="G2045" t="s">
        <v>31</v>
      </c>
      <c r="H2045" t="s">
        <v>14</v>
      </c>
    </row>
    <row r="2046" spans="1:8" hidden="1" x14ac:dyDescent="0.2">
      <c r="A2046" t="s">
        <v>1599</v>
      </c>
      <c r="B2046" t="s">
        <v>75</v>
      </c>
      <c r="C2046" t="s">
        <v>78</v>
      </c>
      <c r="D2046" t="s">
        <v>496</v>
      </c>
      <c r="E2046" t="s">
        <v>21</v>
      </c>
      <c r="G2046" t="s">
        <v>31</v>
      </c>
      <c r="H2046" t="s">
        <v>18</v>
      </c>
    </row>
    <row r="2047" spans="1:8" hidden="1" x14ac:dyDescent="0.2">
      <c r="A2047" t="s">
        <v>1599</v>
      </c>
      <c r="B2047" t="s">
        <v>75</v>
      </c>
      <c r="C2047" t="s">
        <v>78</v>
      </c>
      <c r="D2047" t="s">
        <v>496</v>
      </c>
      <c r="E2047" t="s">
        <v>20</v>
      </c>
      <c r="G2047" t="s">
        <v>31</v>
      </c>
      <c r="H2047" t="s">
        <v>18</v>
      </c>
    </row>
    <row r="2048" spans="1:8" hidden="1" x14ac:dyDescent="0.2">
      <c r="A2048" t="s">
        <v>1599</v>
      </c>
      <c r="B2048" t="s">
        <v>75</v>
      </c>
      <c r="C2048" t="s">
        <v>78</v>
      </c>
      <c r="D2048" t="s">
        <v>496</v>
      </c>
      <c r="E2048" t="s">
        <v>19</v>
      </c>
      <c r="G2048" t="s">
        <v>31</v>
      </c>
      <c r="H2048" t="s">
        <v>18</v>
      </c>
    </row>
    <row r="2049" spans="1:8" hidden="1" x14ac:dyDescent="0.2">
      <c r="A2049" t="s">
        <v>1599</v>
      </c>
      <c r="B2049" t="s">
        <v>75</v>
      </c>
      <c r="C2049" t="s">
        <v>78</v>
      </c>
      <c r="D2049" t="s">
        <v>496</v>
      </c>
      <c r="E2049" t="s">
        <v>17</v>
      </c>
      <c r="G2049" t="s">
        <v>31</v>
      </c>
      <c r="H2049" t="s">
        <v>18</v>
      </c>
    </row>
    <row r="2050" spans="1:8" hidden="1" x14ac:dyDescent="0.2">
      <c r="A2050" t="s">
        <v>1644</v>
      </c>
      <c r="B2050" t="s">
        <v>75</v>
      </c>
      <c r="C2050" t="s">
        <v>85</v>
      </c>
      <c r="D2050" t="s">
        <v>1645</v>
      </c>
      <c r="E2050" t="s">
        <v>22</v>
      </c>
      <c r="G2050" t="s">
        <v>31</v>
      </c>
      <c r="H2050" t="s">
        <v>18</v>
      </c>
    </row>
    <row r="2051" spans="1:8" hidden="1" x14ac:dyDescent="0.2">
      <c r="A2051" t="s">
        <v>1644</v>
      </c>
      <c r="B2051" t="s">
        <v>75</v>
      </c>
      <c r="C2051" t="s">
        <v>85</v>
      </c>
      <c r="D2051" t="s">
        <v>1645</v>
      </c>
      <c r="E2051" t="s">
        <v>1528</v>
      </c>
      <c r="G2051" t="s">
        <v>31</v>
      </c>
      <c r="H2051" t="s">
        <v>18</v>
      </c>
    </row>
    <row r="2052" spans="1:8" hidden="1" x14ac:dyDescent="0.2">
      <c r="A2052" t="s">
        <v>1644</v>
      </c>
      <c r="B2052" t="s">
        <v>75</v>
      </c>
      <c r="C2052" t="s">
        <v>85</v>
      </c>
      <c r="D2052" t="s">
        <v>1645</v>
      </c>
      <c r="E2052" t="s">
        <v>1529</v>
      </c>
      <c r="G2052" t="s">
        <v>31</v>
      </c>
      <c r="H2052" t="s">
        <v>18</v>
      </c>
    </row>
    <row r="2053" spans="1:8" hidden="1" x14ac:dyDescent="0.2">
      <c r="A2053" t="s">
        <v>1644</v>
      </c>
      <c r="B2053" t="s">
        <v>75</v>
      </c>
      <c r="C2053" t="s">
        <v>85</v>
      </c>
      <c r="D2053" t="s">
        <v>1645</v>
      </c>
      <c r="E2053" t="s">
        <v>1530</v>
      </c>
      <c r="G2053" t="s">
        <v>31</v>
      </c>
      <c r="H2053" t="s">
        <v>18</v>
      </c>
    </row>
    <row r="2054" spans="1:8" hidden="1" x14ac:dyDescent="0.2">
      <c r="A2054" t="s">
        <v>1644</v>
      </c>
      <c r="B2054" t="s">
        <v>75</v>
      </c>
      <c r="C2054" t="s">
        <v>85</v>
      </c>
      <c r="D2054" t="s">
        <v>1645</v>
      </c>
      <c r="E2054" t="s">
        <v>1531</v>
      </c>
      <c r="G2054" t="s">
        <v>31</v>
      </c>
      <c r="H2054" t="s">
        <v>18</v>
      </c>
    </row>
    <row r="2055" spans="1:8" hidden="1" x14ac:dyDescent="0.2">
      <c r="A2055" t="s">
        <v>1644</v>
      </c>
      <c r="B2055" t="s">
        <v>75</v>
      </c>
      <c r="C2055" t="s">
        <v>85</v>
      </c>
      <c r="D2055" t="s">
        <v>1645</v>
      </c>
      <c r="E2055" t="s">
        <v>12</v>
      </c>
      <c r="G2055" t="s">
        <v>31</v>
      </c>
      <c r="H2055" t="s">
        <v>14</v>
      </c>
    </row>
    <row r="2056" spans="1:8" hidden="1" x14ac:dyDescent="0.2">
      <c r="A2056" t="s">
        <v>1644</v>
      </c>
      <c r="B2056" t="s">
        <v>75</v>
      </c>
      <c r="C2056" t="s">
        <v>85</v>
      </c>
      <c r="D2056" t="s">
        <v>1645</v>
      </c>
      <c r="E2056" t="s">
        <v>21</v>
      </c>
      <c r="G2056" t="s">
        <v>31</v>
      </c>
      <c r="H2056" t="s">
        <v>18</v>
      </c>
    </row>
    <row r="2057" spans="1:8" hidden="1" x14ac:dyDescent="0.2">
      <c r="A2057" t="s">
        <v>1644</v>
      </c>
      <c r="B2057" t="s">
        <v>75</v>
      </c>
      <c r="C2057" t="s">
        <v>85</v>
      </c>
      <c r="D2057" t="s">
        <v>1645</v>
      </c>
      <c r="E2057" t="s">
        <v>20</v>
      </c>
      <c r="G2057" t="s">
        <v>31</v>
      </c>
      <c r="H2057" t="s">
        <v>18</v>
      </c>
    </row>
    <row r="2058" spans="1:8" hidden="1" x14ac:dyDescent="0.2">
      <c r="A2058" t="s">
        <v>1644</v>
      </c>
      <c r="B2058" t="s">
        <v>75</v>
      </c>
      <c r="C2058" t="s">
        <v>85</v>
      </c>
      <c r="D2058" t="s">
        <v>1645</v>
      </c>
      <c r="E2058" t="s">
        <v>19</v>
      </c>
      <c r="G2058" t="s">
        <v>31</v>
      </c>
      <c r="H2058" t="s">
        <v>18</v>
      </c>
    </row>
    <row r="2059" spans="1:8" hidden="1" x14ac:dyDescent="0.2">
      <c r="A2059" t="s">
        <v>1644</v>
      </c>
      <c r="B2059" t="s">
        <v>75</v>
      </c>
      <c r="C2059" t="s">
        <v>85</v>
      </c>
      <c r="D2059" t="s">
        <v>1645</v>
      </c>
      <c r="E2059" t="s">
        <v>17</v>
      </c>
      <c r="G2059" t="s">
        <v>31</v>
      </c>
      <c r="H2059" t="s">
        <v>18</v>
      </c>
    </row>
    <row r="2060" spans="1:8" hidden="1" x14ac:dyDescent="0.2">
      <c r="A2060" t="s">
        <v>1647</v>
      </c>
      <c r="B2060" t="s">
        <v>75</v>
      </c>
      <c r="C2060" t="s">
        <v>78</v>
      </c>
      <c r="D2060" t="s">
        <v>1648</v>
      </c>
      <c r="E2060" t="s">
        <v>22</v>
      </c>
      <c r="G2060" t="s">
        <v>31</v>
      </c>
      <c r="H2060" t="s">
        <v>18</v>
      </c>
    </row>
    <row r="2061" spans="1:8" hidden="1" x14ac:dyDescent="0.2">
      <c r="A2061" t="s">
        <v>1647</v>
      </c>
      <c r="B2061" t="s">
        <v>75</v>
      </c>
      <c r="C2061" t="s">
        <v>78</v>
      </c>
      <c r="D2061" t="s">
        <v>1648</v>
      </c>
      <c r="E2061" t="s">
        <v>1528</v>
      </c>
      <c r="G2061" t="s">
        <v>31</v>
      </c>
      <c r="H2061" t="s">
        <v>18</v>
      </c>
    </row>
    <row r="2062" spans="1:8" hidden="1" x14ac:dyDescent="0.2">
      <c r="A2062" t="s">
        <v>1647</v>
      </c>
      <c r="B2062" t="s">
        <v>75</v>
      </c>
      <c r="C2062" t="s">
        <v>78</v>
      </c>
      <c r="D2062" t="s">
        <v>1648</v>
      </c>
      <c r="E2062" t="s">
        <v>1529</v>
      </c>
      <c r="G2062" t="s">
        <v>31</v>
      </c>
      <c r="H2062" t="s">
        <v>18</v>
      </c>
    </row>
    <row r="2063" spans="1:8" hidden="1" x14ac:dyDescent="0.2">
      <c r="A2063" t="s">
        <v>1647</v>
      </c>
      <c r="B2063" t="s">
        <v>75</v>
      </c>
      <c r="C2063" t="s">
        <v>78</v>
      </c>
      <c r="D2063" t="s">
        <v>1648</v>
      </c>
      <c r="E2063" t="s">
        <v>1530</v>
      </c>
      <c r="G2063" t="s">
        <v>31</v>
      </c>
      <c r="H2063" t="s">
        <v>18</v>
      </c>
    </row>
    <row r="2064" spans="1:8" hidden="1" x14ac:dyDescent="0.2">
      <c r="A2064" t="s">
        <v>1647</v>
      </c>
      <c r="B2064" t="s">
        <v>75</v>
      </c>
      <c r="C2064" t="s">
        <v>78</v>
      </c>
      <c r="D2064" t="s">
        <v>1648</v>
      </c>
      <c r="E2064" t="s">
        <v>1531</v>
      </c>
      <c r="G2064" t="s">
        <v>31</v>
      </c>
      <c r="H2064" t="s">
        <v>18</v>
      </c>
    </row>
    <row r="2065" spans="1:8" hidden="1" x14ac:dyDescent="0.2">
      <c r="A2065" t="s">
        <v>1647</v>
      </c>
      <c r="B2065" t="s">
        <v>75</v>
      </c>
      <c r="C2065" t="s">
        <v>78</v>
      </c>
      <c r="D2065" t="s">
        <v>1648</v>
      </c>
      <c r="E2065" t="s">
        <v>12</v>
      </c>
      <c r="G2065" t="s">
        <v>31</v>
      </c>
      <c r="H2065" t="s">
        <v>14</v>
      </c>
    </row>
    <row r="2066" spans="1:8" hidden="1" x14ac:dyDescent="0.2">
      <c r="A2066" t="s">
        <v>1647</v>
      </c>
      <c r="B2066" t="s">
        <v>75</v>
      </c>
      <c r="C2066" t="s">
        <v>78</v>
      </c>
      <c r="D2066" t="s">
        <v>1648</v>
      </c>
      <c r="E2066" t="s">
        <v>21</v>
      </c>
      <c r="G2066" t="s">
        <v>31</v>
      </c>
      <c r="H2066" t="s">
        <v>18</v>
      </c>
    </row>
    <row r="2067" spans="1:8" hidden="1" x14ac:dyDescent="0.2">
      <c r="A2067" t="s">
        <v>1647</v>
      </c>
      <c r="B2067" t="s">
        <v>75</v>
      </c>
      <c r="C2067" t="s">
        <v>78</v>
      </c>
      <c r="D2067" t="s">
        <v>1648</v>
      </c>
      <c r="E2067" t="s">
        <v>20</v>
      </c>
      <c r="G2067" t="s">
        <v>31</v>
      </c>
      <c r="H2067" t="s">
        <v>18</v>
      </c>
    </row>
    <row r="2068" spans="1:8" hidden="1" x14ac:dyDescent="0.2">
      <c r="A2068" t="s">
        <v>1647</v>
      </c>
      <c r="B2068" t="s">
        <v>75</v>
      </c>
      <c r="C2068" t="s">
        <v>78</v>
      </c>
      <c r="D2068" t="s">
        <v>1648</v>
      </c>
      <c r="E2068" t="s">
        <v>19</v>
      </c>
      <c r="G2068" t="s">
        <v>31</v>
      </c>
      <c r="H2068" t="s">
        <v>18</v>
      </c>
    </row>
    <row r="2069" spans="1:8" hidden="1" x14ac:dyDescent="0.2">
      <c r="A2069" t="s">
        <v>1647</v>
      </c>
      <c r="B2069" t="s">
        <v>75</v>
      </c>
      <c r="C2069" t="s">
        <v>78</v>
      </c>
      <c r="D2069" t="s">
        <v>1648</v>
      </c>
      <c r="E2069" t="s">
        <v>17</v>
      </c>
      <c r="G2069" t="s">
        <v>31</v>
      </c>
      <c r="H2069" t="s">
        <v>18</v>
      </c>
    </row>
    <row r="2070" spans="1:8" hidden="1" x14ac:dyDescent="0.2">
      <c r="A2070" t="s">
        <v>1650</v>
      </c>
      <c r="B2070" t="s">
        <v>75</v>
      </c>
      <c r="C2070" t="s">
        <v>76</v>
      </c>
      <c r="D2070" t="s">
        <v>1651</v>
      </c>
      <c r="E2070" t="s">
        <v>22</v>
      </c>
      <c r="G2070" t="s">
        <v>31</v>
      </c>
      <c r="H2070" t="s">
        <v>18</v>
      </c>
    </row>
    <row r="2071" spans="1:8" hidden="1" x14ac:dyDescent="0.2">
      <c r="A2071" t="s">
        <v>1650</v>
      </c>
      <c r="B2071" t="s">
        <v>75</v>
      </c>
      <c r="C2071" t="s">
        <v>76</v>
      </c>
      <c r="D2071" t="s">
        <v>1651</v>
      </c>
      <c r="E2071" t="s">
        <v>1528</v>
      </c>
      <c r="G2071" t="s">
        <v>31</v>
      </c>
      <c r="H2071" t="s">
        <v>18</v>
      </c>
    </row>
    <row r="2072" spans="1:8" hidden="1" x14ac:dyDescent="0.2">
      <c r="A2072" t="s">
        <v>1650</v>
      </c>
      <c r="B2072" t="s">
        <v>75</v>
      </c>
      <c r="C2072" t="s">
        <v>76</v>
      </c>
      <c r="D2072" t="s">
        <v>1651</v>
      </c>
      <c r="E2072" t="s">
        <v>1529</v>
      </c>
      <c r="G2072" t="s">
        <v>31</v>
      </c>
      <c r="H2072" t="s">
        <v>18</v>
      </c>
    </row>
    <row r="2073" spans="1:8" hidden="1" x14ac:dyDescent="0.2">
      <c r="A2073" t="s">
        <v>1650</v>
      </c>
      <c r="B2073" t="s">
        <v>75</v>
      </c>
      <c r="C2073" t="s">
        <v>76</v>
      </c>
      <c r="D2073" t="s">
        <v>1651</v>
      </c>
      <c r="E2073" t="s">
        <v>1530</v>
      </c>
      <c r="G2073" t="s">
        <v>31</v>
      </c>
      <c r="H2073" t="s">
        <v>18</v>
      </c>
    </row>
    <row r="2074" spans="1:8" hidden="1" x14ac:dyDescent="0.2">
      <c r="A2074" t="s">
        <v>1650</v>
      </c>
      <c r="B2074" t="s">
        <v>75</v>
      </c>
      <c r="C2074" t="s">
        <v>76</v>
      </c>
      <c r="D2074" t="s">
        <v>1651</v>
      </c>
      <c r="E2074" t="s">
        <v>1531</v>
      </c>
      <c r="G2074" t="s">
        <v>31</v>
      </c>
      <c r="H2074" t="s">
        <v>18</v>
      </c>
    </row>
    <row r="2075" spans="1:8" hidden="1" x14ac:dyDescent="0.2">
      <c r="A2075" t="s">
        <v>1650</v>
      </c>
      <c r="B2075" t="s">
        <v>75</v>
      </c>
      <c r="C2075" t="s">
        <v>76</v>
      </c>
      <c r="D2075" t="s">
        <v>1651</v>
      </c>
      <c r="E2075" t="s">
        <v>12</v>
      </c>
      <c r="G2075" t="s">
        <v>31</v>
      </c>
      <c r="H2075" t="s">
        <v>14</v>
      </c>
    </row>
    <row r="2076" spans="1:8" hidden="1" x14ac:dyDescent="0.2">
      <c r="A2076" t="s">
        <v>1650</v>
      </c>
      <c r="B2076" t="s">
        <v>75</v>
      </c>
      <c r="C2076" t="s">
        <v>76</v>
      </c>
      <c r="D2076" t="s">
        <v>1651</v>
      </c>
      <c r="E2076" t="s">
        <v>21</v>
      </c>
      <c r="G2076" t="s">
        <v>31</v>
      </c>
      <c r="H2076" t="s">
        <v>18</v>
      </c>
    </row>
    <row r="2077" spans="1:8" hidden="1" x14ac:dyDescent="0.2">
      <c r="A2077" t="s">
        <v>1650</v>
      </c>
      <c r="B2077" t="s">
        <v>75</v>
      </c>
      <c r="C2077" t="s">
        <v>76</v>
      </c>
      <c r="D2077" t="s">
        <v>1651</v>
      </c>
      <c r="E2077" t="s">
        <v>20</v>
      </c>
      <c r="G2077" t="s">
        <v>31</v>
      </c>
      <c r="H2077" t="s">
        <v>18</v>
      </c>
    </row>
    <row r="2078" spans="1:8" hidden="1" x14ac:dyDescent="0.2">
      <c r="A2078" t="s">
        <v>1650</v>
      </c>
      <c r="B2078" t="s">
        <v>75</v>
      </c>
      <c r="C2078" t="s">
        <v>76</v>
      </c>
      <c r="D2078" t="s">
        <v>1651</v>
      </c>
      <c r="E2078" t="s">
        <v>19</v>
      </c>
      <c r="G2078" t="s">
        <v>31</v>
      </c>
      <c r="H2078" t="s">
        <v>18</v>
      </c>
    </row>
    <row r="2079" spans="1:8" hidden="1" x14ac:dyDescent="0.2">
      <c r="A2079" t="s">
        <v>1650</v>
      </c>
      <c r="B2079" t="s">
        <v>75</v>
      </c>
      <c r="C2079" t="s">
        <v>76</v>
      </c>
      <c r="D2079" t="s">
        <v>1651</v>
      </c>
      <c r="E2079" t="s">
        <v>17</v>
      </c>
      <c r="G2079" t="s">
        <v>31</v>
      </c>
      <c r="H2079" t="s">
        <v>18</v>
      </c>
    </row>
    <row r="2080" spans="1:8" hidden="1" x14ac:dyDescent="0.2">
      <c r="A2080" t="s">
        <v>469</v>
      </c>
      <c r="B2080" t="s">
        <v>75</v>
      </c>
      <c r="C2080" t="s">
        <v>77</v>
      </c>
      <c r="D2080" t="s">
        <v>470</v>
      </c>
      <c r="E2080" t="s">
        <v>22</v>
      </c>
      <c r="G2080" t="s">
        <v>31</v>
      </c>
      <c r="H2080" t="s">
        <v>27</v>
      </c>
    </row>
    <row r="2081" spans="1:8" hidden="1" x14ac:dyDescent="0.2">
      <c r="A2081" t="s">
        <v>469</v>
      </c>
      <c r="B2081" t="s">
        <v>75</v>
      </c>
      <c r="C2081" t="s">
        <v>77</v>
      </c>
      <c r="D2081" t="s">
        <v>470</v>
      </c>
      <c r="E2081" t="s">
        <v>1528</v>
      </c>
      <c r="G2081" t="s">
        <v>31</v>
      </c>
      <c r="H2081" t="s">
        <v>27</v>
      </c>
    </row>
    <row r="2082" spans="1:8" hidden="1" x14ac:dyDescent="0.2">
      <c r="A2082" t="s">
        <v>469</v>
      </c>
      <c r="B2082" t="s">
        <v>75</v>
      </c>
      <c r="C2082" t="s">
        <v>77</v>
      </c>
      <c r="D2082" t="s">
        <v>470</v>
      </c>
      <c r="E2082" t="s">
        <v>1529</v>
      </c>
      <c r="G2082" t="s">
        <v>31</v>
      </c>
      <c r="H2082" t="s">
        <v>27</v>
      </c>
    </row>
    <row r="2083" spans="1:8" hidden="1" x14ac:dyDescent="0.2">
      <c r="A2083" t="s">
        <v>469</v>
      </c>
      <c r="B2083" t="s">
        <v>75</v>
      </c>
      <c r="C2083" t="s">
        <v>77</v>
      </c>
      <c r="D2083" t="s">
        <v>470</v>
      </c>
      <c r="E2083" t="s">
        <v>1530</v>
      </c>
      <c r="G2083" t="s">
        <v>31</v>
      </c>
      <c r="H2083" t="s">
        <v>27</v>
      </c>
    </row>
    <row r="2084" spans="1:8" hidden="1" x14ac:dyDescent="0.2">
      <c r="A2084" t="s">
        <v>469</v>
      </c>
      <c r="B2084" t="s">
        <v>75</v>
      </c>
      <c r="C2084" t="s">
        <v>77</v>
      </c>
      <c r="D2084" t="s">
        <v>470</v>
      </c>
      <c r="E2084" t="s">
        <v>1531</v>
      </c>
      <c r="G2084" t="s">
        <v>31</v>
      </c>
      <c r="H2084" t="s">
        <v>27</v>
      </c>
    </row>
    <row r="2085" spans="1:8" hidden="1" x14ac:dyDescent="0.2">
      <c r="A2085" t="s">
        <v>469</v>
      </c>
      <c r="B2085" t="s">
        <v>75</v>
      </c>
      <c r="C2085" t="s">
        <v>77</v>
      </c>
      <c r="D2085" t="s">
        <v>470</v>
      </c>
      <c r="E2085" t="s">
        <v>12</v>
      </c>
      <c r="G2085" t="s">
        <v>31</v>
      </c>
      <c r="H2085" t="s">
        <v>18</v>
      </c>
    </row>
    <row r="2086" spans="1:8" hidden="1" x14ac:dyDescent="0.2">
      <c r="A2086" t="s">
        <v>469</v>
      </c>
      <c r="B2086" t="s">
        <v>75</v>
      </c>
      <c r="C2086" t="s">
        <v>77</v>
      </c>
      <c r="D2086" t="s">
        <v>470</v>
      </c>
      <c r="E2086" t="s">
        <v>21</v>
      </c>
      <c r="G2086" t="s">
        <v>31</v>
      </c>
      <c r="H2086" t="s">
        <v>27</v>
      </c>
    </row>
    <row r="2087" spans="1:8" hidden="1" x14ac:dyDescent="0.2">
      <c r="A2087" t="s">
        <v>469</v>
      </c>
      <c r="B2087" t="s">
        <v>75</v>
      </c>
      <c r="C2087" t="s">
        <v>77</v>
      </c>
      <c r="D2087" t="s">
        <v>470</v>
      </c>
      <c r="E2087" t="s">
        <v>20</v>
      </c>
      <c r="G2087" t="s">
        <v>31</v>
      </c>
      <c r="H2087" t="s">
        <v>27</v>
      </c>
    </row>
    <row r="2088" spans="1:8" hidden="1" x14ac:dyDescent="0.2">
      <c r="A2088" t="s">
        <v>469</v>
      </c>
      <c r="B2088" t="s">
        <v>75</v>
      </c>
      <c r="C2088" t="s">
        <v>77</v>
      </c>
      <c r="D2088" t="s">
        <v>470</v>
      </c>
      <c r="E2088" t="s">
        <v>19</v>
      </c>
      <c r="G2088" t="s">
        <v>31</v>
      </c>
      <c r="H2088" t="s">
        <v>27</v>
      </c>
    </row>
    <row r="2089" spans="1:8" hidden="1" x14ac:dyDescent="0.2">
      <c r="A2089" t="s">
        <v>469</v>
      </c>
      <c r="B2089" t="s">
        <v>75</v>
      </c>
      <c r="C2089" t="s">
        <v>77</v>
      </c>
      <c r="D2089" t="s">
        <v>470</v>
      </c>
      <c r="E2089" t="s">
        <v>17</v>
      </c>
      <c r="G2089" t="s">
        <v>31</v>
      </c>
      <c r="H2089" t="s">
        <v>27</v>
      </c>
    </row>
    <row r="2090" spans="1:8" hidden="1" x14ac:dyDescent="0.2">
      <c r="A2090" t="s">
        <v>32</v>
      </c>
      <c r="B2090" t="s">
        <v>9</v>
      </c>
      <c r="C2090" t="s">
        <v>33</v>
      </c>
      <c r="D2090" t="s">
        <v>34</v>
      </c>
      <c r="E2090" t="s">
        <v>22</v>
      </c>
      <c r="F2090">
        <v>140</v>
      </c>
      <c r="G2090" t="s">
        <v>31</v>
      </c>
      <c r="H2090" t="s">
        <v>27</v>
      </c>
    </row>
    <row r="2091" spans="1:8" hidden="1" x14ac:dyDescent="0.2">
      <c r="A2091" t="s">
        <v>32</v>
      </c>
      <c r="B2091" t="s">
        <v>9</v>
      </c>
      <c r="C2091" t="s">
        <v>33</v>
      </c>
      <c r="D2091" t="s">
        <v>34</v>
      </c>
      <c r="E2091" t="s">
        <v>1528</v>
      </c>
      <c r="G2091" t="s">
        <v>31</v>
      </c>
      <c r="H2091" t="s">
        <v>27</v>
      </c>
    </row>
    <row r="2092" spans="1:8" hidden="1" x14ac:dyDescent="0.2">
      <c r="A2092" t="s">
        <v>32</v>
      </c>
      <c r="B2092" t="s">
        <v>9</v>
      </c>
      <c r="C2092" t="s">
        <v>33</v>
      </c>
      <c r="D2092" t="s">
        <v>34</v>
      </c>
      <c r="E2092" t="s">
        <v>1529</v>
      </c>
      <c r="G2092" t="s">
        <v>31</v>
      </c>
      <c r="H2092" t="s">
        <v>27</v>
      </c>
    </row>
    <row r="2093" spans="1:8" hidden="1" x14ac:dyDescent="0.2">
      <c r="A2093" t="s">
        <v>32</v>
      </c>
      <c r="B2093" t="s">
        <v>9</v>
      </c>
      <c r="C2093" t="s">
        <v>33</v>
      </c>
      <c r="D2093" t="s">
        <v>34</v>
      </c>
      <c r="E2093" t="s">
        <v>1530</v>
      </c>
      <c r="G2093" t="s">
        <v>31</v>
      </c>
      <c r="H2093" t="s">
        <v>27</v>
      </c>
    </row>
    <row r="2094" spans="1:8" hidden="1" x14ac:dyDescent="0.2">
      <c r="A2094" t="s">
        <v>32</v>
      </c>
      <c r="B2094" t="s">
        <v>9</v>
      </c>
      <c r="C2094" t="s">
        <v>33</v>
      </c>
      <c r="D2094" t="s">
        <v>34</v>
      </c>
      <c r="E2094" t="s">
        <v>1531</v>
      </c>
      <c r="G2094" t="s">
        <v>31</v>
      </c>
      <c r="H2094" t="s">
        <v>27</v>
      </c>
    </row>
    <row r="2095" spans="1:8" hidden="1" x14ac:dyDescent="0.2">
      <c r="A2095" t="s">
        <v>32</v>
      </c>
      <c r="B2095" t="s">
        <v>9</v>
      </c>
      <c r="C2095" t="s">
        <v>33</v>
      </c>
      <c r="D2095" t="s">
        <v>34</v>
      </c>
      <c r="E2095" t="s">
        <v>12</v>
      </c>
      <c r="F2095">
        <v>28</v>
      </c>
      <c r="G2095" t="s">
        <v>31</v>
      </c>
      <c r="H2095" t="s">
        <v>18</v>
      </c>
    </row>
    <row r="2096" spans="1:8" hidden="1" x14ac:dyDescent="0.2">
      <c r="A2096" t="s">
        <v>32</v>
      </c>
      <c r="B2096" t="s">
        <v>9</v>
      </c>
      <c r="C2096" t="s">
        <v>33</v>
      </c>
      <c r="D2096" t="s">
        <v>34</v>
      </c>
      <c r="E2096" t="s">
        <v>21</v>
      </c>
      <c r="F2096">
        <v>70</v>
      </c>
      <c r="G2096" t="s">
        <v>31</v>
      </c>
      <c r="H2096" t="s">
        <v>27</v>
      </c>
    </row>
    <row r="2097" spans="1:8" hidden="1" x14ac:dyDescent="0.2">
      <c r="A2097" t="s">
        <v>32</v>
      </c>
      <c r="B2097" t="s">
        <v>9</v>
      </c>
      <c r="C2097" t="s">
        <v>33</v>
      </c>
      <c r="D2097" t="s">
        <v>34</v>
      </c>
      <c r="E2097" t="s">
        <v>20</v>
      </c>
      <c r="F2097">
        <v>56</v>
      </c>
      <c r="G2097" t="s">
        <v>31</v>
      </c>
      <c r="H2097" t="s">
        <v>27</v>
      </c>
    </row>
    <row r="2098" spans="1:8" hidden="1" x14ac:dyDescent="0.2">
      <c r="A2098" t="s">
        <v>32</v>
      </c>
      <c r="B2098" t="s">
        <v>9</v>
      </c>
      <c r="C2098" t="s">
        <v>33</v>
      </c>
      <c r="D2098" t="s">
        <v>34</v>
      </c>
      <c r="E2098" t="s">
        <v>19</v>
      </c>
      <c r="F2098">
        <v>56</v>
      </c>
      <c r="G2098" t="s">
        <v>31</v>
      </c>
      <c r="H2098" t="s">
        <v>27</v>
      </c>
    </row>
    <row r="2099" spans="1:8" hidden="1" x14ac:dyDescent="0.2">
      <c r="A2099" t="s">
        <v>32</v>
      </c>
      <c r="B2099" t="s">
        <v>9</v>
      </c>
      <c r="C2099" t="s">
        <v>33</v>
      </c>
      <c r="D2099" t="s">
        <v>34</v>
      </c>
      <c r="E2099" t="s">
        <v>17</v>
      </c>
      <c r="F2099">
        <v>70</v>
      </c>
      <c r="G2099" t="s">
        <v>31</v>
      </c>
      <c r="H2099" t="s">
        <v>27</v>
      </c>
    </row>
    <row r="2100" spans="1:8" hidden="1" x14ac:dyDescent="0.2">
      <c r="A2100" t="s">
        <v>471</v>
      </c>
      <c r="D2100" t="s">
        <v>472</v>
      </c>
      <c r="E2100" t="s">
        <v>22</v>
      </c>
      <c r="F2100">
        <v>46.7</v>
      </c>
      <c r="G2100" t="s">
        <v>31</v>
      </c>
      <c r="H2100" t="s">
        <v>51</v>
      </c>
    </row>
    <row r="2101" spans="1:8" hidden="1" x14ac:dyDescent="0.2">
      <c r="A2101" t="s">
        <v>471</v>
      </c>
      <c r="D2101" t="s">
        <v>472</v>
      </c>
      <c r="E2101" t="s">
        <v>1528</v>
      </c>
      <c r="G2101" t="s">
        <v>31</v>
      </c>
      <c r="H2101" t="s">
        <v>51</v>
      </c>
    </row>
    <row r="2102" spans="1:8" hidden="1" x14ac:dyDescent="0.2">
      <c r="A2102" t="s">
        <v>471</v>
      </c>
      <c r="D2102" t="s">
        <v>472</v>
      </c>
      <c r="E2102" t="s">
        <v>1529</v>
      </c>
      <c r="G2102" t="s">
        <v>31</v>
      </c>
      <c r="H2102" t="s">
        <v>51</v>
      </c>
    </row>
    <row r="2103" spans="1:8" hidden="1" x14ac:dyDescent="0.2">
      <c r="A2103" t="s">
        <v>471</v>
      </c>
      <c r="D2103" t="s">
        <v>472</v>
      </c>
      <c r="E2103" t="s">
        <v>1530</v>
      </c>
      <c r="G2103" t="s">
        <v>31</v>
      </c>
      <c r="H2103" t="s">
        <v>51</v>
      </c>
    </row>
    <row r="2104" spans="1:8" hidden="1" x14ac:dyDescent="0.2">
      <c r="A2104" t="s">
        <v>471</v>
      </c>
      <c r="D2104" t="s">
        <v>472</v>
      </c>
      <c r="E2104" t="s">
        <v>1531</v>
      </c>
      <c r="G2104" t="s">
        <v>31</v>
      </c>
      <c r="H2104" t="s">
        <v>51</v>
      </c>
    </row>
    <row r="2105" spans="1:8" hidden="1" x14ac:dyDescent="0.2">
      <c r="A2105" t="s">
        <v>471</v>
      </c>
      <c r="D2105" t="s">
        <v>472</v>
      </c>
      <c r="E2105" t="s">
        <v>12</v>
      </c>
      <c r="F2105">
        <v>9.3000000000000007</v>
      </c>
      <c r="G2105" t="s">
        <v>31</v>
      </c>
      <c r="H2105" t="s">
        <v>27</v>
      </c>
    </row>
    <row r="2106" spans="1:8" hidden="1" x14ac:dyDescent="0.2">
      <c r="A2106" t="s">
        <v>471</v>
      </c>
      <c r="D2106" t="s">
        <v>472</v>
      </c>
      <c r="E2106" t="s">
        <v>21</v>
      </c>
      <c r="F2106">
        <v>23.4</v>
      </c>
      <c r="G2106" t="s">
        <v>31</v>
      </c>
      <c r="H2106" t="s">
        <v>51</v>
      </c>
    </row>
    <row r="2107" spans="1:8" hidden="1" x14ac:dyDescent="0.2">
      <c r="A2107" t="s">
        <v>471</v>
      </c>
      <c r="D2107" t="s">
        <v>472</v>
      </c>
      <c r="E2107" t="s">
        <v>20</v>
      </c>
      <c r="F2107">
        <v>18.7</v>
      </c>
      <c r="G2107" t="s">
        <v>31</v>
      </c>
      <c r="H2107" t="s">
        <v>51</v>
      </c>
    </row>
    <row r="2108" spans="1:8" hidden="1" x14ac:dyDescent="0.2">
      <c r="A2108" t="s">
        <v>471</v>
      </c>
      <c r="D2108" t="s">
        <v>472</v>
      </c>
      <c r="E2108" t="s">
        <v>19</v>
      </c>
      <c r="F2108">
        <v>18.7</v>
      </c>
      <c r="G2108" t="s">
        <v>31</v>
      </c>
      <c r="H2108" t="s">
        <v>51</v>
      </c>
    </row>
    <row r="2109" spans="1:8" hidden="1" x14ac:dyDescent="0.2">
      <c r="A2109" t="s">
        <v>471</v>
      </c>
      <c r="D2109" t="s">
        <v>472</v>
      </c>
      <c r="E2109" t="s">
        <v>17</v>
      </c>
      <c r="F2109">
        <v>23.4</v>
      </c>
      <c r="G2109" t="s">
        <v>31</v>
      </c>
      <c r="H2109" t="s">
        <v>51</v>
      </c>
    </row>
    <row r="2110" spans="1:8" hidden="1" x14ac:dyDescent="0.2">
      <c r="A2110" t="s">
        <v>473</v>
      </c>
      <c r="B2110" t="s">
        <v>66</v>
      </c>
      <c r="C2110" t="s">
        <v>68</v>
      </c>
      <c r="D2110" t="s">
        <v>474</v>
      </c>
      <c r="E2110" t="s">
        <v>22</v>
      </c>
      <c r="F2110">
        <v>140</v>
      </c>
      <c r="G2110" t="s">
        <v>26</v>
      </c>
      <c r="H2110" t="s">
        <v>51</v>
      </c>
    </row>
    <row r="2111" spans="1:8" hidden="1" x14ac:dyDescent="0.2">
      <c r="A2111" t="s">
        <v>473</v>
      </c>
      <c r="B2111" t="s">
        <v>66</v>
      </c>
      <c r="C2111" t="s">
        <v>68</v>
      </c>
      <c r="D2111" t="s">
        <v>474</v>
      </c>
      <c r="E2111" t="s">
        <v>1528</v>
      </c>
      <c r="G2111" t="s">
        <v>26</v>
      </c>
      <c r="H2111" t="s">
        <v>51</v>
      </c>
    </row>
    <row r="2112" spans="1:8" hidden="1" x14ac:dyDescent="0.2">
      <c r="A2112" t="s">
        <v>473</v>
      </c>
      <c r="B2112" t="s">
        <v>66</v>
      </c>
      <c r="C2112" t="s">
        <v>68</v>
      </c>
      <c r="D2112" t="s">
        <v>474</v>
      </c>
      <c r="E2112" t="s">
        <v>1529</v>
      </c>
      <c r="G2112" t="s">
        <v>26</v>
      </c>
      <c r="H2112" t="s">
        <v>51</v>
      </c>
    </row>
    <row r="2113" spans="1:8" hidden="1" x14ac:dyDescent="0.2">
      <c r="A2113" t="s">
        <v>473</v>
      </c>
      <c r="B2113" t="s">
        <v>66</v>
      </c>
      <c r="C2113" t="s">
        <v>68</v>
      </c>
      <c r="D2113" t="s">
        <v>474</v>
      </c>
      <c r="E2113" t="s">
        <v>1530</v>
      </c>
      <c r="G2113" t="s">
        <v>26</v>
      </c>
      <c r="H2113" t="s">
        <v>51</v>
      </c>
    </row>
    <row r="2114" spans="1:8" hidden="1" x14ac:dyDescent="0.2">
      <c r="A2114" t="s">
        <v>473</v>
      </c>
      <c r="B2114" t="s">
        <v>66</v>
      </c>
      <c r="C2114" t="s">
        <v>68</v>
      </c>
      <c r="D2114" t="s">
        <v>474</v>
      </c>
      <c r="E2114" t="s">
        <v>1531</v>
      </c>
      <c r="G2114" t="s">
        <v>26</v>
      </c>
      <c r="H2114" t="s">
        <v>51</v>
      </c>
    </row>
    <row r="2115" spans="1:8" hidden="1" x14ac:dyDescent="0.2">
      <c r="A2115" t="s">
        <v>473</v>
      </c>
      <c r="B2115" t="s">
        <v>66</v>
      </c>
      <c r="C2115" t="s">
        <v>68</v>
      </c>
      <c r="D2115" t="s">
        <v>474</v>
      </c>
      <c r="E2115" t="s">
        <v>12</v>
      </c>
      <c r="F2115">
        <v>28</v>
      </c>
      <c r="G2115" t="s">
        <v>26</v>
      </c>
      <c r="H2115" t="s">
        <v>27</v>
      </c>
    </row>
    <row r="2116" spans="1:8" hidden="1" x14ac:dyDescent="0.2">
      <c r="A2116" t="s">
        <v>473</v>
      </c>
      <c r="B2116" t="s">
        <v>66</v>
      </c>
      <c r="C2116" t="s">
        <v>68</v>
      </c>
      <c r="D2116" t="s">
        <v>474</v>
      </c>
      <c r="E2116" t="s">
        <v>21</v>
      </c>
      <c r="F2116">
        <v>70</v>
      </c>
      <c r="G2116" t="s">
        <v>26</v>
      </c>
      <c r="H2116" t="s">
        <v>51</v>
      </c>
    </row>
    <row r="2117" spans="1:8" hidden="1" x14ac:dyDescent="0.2">
      <c r="A2117" t="s">
        <v>473</v>
      </c>
      <c r="B2117" t="s">
        <v>66</v>
      </c>
      <c r="C2117" t="s">
        <v>68</v>
      </c>
      <c r="D2117" t="s">
        <v>474</v>
      </c>
      <c r="E2117" t="s">
        <v>20</v>
      </c>
      <c r="F2117">
        <v>56</v>
      </c>
      <c r="G2117" t="s">
        <v>26</v>
      </c>
      <c r="H2117" t="s">
        <v>51</v>
      </c>
    </row>
    <row r="2118" spans="1:8" hidden="1" x14ac:dyDescent="0.2">
      <c r="A2118" t="s">
        <v>473</v>
      </c>
      <c r="B2118" t="s">
        <v>66</v>
      </c>
      <c r="C2118" t="s">
        <v>68</v>
      </c>
      <c r="D2118" t="s">
        <v>474</v>
      </c>
      <c r="E2118" t="s">
        <v>19</v>
      </c>
      <c r="F2118">
        <v>56</v>
      </c>
      <c r="G2118" t="s">
        <v>26</v>
      </c>
      <c r="H2118" t="s">
        <v>51</v>
      </c>
    </row>
    <row r="2119" spans="1:8" hidden="1" x14ac:dyDescent="0.2">
      <c r="A2119" t="s">
        <v>473</v>
      </c>
      <c r="B2119" t="s">
        <v>66</v>
      </c>
      <c r="C2119" t="s">
        <v>68</v>
      </c>
      <c r="D2119" t="s">
        <v>474</v>
      </c>
      <c r="E2119" t="s">
        <v>17</v>
      </c>
      <c r="F2119">
        <v>70</v>
      </c>
      <c r="G2119" t="s">
        <v>26</v>
      </c>
      <c r="H2119" t="s">
        <v>51</v>
      </c>
    </row>
    <row r="2120" spans="1:8" hidden="1" x14ac:dyDescent="0.2">
      <c r="A2120" t="s">
        <v>475</v>
      </c>
      <c r="B2120" t="s">
        <v>66</v>
      </c>
      <c r="C2120" t="s">
        <v>68</v>
      </c>
      <c r="D2120" t="s">
        <v>476</v>
      </c>
      <c r="E2120" t="s">
        <v>22</v>
      </c>
      <c r="F2120">
        <v>264</v>
      </c>
      <c r="G2120" t="s">
        <v>26</v>
      </c>
      <c r="H2120" t="s">
        <v>27</v>
      </c>
    </row>
    <row r="2121" spans="1:8" hidden="1" x14ac:dyDescent="0.2">
      <c r="A2121" t="s">
        <v>475</v>
      </c>
      <c r="B2121" t="s">
        <v>66</v>
      </c>
      <c r="C2121" t="s">
        <v>68</v>
      </c>
      <c r="D2121" t="s">
        <v>476</v>
      </c>
      <c r="E2121" t="s">
        <v>1528</v>
      </c>
      <c r="G2121" t="s">
        <v>26</v>
      </c>
      <c r="H2121" t="s">
        <v>27</v>
      </c>
    </row>
    <row r="2122" spans="1:8" hidden="1" x14ac:dyDescent="0.2">
      <c r="A2122" t="s">
        <v>475</v>
      </c>
      <c r="B2122" t="s">
        <v>66</v>
      </c>
      <c r="C2122" t="s">
        <v>68</v>
      </c>
      <c r="D2122" t="s">
        <v>476</v>
      </c>
      <c r="E2122" t="s">
        <v>1529</v>
      </c>
      <c r="G2122" t="s">
        <v>26</v>
      </c>
      <c r="H2122" t="s">
        <v>27</v>
      </c>
    </row>
    <row r="2123" spans="1:8" hidden="1" x14ac:dyDescent="0.2">
      <c r="A2123" t="s">
        <v>475</v>
      </c>
      <c r="B2123" t="s">
        <v>66</v>
      </c>
      <c r="C2123" t="s">
        <v>68</v>
      </c>
      <c r="D2123" t="s">
        <v>476</v>
      </c>
      <c r="E2123" t="s">
        <v>1530</v>
      </c>
      <c r="G2123" t="s">
        <v>26</v>
      </c>
      <c r="H2123" t="s">
        <v>27</v>
      </c>
    </row>
    <row r="2124" spans="1:8" hidden="1" x14ac:dyDescent="0.2">
      <c r="A2124" t="s">
        <v>475</v>
      </c>
      <c r="B2124" t="s">
        <v>66</v>
      </c>
      <c r="C2124" t="s">
        <v>68</v>
      </c>
      <c r="D2124" t="s">
        <v>476</v>
      </c>
      <c r="E2124" t="s">
        <v>1531</v>
      </c>
      <c r="G2124" t="s">
        <v>26</v>
      </c>
      <c r="H2124" t="s">
        <v>27</v>
      </c>
    </row>
    <row r="2125" spans="1:8" x14ac:dyDescent="0.2">
      <c r="A2125" t="s">
        <v>475</v>
      </c>
      <c r="B2125" t="s">
        <v>66</v>
      </c>
      <c r="C2125" t="s">
        <v>68</v>
      </c>
      <c r="D2125" t="s">
        <v>476</v>
      </c>
      <c r="E2125" t="s">
        <v>12</v>
      </c>
      <c r="F2125">
        <v>52.8</v>
      </c>
      <c r="G2125" t="s">
        <v>26</v>
      </c>
      <c r="H2125" t="s">
        <v>18</v>
      </c>
    </row>
    <row r="2126" spans="1:8" hidden="1" x14ac:dyDescent="0.2">
      <c r="A2126" t="s">
        <v>475</v>
      </c>
      <c r="B2126" t="s">
        <v>66</v>
      </c>
      <c r="C2126" t="s">
        <v>68</v>
      </c>
      <c r="D2126" t="s">
        <v>476</v>
      </c>
      <c r="E2126" t="s">
        <v>21</v>
      </c>
      <c r="F2126">
        <v>132</v>
      </c>
      <c r="G2126" t="s">
        <v>26</v>
      </c>
      <c r="H2126" t="s">
        <v>27</v>
      </c>
    </row>
    <row r="2127" spans="1:8" hidden="1" x14ac:dyDescent="0.2">
      <c r="A2127" t="s">
        <v>475</v>
      </c>
      <c r="B2127" t="s">
        <v>66</v>
      </c>
      <c r="C2127" t="s">
        <v>68</v>
      </c>
      <c r="D2127" t="s">
        <v>476</v>
      </c>
      <c r="E2127" t="s">
        <v>20</v>
      </c>
      <c r="F2127">
        <v>105.6</v>
      </c>
      <c r="G2127" t="s">
        <v>26</v>
      </c>
      <c r="H2127" t="s">
        <v>27</v>
      </c>
    </row>
    <row r="2128" spans="1:8" hidden="1" x14ac:dyDescent="0.2">
      <c r="A2128" t="s">
        <v>475</v>
      </c>
      <c r="B2128" t="s">
        <v>66</v>
      </c>
      <c r="C2128" t="s">
        <v>68</v>
      </c>
      <c r="D2128" t="s">
        <v>476</v>
      </c>
      <c r="E2128" t="s">
        <v>19</v>
      </c>
      <c r="F2128">
        <v>105.6</v>
      </c>
      <c r="G2128" t="s">
        <v>26</v>
      </c>
      <c r="H2128" t="s">
        <v>27</v>
      </c>
    </row>
    <row r="2129" spans="1:8" hidden="1" x14ac:dyDescent="0.2">
      <c r="A2129" t="s">
        <v>475</v>
      </c>
      <c r="B2129" t="s">
        <v>66</v>
      </c>
      <c r="C2129" t="s">
        <v>68</v>
      </c>
      <c r="D2129" t="s">
        <v>476</v>
      </c>
      <c r="E2129" t="s">
        <v>17</v>
      </c>
      <c r="F2129">
        <v>132</v>
      </c>
      <c r="G2129" t="s">
        <v>26</v>
      </c>
      <c r="H2129" t="s">
        <v>27</v>
      </c>
    </row>
    <row r="2130" spans="1:8" hidden="1" x14ac:dyDescent="0.2">
      <c r="A2130" t="s">
        <v>477</v>
      </c>
      <c r="B2130" t="s">
        <v>66</v>
      </c>
      <c r="C2130" t="s">
        <v>68</v>
      </c>
      <c r="D2130" t="s">
        <v>478</v>
      </c>
      <c r="E2130" t="s">
        <v>22</v>
      </c>
      <c r="F2130">
        <v>46.7</v>
      </c>
      <c r="G2130" t="s">
        <v>26</v>
      </c>
      <c r="H2130" t="s">
        <v>27</v>
      </c>
    </row>
    <row r="2131" spans="1:8" hidden="1" x14ac:dyDescent="0.2">
      <c r="A2131" t="s">
        <v>477</v>
      </c>
      <c r="B2131" t="s">
        <v>66</v>
      </c>
      <c r="C2131" t="s">
        <v>68</v>
      </c>
      <c r="D2131" t="s">
        <v>478</v>
      </c>
      <c r="E2131" t="s">
        <v>1528</v>
      </c>
      <c r="G2131" t="s">
        <v>26</v>
      </c>
      <c r="H2131" t="s">
        <v>27</v>
      </c>
    </row>
    <row r="2132" spans="1:8" hidden="1" x14ac:dyDescent="0.2">
      <c r="A2132" t="s">
        <v>477</v>
      </c>
      <c r="B2132" t="s">
        <v>66</v>
      </c>
      <c r="C2132" t="s">
        <v>68</v>
      </c>
      <c r="D2132" t="s">
        <v>478</v>
      </c>
      <c r="E2132" t="s">
        <v>1529</v>
      </c>
      <c r="G2132" t="s">
        <v>26</v>
      </c>
      <c r="H2132" t="s">
        <v>27</v>
      </c>
    </row>
    <row r="2133" spans="1:8" hidden="1" x14ac:dyDescent="0.2">
      <c r="A2133" t="s">
        <v>477</v>
      </c>
      <c r="B2133" t="s">
        <v>66</v>
      </c>
      <c r="C2133" t="s">
        <v>68</v>
      </c>
      <c r="D2133" t="s">
        <v>478</v>
      </c>
      <c r="E2133" t="s">
        <v>1530</v>
      </c>
      <c r="G2133" t="s">
        <v>26</v>
      </c>
      <c r="H2133" t="s">
        <v>27</v>
      </c>
    </row>
    <row r="2134" spans="1:8" hidden="1" x14ac:dyDescent="0.2">
      <c r="A2134" t="s">
        <v>477</v>
      </c>
      <c r="B2134" t="s">
        <v>66</v>
      </c>
      <c r="C2134" t="s">
        <v>68</v>
      </c>
      <c r="D2134" t="s">
        <v>478</v>
      </c>
      <c r="E2134" t="s">
        <v>1531</v>
      </c>
      <c r="G2134" t="s">
        <v>26</v>
      </c>
      <c r="H2134" t="s">
        <v>27</v>
      </c>
    </row>
    <row r="2135" spans="1:8" x14ac:dyDescent="0.2">
      <c r="A2135" t="s">
        <v>477</v>
      </c>
      <c r="B2135" t="s">
        <v>66</v>
      </c>
      <c r="C2135" t="s">
        <v>68</v>
      </c>
      <c r="D2135" t="s">
        <v>478</v>
      </c>
      <c r="E2135" t="s">
        <v>12</v>
      </c>
      <c r="F2135">
        <v>9.3000000000000007</v>
      </c>
      <c r="G2135" t="s">
        <v>26</v>
      </c>
      <c r="H2135" t="s">
        <v>18</v>
      </c>
    </row>
    <row r="2136" spans="1:8" hidden="1" x14ac:dyDescent="0.2">
      <c r="A2136" t="s">
        <v>477</v>
      </c>
      <c r="B2136" t="s">
        <v>66</v>
      </c>
      <c r="C2136" t="s">
        <v>68</v>
      </c>
      <c r="D2136" t="s">
        <v>478</v>
      </c>
      <c r="E2136" t="s">
        <v>21</v>
      </c>
      <c r="F2136">
        <v>23.4</v>
      </c>
      <c r="G2136" t="s">
        <v>26</v>
      </c>
      <c r="H2136" t="s">
        <v>27</v>
      </c>
    </row>
    <row r="2137" spans="1:8" hidden="1" x14ac:dyDescent="0.2">
      <c r="A2137" t="s">
        <v>477</v>
      </c>
      <c r="B2137" t="s">
        <v>66</v>
      </c>
      <c r="C2137" t="s">
        <v>68</v>
      </c>
      <c r="D2137" t="s">
        <v>478</v>
      </c>
      <c r="E2137" t="s">
        <v>20</v>
      </c>
      <c r="F2137">
        <v>18.7</v>
      </c>
      <c r="G2137" t="s">
        <v>26</v>
      </c>
      <c r="H2137" t="s">
        <v>27</v>
      </c>
    </row>
    <row r="2138" spans="1:8" hidden="1" x14ac:dyDescent="0.2">
      <c r="A2138" t="s">
        <v>477</v>
      </c>
      <c r="B2138" t="s">
        <v>66</v>
      </c>
      <c r="C2138" t="s">
        <v>68</v>
      </c>
      <c r="D2138" t="s">
        <v>478</v>
      </c>
      <c r="E2138" t="s">
        <v>19</v>
      </c>
      <c r="F2138">
        <v>18.7</v>
      </c>
      <c r="G2138" t="s">
        <v>26</v>
      </c>
      <c r="H2138" t="s">
        <v>27</v>
      </c>
    </row>
    <row r="2139" spans="1:8" hidden="1" x14ac:dyDescent="0.2">
      <c r="A2139" t="s">
        <v>477</v>
      </c>
      <c r="B2139" t="s">
        <v>66</v>
      </c>
      <c r="C2139" t="s">
        <v>68</v>
      </c>
      <c r="D2139" t="s">
        <v>478</v>
      </c>
      <c r="E2139" t="s">
        <v>17</v>
      </c>
      <c r="F2139">
        <v>23.4</v>
      </c>
      <c r="G2139" t="s">
        <v>26</v>
      </c>
      <c r="H2139" t="s">
        <v>27</v>
      </c>
    </row>
    <row r="2140" spans="1:8" hidden="1" x14ac:dyDescent="0.2">
      <c r="A2140" t="s">
        <v>479</v>
      </c>
      <c r="B2140" t="s">
        <v>66</v>
      </c>
      <c r="C2140" t="s">
        <v>68</v>
      </c>
      <c r="D2140" t="s">
        <v>480</v>
      </c>
      <c r="E2140" t="s">
        <v>22</v>
      </c>
      <c r="F2140">
        <v>140</v>
      </c>
      <c r="G2140" t="s">
        <v>26</v>
      </c>
      <c r="H2140" t="s">
        <v>27</v>
      </c>
    </row>
    <row r="2141" spans="1:8" hidden="1" x14ac:dyDescent="0.2">
      <c r="A2141" t="s">
        <v>479</v>
      </c>
      <c r="B2141" t="s">
        <v>66</v>
      </c>
      <c r="C2141" t="s">
        <v>68</v>
      </c>
      <c r="D2141" t="s">
        <v>480</v>
      </c>
      <c r="E2141" t="s">
        <v>1528</v>
      </c>
      <c r="G2141" t="s">
        <v>26</v>
      </c>
      <c r="H2141" t="s">
        <v>27</v>
      </c>
    </row>
    <row r="2142" spans="1:8" hidden="1" x14ac:dyDescent="0.2">
      <c r="A2142" t="s">
        <v>479</v>
      </c>
      <c r="B2142" t="s">
        <v>66</v>
      </c>
      <c r="C2142" t="s">
        <v>68</v>
      </c>
      <c r="D2142" t="s">
        <v>480</v>
      </c>
      <c r="E2142" t="s">
        <v>1529</v>
      </c>
      <c r="G2142" t="s">
        <v>26</v>
      </c>
      <c r="H2142" t="s">
        <v>27</v>
      </c>
    </row>
    <row r="2143" spans="1:8" hidden="1" x14ac:dyDescent="0.2">
      <c r="A2143" t="s">
        <v>479</v>
      </c>
      <c r="B2143" t="s">
        <v>66</v>
      </c>
      <c r="C2143" t="s">
        <v>68</v>
      </c>
      <c r="D2143" t="s">
        <v>480</v>
      </c>
      <c r="E2143" t="s">
        <v>1530</v>
      </c>
      <c r="G2143" t="s">
        <v>26</v>
      </c>
      <c r="H2143" t="s">
        <v>27</v>
      </c>
    </row>
    <row r="2144" spans="1:8" hidden="1" x14ac:dyDescent="0.2">
      <c r="A2144" t="s">
        <v>479</v>
      </c>
      <c r="B2144" t="s">
        <v>66</v>
      </c>
      <c r="C2144" t="s">
        <v>68</v>
      </c>
      <c r="D2144" t="s">
        <v>480</v>
      </c>
      <c r="E2144" t="s">
        <v>1531</v>
      </c>
      <c r="G2144" t="s">
        <v>26</v>
      </c>
      <c r="H2144" t="s">
        <v>27</v>
      </c>
    </row>
    <row r="2145" spans="1:8" x14ac:dyDescent="0.2">
      <c r="A2145" t="s">
        <v>479</v>
      </c>
      <c r="B2145" t="s">
        <v>66</v>
      </c>
      <c r="C2145" t="s">
        <v>68</v>
      </c>
      <c r="D2145" t="s">
        <v>480</v>
      </c>
      <c r="E2145" t="s">
        <v>12</v>
      </c>
      <c r="F2145">
        <v>28</v>
      </c>
      <c r="G2145" t="s">
        <v>26</v>
      </c>
      <c r="H2145" t="s">
        <v>18</v>
      </c>
    </row>
    <row r="2146" spans="1:8" hidden="1" x14ac:dyDescent="0.2">
      <c r="A2146" t="s">
        <v>479</v>
      </c>
      <c r="B2146" t="s">
        <v>66</v>
      </c>
      <c r="C2146" t="s">
        <v>68</v>
      </c>
      <c r="D2146" t="s">
        <v>480</v>
      </c>
      <c r="E2146" t="s">
        <v>21</v>
      </c>
      <c r="F2146">
        <v>70</v>
      </c>
      <c r="G2146" t="s">
        <v>26</v>
      </c>
      <c r="H2146" t="s">
        <v>27</v>
      </c>
    </row>
    <row r="2147" spans="1:8" hidden="1" x14ac:dyDescent="0.2">
      <c r="A2147" t="s">
        <v>479</v>
      </c>
      <c r="B2147" t="s">
        <v>66</v>
      </c>
      <c r="C2147" t="s">
        <v>68</v>
      </c>
      <c r="D2147" t="s">
        <v>480</v>
      </c>
      <c r="E2147" t="s">
        <v>20</v>
      </c>
      <c r="F2147">
        <v>56</v>
      </c>
      <c r="G2147" t="s">
        <v>26</v>
      </c>
      <c r="H2147" t="s">
        <v>27</v>
      </c>
    </row>
    <row r="2148" spans="1:8" hidden="1" x14ac:dyDescent="0.2">
      <c r="A2148" t="s">
        <v>479</v>
      </c>
      <c r="B2148" t="s">
        <v>66</v>
      </c>
      <c r="C2148" t="s">
        <v>68</v>
      </c>
      <c r="D2148" t="s">
        <v>480</v>
      </c>
      <c r="E2148" t="s">
        <v>19</v>
      </c>
      <c r="F2148">
        <v>56</v>
      </c>
      <c r="G2148" t="s">
        <v>26</v>
      </c>
      <c r="H2148" t="s">
        <v>27</v>
      </c>
    </row>
    <row r="2149" spans="1:8" hidden="1" x14ac:dyDescent="0.2">
      <c r="A2149" t="s">
        <v>479</v>
      </c>
      <c r="B2149" t="s">
        <v>66</v>
      </c>
      <c r="C2149" t="s">
        <v>68</v>
      </c>
      <c r="D2149" t="s">
        <v>480</v>
      </c>
      <c r="E2149" t="s">
        <v>17</v>
      </c>
      <c r="F2149">
        <v>70</v>
      </c>
      <c r="G2149" t="s">
        <v>26</v>
      </c>
      <c r="H2149" t="s">
        <v>27</v>
      </c>
    </row>
    <row r="2150" spans="1:8" hidden="1" x14ac:dyDescent="0.2">
      <c r="A2150" t="s">
        <v>481</v>
      </c>
      <c r="B2150" t="s">
        <v>66</v>
      </c>
      <c r="C2150" t="s">
        <v>68</v>
      </c>
      <c r="D2150" t="s">
        <v>482</v>
      </c>
      <c r="E2150" t="s">
        <v>22</v>
      </c>
      <c r="F2150">
        <v>128</v>
      </c>
      <c r="G2150" t="s">
        <v>26</v>
      </c>
      <c r="H2150" t="s">
        <v>27</v>
      </c>
    </row>
    <row r="2151" spans="1:8" hidden="1" x14ac:dyDescent="0.2">
      <c r="A2151" t="s">
        <v>481</v>
      </c>
      <c r="B2151" t="s">
        <v>66</v>
      </c>
      <c r="C2151" t="s">
        <v>68</v>
      </c>
      <c r="D2151" t="s">
        <v>482</v>
      </c>
      <c r="E2151" t="s">
        <v>1528</v>
      </c>
      <c r="G2151" t="s">
        <v>26</v>
      </c>
      <c r="H2151" t="s">
        <v>27</v>
      </c>
    </row>
    <row r="2152" spans="1:8" hidden="1" x14ac:dyDescent="0.2">
      <c r="A2152" t="s">
        <v>481</v>
      </c>
      <c r="B2152" t="s">
        <v>66</v>
      </c>
      <c r="C2152" t="s">
        <v>68</v>
      </c>
      <c r="D2152" t="s">
        <v>482</v>
      </c>
      <c r="E2152" t="s">
        <v>1529</v>
      </c>
      <c r="G2152" t="s">
        <v>26</v>
      </c>
      <c r="H2152" t="s">
        <v>27</v>
      </c>
    </row>
    <row r="2153" spans="1:8" hidden="1" x14ac:dyDescent="0.2">
      <c r="A2153" t="s">
        <v>481</v>
      </c>
      <c r="B2153" t="s">
        <v>66</v>
      </c>
      <c r="C2153" t="s">
        <v>68</v>
      </c>
      <c r="D2153" t="s">
        <v>482</v>
      </c>
      <c r="E2153" t="s">
        <v>1530</v>
      </c>
      <c r="G2153" t="s">
        <v>26</v>
      </c>
      <c r="H2153" t="s">
        <v>27</v>
      </c>
    </row>
    <row r="2154" spans="1:8" hidden="1" x14ac:dyDescent="0.2">
      <c r="A2154" t="s">
        <v>481</v>
      </c>
      <c r="B2154" t="s">
        <v>66</v>
      </c>
      <c r="C2154" t="s">
        <v>68</v>
      </c>
      <c r="D2154" t="s">
        <v>482</v>
      </c>
      <c r="E2154" t="s">
        <v>1531</v>
      </c>
      <c r="G2154" t="s">
        <v>26</v>
      </c>
      <c r="H2154" t="s">
        <v>27</v>
      </c>
    </row>
    <row r="2155" spans="1:8" x14ac:dyDescent="0.2">
      <c r="A2155" t="s">
        <v>481</v>
      </c>
      <c r="B2155" t="s">
        <v>66</v>
      </c>
      <c r="C2155" t="s">
        <v>68</v>
      </c>
      <c r="D2155" t="s">
        <v>482</v>
      </c>
      <c r="E2155" t="s">
        <v>12</v>
      </c>
      <c r="F2155">
        <v>25.6</v>
      </c>
      <c r="G2155" t="s">
        <v>26</v>
      </c>
      <c r="H2155" t="s">
        <v>18</v>
      </c>
    </row>
    <row r="2156" spans="1:8" hidden="1" x14ac:dyDescent="0.2">
      <c r="A2156" t="s">
        <v>481</v>
      </c>
      <c r="B2156" t="s">
        <v>66</v>
      </c>
      <c r="C2156" t="s">
        <v>68</v>
      </c>
      <c r="D2156" t="s">
        <v>482</v>
      </c>
      <c r="E2156" t="s">
        <v>21</v>
      </c>
      <c r="F2156">
        <v>64</v>
      </c>
      <c r="G2156" t="s">
        <v>26</v>
      </c>
      <c r="H2156" t="s">
        <v>27</v>
      </c>
    </row>
    <row r="2157" spans="1:8" hidden="1" x14ac:dyDescent="0.2">
      <c r="A2157" t="s">
        <v>481</v>
      </c>
      <c r="B2157" t="s">
        <v>66</v>
      </c>
      <c r="C2157" t="s">
        <v>68</v>
      </c>
      <c r="D2157" t="s">
        <v>482</v>
      </c>
      <c r="E2157" t="s">
        <v>20</v>
      </c>
      <c r="F2157">
        <v>51.2</v>
      </c>
      <c r="G2157" t="s">
        <v>26</v>
      </c>
      <c r="H2157" t="s">
        <v>27</v>
      </c>
    </row>
    <row r="2158" spans="1:8" hidden="1" x14ac:dyDescent="0.2">
      <c r="A2158" t="s">
        <v>481</v>
      </c>
      <c r="B2158" t="s">
        <v>66</v>
      </c>
      <c r="C2158" t="s">
        <v>68</v>
      </c>
      <c r="D2158" t="s">
        <v>482</v>
      </c>
      <c r="E2158" t="s">
        <v>19</v>
      </c>
      <c r="F2158">
        <v>51.2</v>
      </c>
      <c r="G2158" t="s">
        <v>26</v>
      </c>
      <c r="H2158" t="s">
        <v>27</v>
      </c>
    </row>
    <row r="2159" spans="1:8" hidden="1" x14ac:dyDescent="0.2">
      <c r="A2159" t="s">
        <v>481</v>
      </c>
      <c r="B2159" t="s">
        <v>66</v>
      </c>
      <c r="C2159" t="s">
        <v>68</v>
      </c>
      <c r="D2159" t="s">
        <v>482</v>
      </c>
      <c r="E2159" t="s">
        <v>17</v>
      </c>
      <c r="F2159">
        <v>64</v>
      </c>
      <c r="G2159" t="s">
        <v>26</v>
      </c>
      <c r="H2159" t="s">
        <v>27</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B41AA-706F-464F-A85D-D24DD6F5B916}">
  <sheetPr codeName="Sheet6">
    <tabColor rgb="FFFFFF00"/>
  </sheetPr>
  <dimension ref="A1:K169"/>
  <sheetViews>
    <sheetView zoomScale="85" zoomScaleNormal="85" workbookViewId="0">
      <selection activeCell="K1" sqref="J1:K1"/>
    </sheetView>
  </sheetViews>
  <sheetFormatPr defaultColWidth="9" defaultRowHeight="14.25" x14ac:dyDescent="0.2"/>
  <cols>
    <col min="1" max="1" width="33.375" bestFit="1" customWidth="1"/>
    <col min="2" max="2" width="56" customWidth="1"/>
    <col min="3" max="3" width="11.5" bestFit="1" customWidth="1"/>
    <col min="4" max="4" width="19" bestFit="1" customWidth="1"/>
    <col min="5" max="5" width="19" customWidth="1"/>
    <col min="6" max="6" width="17.5" bestFit="1" customWidth="1"/>
    <col min="7" max="7" width="18.5" bestFit="1" customWidth="1"/>
    <col min="8" max="8" width="9.25" customWidth="1"/>
    <col min="9" max="9" width="2.875" customWidth="1"/>
    <col min="10" max="10" width="18.25" bestFit="1" customWidth="1"/>
  </cols>
  <sheetData>
    <row r="1" spans="1:11" x14ac:dyDescent="0.2">
      <c r="A1" t="s">
        <v>2</v>
      </c>
      <c r="B1" t="s">
        <v>3</v>
      </c>
      <c r="C1" t="s">
        <v>0</v>
      </c>
      <c r="D1" t="s">
        <v>483</v>
      </c>
      <c r="E1" t="s">
        <v>6</v>
      </c>
      <c r="F1" t="s">
        <v>484</v>
      </c>
      <c r="G1" t="s">
        <v>485</v>
      </c>
      <c r="H1" t="s">
        <v>486</v>
      </c>
      <c r="J1" s="36" t="s">
        <v>487</v>
      </c>
      <c r="K1" s="44">
        <f>SUM(Product_Backlog[Build estimate])</f>
        <v>44477.422222222231</v>
      </c>
    </row>
    <row r="2" spans="1:11" ht="15.75" thickBot="1" x14ac:dyDescent="0.25">
      <c r="A2" t="s">
        <v>488</v>
      </c>
      <c r="B2" t="s">
        <v>222</v>
      </c>
      <c r="C2" s="35" t="s">
        <v>221</v>
      </c>
      <c r="D2" s="32">
        <v>7.7777777777777777</v>
      </c>
      <c r="E2" s="32" t="s">
        <v>31</v>
      </c>
      <c r="F2" t="s">
        <v>489</v>
      </c>
      <c r="G2" s="35" t="s">
        <v>490</v>
      </c>
      <c r="H2" s="33"/>
    </row>
    <row r="3" spans="1:11" x14ac:dyDescent="0.2">
      <c r="A3" t="s">
        <v>488</v>
      </c>
      <c r="B3" t="s">
        <v>224</v>
      </c>
      <c r="C3" s="35" t="s">
        <v>223</v>
      </c>
      <c r="D3" s="32">
        <v>177.77777777777777</v>
      </c>
      <c r="E3" s="32" t="s">
        <v>31</v>
      </c>
      <c r="F3" t="s">
        <v>489</v>
      </c>
      <c r="G3" s="35" t="s">
        <v>491</v>
      </c>
      <c r="J3" s="38" t="s">
        <v>492</v>
      </c>
      <c r="K3" s="39"/>
    </row>
    <row r="4" spans="1:11" x14ac:dyDescent="0.2">
      <c r="A4" t="s">
        <v>488</v>
      </c>
      <c r="B4" t="s">
        <v>274</v>
      </c>
      <c r="C4" s="35" t="s">
        <v>273</v>
      </c>
      <c r="D4" s="32">
        <v>56.888888888888886</v>
      </c>
      <c r="E4" s="32" t="s">
        <v>26</v>
      </c>
      <c r="F4" t="s">
        <v>493</v>
      </c>
      <c r="G4" s="35"/>
      <c r="J4" s="40" t="s">
        <v>493</v>
      </c>
      <c r="K4" s="41" t="s">
        <v>14</v>
      </c>
    </row>
    <row r="5" spans="1:11" x14ac:dyDescent="0.2">
      <c r="A5" t="s">
        <v>488</v>
      </c>
      <c r="B5" t="s">
        <v>282</v>
      </c>
      <c r="C5" s="35" t="s">
        <v>281</v>
      </c>
      <c r="D5" s="32">
        <v>355.55555555555554</v>
      </c>
      <c r="E5" s="32" t="s">
        <v>31</v>
      </c>
      <c r="F5" t="s">
        <v>493</v>
      </c>
      <c r="G5" s="35"/>
      <c r="J5" s="40" t="s">
        <v>491</v>
      </c>
      <c r="K5" s="41" t="s">
        <v>18</v>
      </c>
    </row>
    <row r="6" spans="1:11" x14ac:dyDescent="0.2">
      <c r="A6" t="s">
        <v>488</v>
      </c>
      <c r="B6" t="s">
        <v>288</v>
      </c>
      <c r="C6" s="35" t="s">
        <v>287</v>
      </c>
      <c r="D6" s="32">
        <v>213.33333333333334</v>
      </c>
      <c r="E6" s="32" t="s">
        <v>31</v>
      </c>
      <c r="F6" t="s">
        <v>489</v>
      </c>
      <c r="G6" s="35" t="s">
        <v>491</v>
      </c>
      <c r="J6" s="40" t="s">
        <v>494</v>
      </c>
      <c r="K6" s="41" t="s">
        <v>27</v>
      </c>
    </row>
    <row r="7" spans="1:11" ht="15" thickBot="1" x14ac:dyDescent="0.25">
      <c r="A7" t="s">
        <v>488</v>
      </c>
      <c r="B7" t="s">
        <v>294</v>
      </c>
      <c r="C7" s="35" t="s">
        <v>293</v>
      </c>
      <c r="D7" s="32">
        <v>71.111111111111114</v>
      </c>
      <c r="E7" s="32" t="s">
        <v>26</v>
      </c>
      <c r="F7" t="s">
        <v>493</v>
      </c>
      <c r="G7" s="35"/>
      <c r="J7" s="42" t="s">
        <v>490</v>
      </c>
      <c r="K7" s="43" t="s">
        <v>51</v>
      </c>
    </row>
    <row r="8" spans="1:11" x14ac:dyDescent="0.2">
      <c r="A8" t="s">
        <v>488</v>
      </c>
      <c r="B8" t="s">
        <v>296</v>
      </c>
      <c r="C8" s="35" t="s">
        <v>295</v>
      </c>
      <c r="D8" s="32">
        <v>56.888888888888886</v>
      </c>
      <c r="E8" s="32" t="s">
        <v>31</v>
      </c>
      <c r="F8" t="s">
        <v>493</v>
      </c>
      <c r="G8" s="35"/>
    </row>
    <row r="9" spans="1:11" x14ac:dyDescent="0.2">
      <c r="A9" t="s">
        <v>488</v>
      </c>
      <c r="B9" t="s">
        <v>308</v>
      </c>
      <c r="C9" s="35" t="s">
        <v>307</v>
      </c>
      <c r="D9" s="32">
        <v>35.555555555555557</v>
      </c>
      <c r="E9" s="32" t="s">
        <v>26</v>
      </c>
      <c r="F9" t="s">
        <v>493</v>
      </c>
      <c r="G9" s="35"/>
    </row>
    <row r="10" spans="1:11" x14ac:dyDescent="0.2">
      <c r="A10" t="s">
        <v>488</v>
      </c>
      <c r="B10" t="s">
        <v>352</v>
      </c>
      <c r="C10" s="35" t="s">
        <v>351</v>
      </c>
      <c r="D10" s="32">
        <v>92.444444444444443</v>
      </c>
      <c r="E10" s="32" t="s">
        <v>31</v>
      </c>
      <c r="F10" t="s">
        <v>489</v>
      </c>
      <c r="G10" s="35" t="s">
        <v>491</v>
      </c>
    </row>
    <row r="11" spans="1:11" x14ac:dyDescent="0.2">
      <c r="A11" t="s">
        <v>488</v>
      </c>
      <c r="B11" t="s">
        <v>378</v>
      </c>
      <c r="C11" s="35" t="s">
        <v>377</v>
      </c>
      <c r="D11" s="32">
        <v>71.111111111111114</v>
      </c>
      <c r="E11" s="32" t="s">
        <v>31</v>
      </c>
      <c r="F11" t="s">
        <v>489</v>
      </c>
      <c r="G11" s="35" t="s">
        <v>491</v>
      </c>
    </row>
    <row r="12" spans="1:11" x14ac:dyDescent="0.2">
      <c r="A12" t="s">
        <v>495</v>
      </c>
      <c r="B12" t="s">
        <v>226</v>
      </c>
      <c r="C12" s="35" t="s">
        <v>225</v>
      </c>
      <c r="D12" s="32">
        <v>167.11111111111111</v>
      </c>
      <c r="E12" s="32" t="s">
        <v>31</v>
      </c>
      <c r="F12" t="s">
        <v>493</v>
      </c>
      <c r="G12" s="35"/>
    </row>
    <row r="13" spans="1:11" x14ac:dyDescent="0.2">
      <c r="A13" t="s">
        <v>495</v>
      </c>
      <c r="B13" t="s">
        <v>419</v>
      </c>
      <c r="C13" s="35" t="s">
        <v>418</v>
      </c>
      <c r="D13" s="32">
        <v>177.77777777777777</v>
      </c>
      <c r="E13" s="32" t="s">
        <v>31</v>
      </c>
      <c r="F13" t="s">
        <v>489</v>
      </c>
      <c r="G13" s="35" t="s">
        <v>491</v>
      </c>
    </row>
    <row r="14" spans="1:11" x14ac:dyDescent="0.2">
      <c r="A14" t="s">
        <v>488</v>
      </c>
      <c r="B14" t="s">
        <v>496</v>
      </c>
      <c r="C14" s="35" t="s">
        <v>422</v>
      </c>
      <c r="D14" s="32">
        <v>355.55555555555554</v>
      </c>
      <c r="E14" s="32" t="s">
        <v>31</v>
      </c>
      <c r="F14" t="s">
        <v>489</v>
      </c>
      <c r="G14" s="35" t="s">
        <v>491</v>
      </c>
    </row>
    <row r="15" spans="1:11" x14ac:dyDescent="0.2">
      <c r="A15" t="s">
        <v>495</v>
      </c>
      <c r="B15" t="s">
        <v>198</v>
      </c>
      <c r="C15" s="35" t="s">
        <v>197</v>
      </c>
      <c r="D15" s="32">
        <v>177.77777777777777</v>
      </c>
      <c r="E15" s="32" t="s">
        <v>31</v>
      </c>
      <c r="F15" t="s">
        <v>489</v>
      </c>
      <c r="G15" s="35" t="s">
        <v>490</v>
      </c>
    </row>
    <row r="16" spans="1:11" x14ac:dyDescent="0.2">
      <c r="A16" t="s">
        <v>497</v>
      </c>
      <c r="B16" t="s">
        <v>168</v>
      </c>
      <c r="C16" s="35" t="s">
        <v>167</v>
      </c>
      <c r="D16" s="32">
        <v>1066.6666666666667</v>
      </c>
      <c r="E16" s="32" t="s">
        <v>26</v>
      </c>
      <c r="F16" t="s">
        <v>489</v>
      </c>
      <c r="G16" s="35" t="s">
        <v>490</v>
      </c>
    </row>
    <row r="17" spans="1:7" x14ac:dyDescent="0.2">
      <c r="A17" t="s">
        <v>498</v>
      </c>
      <c r="B17" t="s">
        <v>232</v>
      </c>
      <c r="C17" s="35" t="s">
        <v>231</v>
      </c>
      <c r="D17" s="32">
        <v>111.11111111111111</v>
      </c>
      <c r="E17" s="32" t="s">
        <v>26</v>
      </c>
      <c r="F17" t="s">
        <v>489</v>
      </c>
      <c r="G17" s="35" t="s">
        <v>490</v>
      </c>
    </row>
    <row r="18" spans="1:7" x14ac:dyDescent="0.2">
      <c r="A18" t="s">
        <v>499</v>
      </c>
      <c r="B18" t="s">
        <v>206</v>
      </c>
      <c r="C18" s="35" t="s">
        <v>205</v>
      </c>
      <c r="D18" s="32">
        <v>622.22222222222217</v>
      </c>
      <c r="E18" s="32" t="s">
        <v>31</v>
      </c>
      <c r="F18" t="s">
        <v>489</v>
      </c>
      <c r="G18" s="35" t="s">
        <v>491</v>
      </c>
    </row>
    <row r="19" spans="1:7" x14ac:dyDescent="0.2">
      <c r="A19" t="s">
        <v>499</v>
      </c>
      <c r="B19" t="s">
        <v>234</v>
      </c>
      <c r="C19" s="35" t="s">
        <v>233</v>
      </c>
      <c r="D19" s="32">
        <v>284.44444444444446</v>
      </c>
      <c r="E19" s="32" t="s">
        <v>31</v>
      </c>
      <c r="F19" t="s">
        <v>489</v>
      </c>
      <c r="G19" s="35" t="s">
        <v>491</v>
      </c>
    </row>
    <row r="20" spans="1:7" x14ac:dyDescent="0.2">
      <c r="A20" t="s">
        <v>488</v>
      </c>
      <c r="B20" t="s">
        <v>144</v>
      </c>
      <c r="C20" s="35" t="s">
        <v>143</v>
      </c>
      <c r="D20" s="32">
        <v>1066.6666666666667</v>
      </c>
      <c r="E20" s="32" t="s">
        <v>31</v>
      </c>
      <c r="F20" t="s">
        <v>489</v>
      </c>
      <c r="G20" s="35" t="s">
        <v>491</v>
      </c>
    </row>
    <row r="21" spans="1:7" x14ac:dyDescent="0.2">
      <c r="A21" t="s">
        <v>488</v>
      </c>
      <c r="B21" t="s">
        <v>156</v>
      </c>
      <c r="C21" s="35" t="s">
        <v>155</v>
      </c>
      <c r="D21" s="32">
        <v>284.44444444444446</v>
      </c>
      <c r="E21" s="32" t="s">
        <v>26</v>
      </c>
      <c r="F21" t="s">
        <v>493</v>
      </c>
      <c r="G21" s="35"/>
    </row>
    <row r="22" spans="1:7" x14ac:dyDescent="0.2">
      <c r="A22" t="s">
        <v>488</v>
      </c>
      <c r="B22" t="s">
        <v>164</v>
      </c>
      <c r="C22" s="35" t="s">
        <v>163</v>
      </c>
      <c r="D22" s="32">
        <v>72.222222222222229</v>
      </c>
      <c r="E22" s="32" t="s">
        <v>31</v>
      </c>
      <c r="F22" t="s">
        <v>489</v>
      </c>
      <c r="G22" s="35" t="s">
        <v>490</v>
      </c>
    </row>
    <row r="23" spans="1:7" x14ac:dyDescent="0.2">
      <c r="A23" t="s">
        <v>499</v>
      </c>
      <c r="B23" t="s">
        <v>320</v>
      </c>
      <c r="C23" s="35" t="s">
        <v>319</v>
      </c>
      <c r="D23" s="32">
        <v>213.33333333333334</v>
      </c>
      <c r="E23" s="32" t="s">
        <v>26</v>
      </c>
      <c r="F23" t="s">
        <v>493</v>
      </c>
      <c r="G23" s="35"/>
    </row>
    <row r="24" spans="1:7" x14ac:dyDescent="0.2">
      <c r="A24" t="s">
        <v>488</v>
      </c>
      <c r="B24" t="s">
        <v>200</v>
      </c>
      <c r="C24" s="35" t="s">
        <v>199</v>
      </c>
      <c r="D24" s="32">
        <v>72.222222222222229</v>
      </c>
      <c r="E24" s="32" t="s">
        <v>31</v>
      </c>
      <c r="F24" t="s">
        <v>489</v>
      </c>
      <c r="G24" s="35" t="s">
        <v>491</v>
      </c>
    </row>
    <row r="25" spans="1:7" x14ac:dyDescent="0.2">
      <c r="A25" t="s">
        <v>488</v>
      </c>
      <c r="B25" t="s">
        <v>204</v>
      </c>
      <c r="C25" s="35" t="s">
        <v>203</v>
      </c>
      <c r="D25" s="32">
        <v>5688.8888888888887</v>
      </c>
      <c r="E25" s="32" t="s">
        <v>26</v>
      </c>
      <c r="F25" t="s">
        <v>489</v>
      </c>
      <c r="G25" s="35" t="s">
        <v>490</v>
      </c>
    </row>
    <row r="26" spans="1:7" x14ac:dyDescent="0.2">
      <c r="A26" t="s">
        <v>500</v>
      </c>
      <c r="B26" t="s">
        <v>124</v>
      </c>
      <c r="C26" s="35" t="s">
        <v>123</v>
      </c>
      <c r="D26" s="32">
        <v>391.11111111111109</v>
      </c>
      <c r="E26" s="32" t="s">
        <v>26</v>
      </c>
      <c r="F26" t="s">
        <v>489</v>
      </c>
      <c r="G26" s="35" t="s">
        <v>491</v>
      </c>
    </row>
    <row r="27" spans="1:7" x14ac:dyDescent="0.2">
      <c r="A27" t="s">
        <v>488</v>
      </c>
      <c r="B27" t="s">
        <v>268</v>
      </c>
      <c r="C27" s="35" t="s">
        <v>267</v>
      </c>
      <c r="D27" s="32">
        <v>142.22222222222223</v>
      </c>
      <c r="E27" s="32" t="s">
        <v>26</v>
      </c>
      <c r="F27" t="s">
        <v>493</v>
      </c>
      <c r="G27" s="35"/>
    </row>
    <row r="28" spans="1:7" x14ac:dyDescent="0.2">
      <c r="A28" t="s">
        <v>488</v>
      </c>
      <c r="B28" t="s">
        <v>278</v>
      </c>
      <c r="C28" s="35" t="s">
        <v>277</v>
      </c>
      <c r="D28" s="32">
        <v>248.88888888888889</v>
      </c>
      <c r="E28" s="32" t="s">
        <v>26</v>
      </c>
      <c r="F28" t="s">
        <v>493</v>
      </c>
      <c r="G28" s="35"/>
    </row>
    <row r="29" spans="1:7" x14ac:dyDescent="0.2">
      <c r="A29" t="s">
        <v>488</v>
      </c>
      <c r="B29" t="s">
        <v>298</v>
      </c>
      <c r="C29" s="35" t="s">
        <v>297</v>
      </c>
      <c r="D29" s="32">
        <v>92.444444444444443</v>
      </c>
      <c r="E29" s="32" t="s">
        <v>31</v>
      </c>
      <c r="F29" t="s">
        <v>489</v>
      </c>
      <c r="G29" s="35" t="s">
        <v>490</v>
      </c>
    </row>
    <row r="30" spans="1:7" x14ac:dyDescent="0.2">
      <c r="A30" t="s">
        <v>488</v>
      </c>
      <c r="B30" t="s">
        <v>368</v>
      </c>
      <c r="C30" s="35" t="s">
        <v>367</v>
      </c>
      <c r="D30" s="32">
        <v>213.33333333333334</v>
      </c>
      <c r="E30" s="32" t="s">
        <v>26</v>
      </c>
      <c r="F30" t="s">
        <v>489</v>
      </c>
      <c r="G30" s="35" t="s">
        <v>491</v>
      </c>
    </row>
    <row r="31" spans="1:7" x14ac:dyDescent="0.2">
      <c r="A31" t="s">
        <v>501</v>
      </c>
      <c r="B31" t="s">
        <v>266</v>
      </c>
      <c r="C31" s="35" t="s">
        <v>265</v>
      </c>
      <c r="D31" s="32">
        <v>28.444444444444443</v>
      </c>
      <c r="E31" s="32" t="s">
        <v>26</v>
      </c>
      <c r="F31" t="s">
        <v>489</v>
      </c>
      <c r="G31" s="35" t="s">
        <v>491</v>
      </c>
    </row>
    <row r="32" spans="1:7" x14ac:dyDescent="0.2">
      <c r="A32" t="s">
        <v>502</v>
      </c>
      <c r="B32" t="s">
        <v>162</v>
      </c>
      <c r="C32" s="35" t="s">
        <v>161</v>
      </c>
      <c r="D32" s="32">
        <v>320</v>
      </c>
      <c r="E32" s="32" t="s">
        <v>26</v>
      </c>
      <c r="F32" t="s">
        <v>489</v>
      </c>
      <c r="G32" s="35" t="s">
        <v>490</v>
      </c>
    </row>
    <row r="33" spans="1:7" x14ac:dyDescent="0.2">
      <c r="A33" t="s">
        <v>503</v>
      </c>
      <c r="B33" t="s">
        <v>152</v>
      </c>
      <c r="C33" s="35" t="s">
        <v>151</v>
      </c>
      <c r="D33" s="32">
        <v>1422.2222222222222</v>
      </c>
      <c r="E33" s="32" t="s">
        <v>13</v>
      </c>
      <c r="F33" t="s">
        <v>489</v>
      </c>
      <c r="G33" s="35" t="s">
        <v>491</v>
      </c>
    </row>
    <row r="34" spans="1:7" x14ac:dyDescent="0.2">
      <c r="A34" t="s">
        <v>504</v>
      </c>
      <c r="B34" t="s">
        <v>280</v>
      </c>
      <c r="C34" s="35" t="s">
        <v>279</v>
      </c>
      <c r="D34" s="32">
        <v>213.33333333333334</v>
      </c>
      <c r="E34" s="32" t="s">
        <v>31</v>
      </c>
      <c r="F34" t="s">
        <v>493</v>
      </c>
      <c r="G34" s="35"/>
    </row>
    <row r="35" spans="1:7" x14ac:dyDescent="0.2">
      <c r="A35" t="s">
        <v>504</v>
      </c>
      <c r="B35" t="s">
        <v>310</v>
      </c>
      <c r="C35" s="35" t="s">
        <v>309</v>
      </c>
      <c r="D35" s="32">
        <v>284.44444444444446</v>
      </c>
      <c r="E35" s="32" t="s">
        <v>31</v>
      </c>
      <c r="F35" t="s">
        <v>493</v>
      </c>
      <c r="G35" s="35"/>
    </row>
    <row r="36" spans="1:7" x14ac:dyDescent="0.2">
      <c r="A36" t="s">
        <v>504</v>
      </c>
      <c r="B36" t="s">
        <v>374</v>
      </c>
      <c r="C36" s="35" t="s">
        <v>373</v>
      </c>
      <c r="D36" s="32">
        <v>106.66666666666667</v>
      </c>
      <c r="E36" s="32" t="s">
        <v>31</v>
      </c>
      <c r="F36" t="s">
        <v>489</v>
      </c>
      <c r="G36" s="35" t="s">
        <v>491</v>
      </c>
    </row>
    <row r="37" spans="1:7" x14ac:dyDescent="0.2">
      <c r="A37" t="s">
        <v>504</v>
      </c>
      <c r="B37" t="s">
        <v>376</v>
      </c>
      <c r="C37" s="35" t="s">
        <v>375</v>
      </c>
      <c r="D37" s="32">
        <v>92.444444444444443</v>
      </c>
      <c r="E37" s="32" t="s">
        <v>31</v>
      </c>
      <c r="F37" t="s">
        <v>489</v>
      </c>
      <c r="G37" s="35" t="s">
        <v>491</v>
      </c>
    </row>
    <row r="38" spans="1:7" x14ac:dyDescent="0.2">
      <c r="A38" t="s">
        <v>504</v>
      </c>
      <c r="B38" t="s">
        <v>421</v>
      </c>
      <c r="C38" s="35" t="s">
        <v>420</v>
      </c>
      <c r="D38" s="32">
        <v>213.33333333333334</v>
      </c>
      <c r="E38" s="32" t="s">
        <v>31</v>
      </c>
      <c r="F38" t="s">
        <v>489</v>
      </c>
      <c r="G38" s="35" t="s">
        <v>491</v>
      </c>
    </row>
    <row r="39" spans="1:7" x14ac:dyDescent="0.2">
      <c r="A39" t="s">
        <v>504</v>
      </c>
      <c r="B39" t="s">
        <v>186</v>
      </c>
      <c r="C39" s="35" t="s">
        <v>185</v>
      </c>
      <c r="D39" s="32">
        <v>142.22222222222223</v>
      </c>
      <c r="E39" s="32" t="s">
        <v>31</v>
      </c>
      <c r="F39" t="s">
        <v>489</v>
      </c>
      <c r="G39" s="35" t="s">
        <v>490</v>
      </c>
    </row>
    <row r="40" spans="1:7" x14ac:dyDescent="0.2">
      <c r="A40" t="s">
        <v>504</v>
      </c>
      <c r="B40" t="s">
        <v>505</v>
      </c>
      <c r="C40" s="35" t="s">
        <v>249</v>
      </c>
      <c r="D40" s="32">
        <v>85.333333333333329</v>
      </c>
      <c r="E40" s="32" t="s">
        <v>26</v>
      </c>
      <c r="F40" t="s">
        <v>493</v>
      </c>
      <c r="G40" s="35"/>
    </row>
    <row r="41" spans="1:7" x14ac:dyDescent="0.2">
      <c r="A41" t="s">
        <v>504</v>
      </c>
      <c r="B41" t="s">
        <v>304</v>
      </c>
      <c r="C41" s="35" t="s">
        <v>303</v>
      </c>
      <c r="D41" s="32">
        <v>72.222222222222229</v>
      </c>
      <c r="E41" s="32" t="s">
        <v>26</v>
      </c>
      <c r="F41" t="s">
        <v>493</v>
      </c>
      <c r="G41" s="35"/>
    </row>
    <row r="42" spans="1:7" x14ac:dyDescent="0.2">
      <c r="A42" t="s">
        <v>506</v>
      </c>
      <c r="B42" t="s">
        <v>118</v>
      </c>
      <c r="C42" s="35" t="s">
        <v>117</v>
      </c>
      <c r="D42" s="32">
        <v>23.333333333333332</v>
      </c>
      <c r="E42" s="32" t="s">
        <v>26</v>
      </c>
      <c r="F42" t="s">
        <v>489</v>
      </c>
      <c r="G42" s="35" t="s">
        <v>490</v>
      </c>
    </row>
    <row r="43" spans="1:7" x14ac:dyDescent="0.2">
      <c r="A43" t="s">
        <v>506</v>
      </c>
      <c r="B43" t="s">
        <v>120</v>
      </c>
      <c r="C43" s="35" t="s">
        <v>119</v>
      </c>
      <c r="D43" s="32">
        <v>23.333333333333332</v>
      </c>
      <c r="E43" s="32" t="s">
        <v>26</v>
      </c>
      <c r="F43" t="s">
        <v>489</v>
      </c>
      <c r="G43" s="35" t="s">
        <v>491</v>
      </c>
    </row>
    <row r="44" spans="1:7" x14ac:dyDescent="0.2">
      <c r="A44" t="s">
        <v>506</v>
      </c>
      <c r="B44" t="s">
        <v>134</v>
      </c>
      <c r="C44" s="35" t="s">
        <v>133</v>
      </c>
      <c r="D44" s="32">
        <v>85.333333333333329</v>
      </c>
      <c r="E44" s="32" t="s">
        <v>26</v>
      </c>
      <c r="F44" t="s">
        <v>493</v>
      </c>
      <c r="G44" s="35"/>
    </row>
    <row r="45" spans="1:7" x14ac:dyDescent="0.2">
      <c r="A45" t="s">
        <v>506</v>
      </c>
      <c r="B45" t="s">
        <v>148</v>
      </c>
      <c r="C45" s="35" t="s">
        <v>147</v>
      </c>
      <c r="D45" s="32">
        <v>35.555555555555557</v>
      </c>
      <c r="E45" s="32" t="s">
        <v>26</v>
      </c>
      <c r="F45" t="s">
        <v>493</v>
      </c>
      <c r="G45" s="35"/>
    </row>
    <row r="46" spans="1:7" x14ac:dyDescent="0.2">
      <c r="A46" t="s">
        <v>506</v>
      </c>
      <c r="B46" t="s">
        <v>150</v>
      </c>
      <c r="C46" s="35" t="s">
        <v>149</v>
      </c>
      <c r="D46" s="32">
        <v>213.33333333333334</v>
      </c>
      <c r="E46" s="32" t="s">
        <v>26</v>
      </c>
      <c r="F46" t="s">
        <v>493</v>
      </c>
      <c r="G46" s="35"/>
    </row>
    <row r="47" spans="1:7" x14ac:dyDescent="0.2">
      <c r="A47" t="s">
        <v>506</v>
      </c>
      <c r="B47" t="s">
        <v>286</v>
      </c>
      <c r="C47" s="35" t="s">
        <v>285</v>
      </c>
      <c r="D47" s="32">
        <v>213.33333333333334</v>
      </c>
      <c r="E47" s="32" t="s">
        <v>26</v>
      </c>
      <c r="F47" t="s">
        <v>493</v>
      </c>
      <c r="G47" s="35"/>
    </row>
    <row r="48" spans="1:7" x14ac:dyDescent="0.2">
      <c r="A48" t="s">
        <v>506</v>
      </c>
      <c r="B48" t="s">
        <v>328</v>
      </c>
      <c r="C48" s="35" t="s">
        <v>327</v>
      </c>
      <c r="D48" s="32">
        <v>355.55555555555554</v>
      </c>
      <c r="E48" s="32" t="s">
        <v>31</v>
      </c>
      <c r="F48" t="s">
        <v>489</v>
      </c>
      <c r="G48" s="35" t="s">
        <v>490</v>
      </c>
    </row>
    <row r="49" spans="1:7" x14ac:dyDescent="0.2">
      <c r="A49" t="s">
        <v>506</v>
      </c>
      <c r="B49" t="s">
        <v>348</v>
      </c>
      <c r="C49" s="35" t="s">
        <v>347</v>
      </c>
      <c r="D49" s="32">
        <v>56.888888888888886</v>
      </c>
      <c r="E49" s="32" t="s">
        <v>26</v>
      </c>
      <c r="F49" t="s">
        <v>493</v>
      </c>
      <c r="G49" s="35"/>
    </row>
    <row r="50" spans="1:7" x14ac:dyDescent="0.2">
      <c r="A50" t="s">
        <v>506</v>
      </c>
      <c r="B50" t="s">
        <v>380</v>
      </c>
      <c r="C50" s="35" t="s">
        <v>379</v>
      </c>
      <c r="D50" s="32">
        <v>248.88888888888889</v>
      </c>
      <c r="E50" s="32" t="s">
        <v>31</v>
      </c>
      <c r="F50" t="s">
        <v>489</v>
      </c>
      <c r="G50" s="35" t="s">
        <v>491</v>
      </c>
    </row>
    <row r="51" spans="1:7" x14ac:dyDescent="0.2">
      <c r="A51" t="s">
        <v>507</v>
      </c>
      <c r="B51" t="s">
        <v>16</v>
      </c>
      <c r="C51" s="35" t="s">
        <v>15</v>
      </c>
      <c r="D51" s="32">
        <v>35.555555555555557</v>
      </c>
      <c r="E51" s="32" t="s">
        <v>13</v>
      </c>
      <c r="F51" t="s">
        <v>489</v>
      </c>
      <c r="G51" s="35" t="s">
        <v>491</v>
      </c>
    </row>
    <row r="52" spans="1:7" x14ac:dyDescent="0.2">
      <c r="A52" t="s">
        <v>507</v>
      </c>
      <c r="B52" t="s">
        <v>11</v>
      </c>
      <c r="C52" s="35" t="s">
        <v>8</v>
      </c>
      <c r="D52" s="32">
        <v>579.55555555555554</v>
      </c>
      <c r="E52" s="32" t="s">
        <v>13</v>
      </c>
      <c r="F52" t="s">
        <v>489</v>
      </c>
      <c r="G52" s="35" t="s">
        <v>491</v>
      </c>
    </row>
    <row r="53" spans="1:7" x14ac:dyDescent="0.2">
      <c r="A53" t="s">
        <v>508</v>
      </c>
      <c r="B53" t="s">
        <v>25</v>
      </c>
      <c r="C53" s="35" t="s">
        <v>23</v>
      </c>
      <c r="D53" s="32">
        <v>23.333333333333332</v>
      </c>
      <c r="E53" s="32" t="s">
        <v>26</v>
      </c>
      <c r="F53" t="s">
        <v>489</v>
      </c>
      <c r="G53" s="35" t="s">
        <v>491</v>
      </c>
    </row>
    <row r="54" spans="1:7" x14ac:dyDescent="0.2">
      <c r="A54" t="s">
        <v>509</v>
      </c>
      <c r="B54" t="s">
        <v>30</v>
      </c>
      <c r="C54" s="35" t="s">
        <v>28</v>
      </c>
      <c r="D54" s="32">
        <v>35.555555555555557</v>
      </c>
      <c r="E54" s="32" t="s">
        <v>31</v>
      </c>
      <c r="G54" s="35" t="s">
        <v>490</v>
      </c>
    </row>
    <row r="55" spans="1:7" x14ac:dyDescent="0.2">
      <c r="A55" t="s">
        <v>510</v>
      </c>
      <c r="B55" t="s">
        <v>36</v>
      </c>
      <c r="C55" s="35" t="s">
        <v>35</v>
      </c>
      <c r="D55" s="32">
        <v>241.77777777777777</v>
      </c>
      <c r="E55" s="32" t="s">
        <v>26</v>
      </c>
      <c r="F55" t="s">
        <v>489</v>
      </c>
      <c r="G55" s="35" t="s">
        <v>491</v>
      </c>
    </row>
    <row r="56" spans="1:7" x14ac:dyDescent="0.2">
      <c r="A56" t="s">
        <v>500</v>
      </c>
      <c r="B56" t="s">
        <v>358</v>
      </c>
      <c r="C56" s="35" t="s">
        <v>357</v>
      </c>
      <c r="D56" s="32">
        <v>142.22222222222223</v>
      </c>
      <c r="E56" s="32" t="s">
        <v>26</v>
      </c>
      <c r="F56" t="s">
        <v>489</v>
      </c>
      <c r="G56" s="35" t="s">
        <v>491</v>
      </c>
    </row>
    <row r="57" spans="1:7" x14ac:dyDescent="0.2">
      <c r="A57" t="s">
        <v>510</v>
      </c>
      <c r="B57" t="s">
        <v>44</v>
      </c>
      <c r="C57" s="35" t="s">
        <v>43</v>
      </c>
      <c r="D57" s="32">
        <v>23.333333333333332</v>
      </c>
      <c r="E57" s="32" t="s">
        <v>31</v>
      </c>
      <c r="F57" t="s">
        <v>489</v>
      </c>
      <c r="G57" s="35" t="s">
        <v>490</v>
      </c>
    </row>
    <row r="58" spans="1:7" x14ac:dyDescent="0.2">
      <c r="A58" t="s">
        <v>510</v>
      </c>
      <c r="B58" t="s">
        <v>42</v>
      </c>
      <c r="C58" s="35" t="s">
        <v>41</v>
      </c>
      <c r="D58" s="32">
        <v>23.333333333333332</v>
      </c>
      <c r="E58" s="32" t="s">
        <v>31</v>
      </c>
      <c r="F58" t="s">
        <v>489</v>
      </c>
      <c r="G58" s="35" t="s">
        <v>490</v>
      </c>
    </row>
    <row r="59" spans="1:7" x14ac:dyDescent="0.2">
      <c r="A59" t="s">
        <v>510</v>
      </c>
      <c r="B59" t="s">
        <v>40</v>
      </c>
      <c r="C59" s="35" t="s">
        <v>39</v>
      </c>
      <c r="D59" s="32">
        <v>23.333333333333332</v>
      </c>
      <c r="E59" s="32" t="s">
        <v>31</v>
      </c>
      <c r="F59" t="s">
        <v>489</v>
      </c>
      <c r="G59" s="35" t="s">
        <v>490</v>
      </c>
    </row>
    <row r="60" spans="1:7" x14ac:dyDescent="0.2">
      <c r="A60" t="s">
        <v>510</v>
      </c>
      <c r="B60" t="s">
        <v>38</v>
      </c>
      <c r="C60" s="35" t="s">
        <v>37</v>
      </c>
      <c r="D60" s="32">
        <v>23.333333333333332</v>
      </c>
      <c r="E60" s="32" t="s">
        <v>31</v>
      </c>
      <c r="F60" t="s">
        <v>489</v>
      </c>
      <c r="G60" s="35" t="s">
        <v>491</v>
      </c>
    </row>
    <row r="61" spans="1:7" x14ac:dyDescent="0.2">
      <c r="A61" t="s">
        <v>510</v>
      </c>
      <c r="B61" t="s">
        <v>34</v>
      </c>
      <c r="C61" s="35" t="s">
        <v>32</v>
      </c>
      <c r="D61" s="32">
        <v>23.333333333333332</v>
      </c>
      <c r="E61" s="32" t="s">
        <v>31</v>
      </c>
      <c r="F61" t="s">
        <v>489</v>
      </c>
      <c r="G61" s="35" t="s">
        <v>491</v>
      </c>
    </row>
    <row r="62" spans="1:7" x14ac:dyDescent="0.2">
      <c r="A62" t="s">
        <v>510</v>
      </c>
      <c r="B62" t="s">
        <v>46</v>
      </c>
      <c r="C62" s="35" t="s">
        <v>45</v>
      </c>
      <c r="D62" s="32">
        <v>497.77777777777777</v>
      </c>
      <c r="E62" s="32" t="s">
        <v>26</v>
      </c>
      <c r="F62" t="s">
        <v>489</v>
      </c>
      <c r="G62" s="35" t="s">
        <v>491</v>
      </c>
    </row>
    <row r="63" spans="1:7" x14ac:dyDescent="0.2">
      <c r="A63" t="s">
        <v>511</v>
      </c>
      <c r="B63" t="s">
        <v>104</v>
      </c>
      <c r="C63" s="35" t="s">
        <v>103</v>
      </c>
      <c r="D63" s="32">
        <v>56.888888888888886</v>
      </c>
      <c r="E63" s="32" t="s">
        <v>26</v>
      </c>
      <c r="F63" t="s">
        <v>493</v>
      </c>
      <c r="G63" s="35"/>
    </row>
    <row r="64" spans="1:7" x14ac:dyDescent="0.2">
      <c r="A64" t="s">
        <v>511</v>
      </c>
      <c r="B64" t="s">
        <v>178</v>
      </c>
      <c r="C64" s="35" t="s">
        <v>177</v>
      </c>
      <c r="D64" s="32">
        <v>142.22222222222223</v>
      </c>
      <c r="E64" s="32" t="s">
        <v>26</v>
      </c>
      <c r="F64" t="s">
        <v>493</v>
      </c>
      <c r="G64" s="35"/>
    </row>
    <row r="65" spans="1:7" x14ac:dyDescent="0.2">
      <c r="A65" t="s">
        <v>511</v>
      </c>
      <c r="B65" t="s">
        <v>182</v>
      </c>
      <c r="C65" s="35" t="s">
        <v>181</v>
      </c>
      <c r="D65" s="32">
        <v>21.333333333333332</v>
      </c>
      <c r="E65" s="32" t="s">
        <v>26</v>
      </c>
      <c r="F65" t="s">
        <v>493</v>
      </c>
      <c r="G65" s="35"/>
    </row>
    <row r="66" spans="1:7" x14ac:dyDescent="0.2">
      <c r="A66" t="s">
        <v>511</v>
      </c>
      <c r="B66" t="s">
        <v>244</v>
      </c>
      <c r="C66" s="35" t="s">
        <v>243</v>
      </c>
      <c r="D66" s="32">
        <v>35.555555555555557</v>
      </c>
      <c r="E66" s="32" t="s">
        <v>26</v>
      </c>
      <c r="F66" t="s">
        <v>493</v>
      </c>
      <c r="G66" s="35"/>
    </row>
    <row r="67" spans="1:7" x14ac:dyDescent="0.2">
      <c r="A67" t="s">
        <v>511</v>
      </c>
      <c r="B67" t="s">
        <v>246</v>
      </c>
      <c r="C67" s="35" t="s">
        <v>245</v>
      </c>
      <c r="D67" s="32">
        <v>99.555555555555557</v>
      </c>
      <c r="E67" s="32" t="s">
        <v>26</v>
      </c>
      <c r="F67" t="s">
        <v>493</v>
      </c>
      <c r="G67" s="35"/>
    </row>
    <row r="68" spans="1:7" x14ac:dyDescent="0.2">
      <c r="A68" t="s">
        <v>511</v>
      </c>
      <c r="B68" t="s">
        <v>254</v>
      </c>
      <c r="C68" s="35" t="s">
        <v>253</v>
      </c>
      <c r="D68" s="32">
        <v>284.44444444444446</v>
      </c>
      <c r="E68" s="32" t="s">
        <v>26</v>
      </c>
      <c r="F68" t="s">
        <v>493</v>
      </c>
      <c r="G68" s="35"/>
    </row>
    <row r="69" spans="1:7" x14ac:dyDescent="0.2">
      <c r="A69" t="s">
        <v>511</v>
      </c>
      <c r="B69" t="s">
        <v>258</v>
      </c>
      <c r="C69" s="35" t="s">
        <v>257</v>
      </c>
      <c r="D69" s="32">
        <v>14.222222222222221</v>
      </c>
      <c r="E69" s="32" t="s">
        <v>31</v>
      </c>
      <c r="F69" t="s">
        <v>512</v>
      </c>
      <c r="G69" s="35"/>
    </row>
    <row r="70" spans="1:7" x14ac:dyDescent="0.2">
      <c r="A70" t="s">
        <v>511</v>
      </c>
      <c r="B70" t="s">
        <v>292</v>
      </c>
      <c r="C70" s="35" t="s">
        <v>291</v>
      </c>
      <c r="D70" s="32">
        <v>142.22222222222223</v>
      </c>
      <c r="E70" s="32" t="s">
        <v>26</v>
      </c>
      <c r="F70" t="s">
        <v>493</v>
      </c>
      <c r="G70" s="35"/>
    </row>
    <row r="71" spans="1:7" x14ac:dyDescent="0.2">
      <c r="A71" t="s">
        <v>511</v>
      </c>
      <c r="B71" t="s">
        <v>312</v>
      </c>
      <c r="C71" s="35" t="s">
        <v>311</v>
      </c>
      <c r="D71" s="32">
        <v>28.444444444444443</v>
      </c>
      <c r="E71" s="32" t="s">
        <v>26</v>
      </c>
      <c r="F71" t="s">
        <v>493</v>
      </c>
      <c r="G71" s="35"/>
    </row>
    <row r="72" spans="1:7" x14ac:dyDescent="0.2">
      <c r="A72" t="s">
        <v>511</v>
      </c>
      <c r="B72" t="s">
        <v>324</v>
      </c>
      <c r="C72" s="35" t="s">
        <v>323</v>
      </c>
      <c r="D72" s="32">
        <v>177.77777777777777</v>
      </c>
      <c r="E72" s="32" t="s">
        <v>26</v>
      </c>
      <c r="F72" t="s">
        <v>493</v>
      </c>
      <c r="G72" s="35"/>
    </row>
    <row r="73" spans="1:7" x14ac:dyDescent="0.2">
      <c r="A73" t="s">
        <v>513</v>
      </c>
      <c r="B73" t="s">
        <v>106</v>
      </c>
      <c r="C73" s="35" t="s">
        <v>105</v>
      </c>
      <c r="D73" s="32">
        <v>23.333333333333332</v>
      </c>
      <c r="E73" s="32" t="s">
        <v>26</v>
      </c>
      <c r="F73" t="s">
        <v>489</v>
      </c>
      <c r="G73" s="35" t="s">
        <v>490</v>
      </c>
    </row>
    <row r="74" spans="1:7" x14ac:dyDescent="0.2">
      <c r="A74" t="s">
        <v>513</v>
      </c>
      <c r="B74" t="s">
        <v>108</v>
      </c>
      <c r="C74" s="35" t="s">
        <v>107</v>
      </c>
      <c r="D74" s="32">
        <v>23.333333333333332</v>
      </c>
      <c r="E74" s="32" t="s">
        <v>26</v>
      </c>
      <c r="F74" t="s">
        <v>489</v>
      </c>
      <c r="G74" s="35" t="s">
        <v>490</v>
      </c>
    </row>
    <row r="75" spans="1:7" x14ac:dyDescent="0.2">
      <c r="A75" t="s">
        <v>511</v>
      </c>
      <c r="B75" t="s">
        <v>350</v>
      </c>
      <c r="C75" s="35" t="s">
        <v>349</v>
      </c>
      <c r="D75" s="32">
        <v>426.66666666666669</v>
      </c>
      <c r="E75" s="32" t="s">
        <v>26</v>
      </c>
      <c r="F75" t="s">
        <v>489</v>
      </c>
      <c r="G75" s="35" t="s">
        <v>491</v>
      </c>
    </row>
    <row r="76" spans="1:7" x14ac:dyDescent="0.2">
      <c r="A76" t="s">
        <v>511</v>
      </c>
      <c r="B76" t="s">
        <v>514</v>
      </c>
      <c r="C76" s="35" t="s">
        <v>355</v>
      </c>
      <c r="D76" s="32">
        <v>426.66666666666669</v>
      </c>
      <c r="E76" s="32" t="s">
        <v>26</v>
      </c>
      <c r="F76" t="s">
        <v>489</v>
      </c>
      <c r="G76" s="35" t="s">
        <v>491</v>
      </c>
    </row>
    <row r="77" spans="1:7" x14ac:dyDescent="0.2">
      <c r="A77" t="s">
        <v>511</v>
      </c>
      <c r="B77" t="s">
        <v>362</v>
      </c>
      <c r="C77" s="35" t="s">
        <v>361</v>
      </c>
      <c r="D77" s="32">
        <v>355.55555555555554</v>
      </c>
      <c r="E77" s="32" t="s">
        <v>26</v>
      </c>
      <c r="F77" t="s">
        <v>489</v>
      </c>
      <c r="G77" s="35" t="s">
        <v>491</v>
      </c>
    </row>
    <row r="78" spans="1:7" x14ac:dyDescent="0.2">
      <c r="A78" t="s">
        <v>515</v>
      </c>
      <c r="B78" t="s">
        <v>276</v>
      </c>
      <c r="C78" s="35" t="s">
        <v>275</v>
      </c>
      <c r="D78" s="32">
        <v>711.11111111111109</v>
      </c>
      <c r="E78" s="32" t="s">
        <v>31</v>
      </c>
      <c r="F78" t="s">
        <v>489</v>
      </c>
      <c r="G78" s="35" t="s">
        <v>491</v>
      </c>
    </row>
    <row r="79" spans="1:7" x14ac:dyDescent="0.2">
      <c r="A79" t="s">
        <v>515</v>
      </c>
      <c r="B79" t="s">
        <v>346</v>
      </c>
      <c r="C79" s="35" t="s">
        <v>345</v>
      </c>
      <c r="D79" s="32">
        <v>711.11111111111109</v>
      </c>
      <c r="E79" s="32" t="s">
        <v>26</v>
      </c>
      <c r="F79" t="s">
        <v>489</v>
      </c>
      <c r="G79" s="35" t="s">
        <v>491</v>
      </c>
    </row>
    <row r="80" spans="1:7" x14ac:dyDescent="0.2">
      <c r="A80" t="s">
        <v>515</v>
      </c>
      <c r="B80" t="s">
        <v>116</v>
      </c>
      <c r="C80" s="35" t="s">
        <v>115</v>
      </c>
      <c r="D80" s="32">
        <v>7.7777777777777777</v>
      </c>
      <c r="E80" s="32" t="s">
        <v>26</v>
      </c>
      <c r="F80" t="s">
        <v>489</v>
      </c>
      <c r="G80" s="35" t="s">
        <v>490</v>
      </c>
    </row>
    <row r="81" spans="1:7" x14ac:dyDescent="0.2">
      <c r="A81" t="s">
        <v>516</v>
      </c>
      <c r="B81" t="s">
        <v>306</v>
      </c>
      <c r="C81" s="35" t="s">
        <v>305</v>
      </c>
      <c r="D81" s="32">
        <v>426.66666666666669</v>
      </c>
      <c r="E81" s="32" t="s">
        <v>26</v>
      </c>
      <c r="F81" t="s">
        <v>493</v>
      </c>
      <c r="G81" s="35"/>
    </row>
    <row r="82" spans="1:7" x14ac:dyDescent="0.2">
      <c r="A82" t="s">
        <v>516</v>
      </c>
      <c r="B82" t="s">
        <v>126</v>
      </c>
      <c r="C82" s="35" t="s">
        <v>125</v>
      </c>
      <c r="D82" s="32">
        <v>579.55555555555554</v>
      </c>
      <c r="E82" s="32" t="s">
        <v>31</v>
      </c>
      <c r="F82" t="s">
        <v>489</v>
      </c>
      <c r="G82" s="35" t="s">
        <v>491</v>
      </c>
    </row>
    <row r="83" spans="1:7" x14ac:dyDescent="0.2">
      <c r="A83" t="s">
        <v>516</v>
      </c>
      <c r="B83" t="s">
        <v>160</v>
      </c>
      <c r="C83" s="35" t="s">
        <v>159</v>
      </c>
      <c r="D83" s="32">
        <v>142.22222222222223</v>
      </c>
      <c r="E83" s="32" t="s">
        <v>26</v>
      </c>
      <c r="F83" t="s">
        <v>493</v>
      </c>
      <c r="G83" s="35"/>
    </row>
    <row r="84" spans="1:7" x14ac:dyDescent="0.2">
      <c r="A84" t="s">
        <v>516</v>
      </c>
      <c r="B84" t="s">
        <v>174</v>
      </c>
      <c r="C84" s="35" t="s">
        <v>173</v>
      </c>
      <c r="D84" s="32">
        <v>72.222222222222229</v>
      </c>
      <c r="E84" s="32" t="s">
        <v>26</v>
      </c>
      <c r="F84" t="s">
        <v>489</v>
      </c>
      <c r="G84" s="35" t="s">
        <v>494</v>
      </c>
    </row>
    <row r="85" spans="1:7" x14ac:dyDescent="0.2">
      <c r="A85" t="s">
        <v>516</v>
      </c>
      <c r="B85" t="s">
        <v>184</v>
      </c>
      <c r="C85" s="35" t="s">
        <v>183</v>
      </c>
      <c r="D85" s="32">
        <v>23.333333333333332</v>
      </c>
      <c r="E85" s="32" t="s">
        <v>26</v>
      </c>
      <c r="F85" t="s">
        <v>489</v>
      </c>
      <c r="G85" s="35" t="s">
        <v>494</v>
      </c>
    </row>
    <row r="86" spans="1:7" x14ac:dyDescent="0.2">
      <c r="A86" t="s">
        <v>516</v>
      </c>
      <c r="B86" t="s">
        <v>252</v>
      </c>
      <c r="C86" s="35" t="s">
        <v>251</v>
      </c>
      <c r="D86" s="32">
        <v>248.88888888888889</v>
      </c>
      <c r="E86" s="32" t="s">
        <v>26</v>
      </c>
      <c r="F86" t="s">
        <v>493</v>
      </c>
      <c r="G86" s="35"/>
    </row>
    <row r="87" spans="1:7" x14ac:dyDescent="0.2">
      <c r="A87" t="s">
        <v>516</v>
      </c>
      <c r="B87" t="s">
        <v>344</v>
      </c>
      <c r="C87" s="35" t="s">
        <v>343</v>
      </c>
      <c r="D87" s="32">
        <v>184.88888888888889</v>
      </c>
      <c r="E87" s="32" t="s">
        <v>26</v>
      </c>
      <c r="F87" t="s">
        <v>493</v>
      </c>
      <c r="G87" s="35"/>
    </row>
    <row r="88" spans="1:7" x14ac:dyDescent="0.2">
      <c r="A88" t="s">
        <v>516</v>
      </c>
      <c r="B88" t="s">
        <v>366</v>
      </c>
      <c r="C88" s="35" t="s">
        <v>365</v>
      </c>
      <c r="D88" s="32">
        <v>184.88888888888889</v>
      </c>
      <c r="E88" s="32" t="s">
        <v>26</v>
      </c>
      <c r="F88" t="s">
        <v>489</v>
      </c>
      <c r="G88" s="35" t="s">
        <v>491</v>
      </c>
    </row>
    <row r="89" spans="1:7" x14ac:dyDescent="0.2">
      <c r="A89" t="s">
        <v>516</v>
      </c>
      <c r="B89" t="s">
        <v>407</v>
      </c>
      <c r="C89" s="35" t="s">
        <v>406</v>
      </c>
      <c r="D89" s="32">
        <v>188.44444444444446</v>
      </c>
      <c r="E89" s="32" t="s">
        <v>31</v>
      </c>
      <c r="F89" t="s">
        <v>489</v>
      </c>
      <c r="G89" s="35" t="s">
        <v>494</v>
      </c>
    </row>
    <row r="90" spans="1:7" x14ac:dyDescent="0.2">
      <c r="A90" t="s">
        <v>516</v>
      </c>
      <c r="B90" t="s">
        <v>413</v>
      </c>
      <c r="C90" s="35" t="s">
        <v>412</v>
      </c>
      <c r="D90" s="32">
        <v>188.44444444444446</v>
      </c>
      <c r="E90" s="32" t="s">
        <v>31</v>
      </c>
      <c r="F90" t="s">
        <v>489</v>
      </c>
      <c r="G90" s="35" t="s">
        <v>491</v>
      </c>
    </row>
    <row r="91" spans="1:7" x14ac:dyDescent="0.2">
      <c r="A91" t="s">
        <v>516</v>
      </c>
      <c r="B91" t="s">
        <v>415</v>
      </c>
      <c r="C91" s="35" t="s">
        <v>414</v>
      </c>
      <c r="D91" s="32">
        <v>188.44444444444446</v>
      </c>
      <c r="E91" s="32" t="s">
        <v>31</v>
      </c>
      <c r="F91" t="s">
        <v>489</v>
      </c>
      <c r="G91" s="35" t="s">
        <v>491</v>
      </c>
    </row>
    <row r="92" spans="1:7" x14ac:dyDescent="0.2">
      <c r="A92" t="s">
        <v>517</v>
      </c>
      <c r="B92" t="s">
        <v>302</v>
      </c>
      <c r="C92" s="35" t="s">
        <v>301</v>
      </c>
      <c r="D92" s="32">
        <v>426.66666666666669</v>
      </c>
      <c r="E92" s="32" t="s">
        <v>31</v>
      </c>
      <c r="F92" t="s">
        <v>489</v>
      </c>
      <c r="G92" s="35" t="s">
        <v>494</v>
      </c>
    </row>
    <row r="93" spans="1:7" x14ac:dyDescent="0.2">
      <c r="A93" t="s">
        <v>517</v>
      </c>
      <c r="B93" t="s">
        <v>228</v>
      </c>
      <c r="C93" s="35" t="s">
        <v>227</v>
      </c>
      <c r="D93" s="32">
        <v>142.22222222222223</v>
      </c>
      <c r="E93" s="32" t="s">
        <v>26</v>
      </c>
      <c r="F93" t="s">
        <v>493</v>
      </c>
      <c r="G93" s="35"/>
    </row>
    <row r="94" spans="1:7" x14ac:dyDescent="0.2">
      <c r="A94" t="s">
        <v>517</v>
      </c>
      <c r="B94" t="s">
        <v>236</v>
      </c>
      <c r="C94" s="35" t="s">
        <v>235</v>
      </c>
      <c r="D94" s="32">
        <v>213.33333333333334</v>
      </c>
      <c r="E94" s="32" t="s">
        <v>26</v>
      </c>
      <c r="F94" t="s">
        <v>493</v>
      </c>
      <c r="G94" s="35"/>
    </row>
    <row r="95" spans="1:7" x14ac:dyDescent="0.2">
      <c r="A95" t="s">
        <v>517</v>
      </c>
      <c r="B95" t="s">
        <v>256</v>
      </c>
      <c r="C95" s="35" t="s">
        <v>255</v>
      </c>
      <c r="D95" s="32">
        <v>213.33333333333334</v>
      </c>
      <c r="E95" s="32" t="s">
        <v>26</v>
      </c>
      <c r="F95" t="s">
        <v>493</v>
      </c>
      <c r="G95" s="35"/>
    </row>
    <row r="96" spans="1:7" x14ac:dyDescent="0.2">
      <c r="A96" t="s">
        <v>517</v>
      </c>
      <c r="B96" t="s">
        <v>332</v>
      </c>
      <c r="C96" s="35" t="s">
        <v>331</v>
      </c>
      <c r="D96" s="32">
        <v>352</v>
      </c>
      <c r="E96" s="32" t="s">
        <v>26</v>
      </c>
      <c r="F96" t="s">
        <v>489</v>
      </c>
      <c r="G96" s="35" t="s">
        <v>491</v>
      </c>
    </row>
    <row r="97" spans="1:7" x14ac:dyDescent="0.2">
      <c r="A97" t="s">
        <v>518</v>
      </c>
      <c r="B97" t="s">
        <v>382</v>
      </c>
      <c r="C97" s="35" t="s">
        <v>381</v>
      </c>
      <c r="D97" s="32">
        <v>241.77777777777777</v>
      </c>
      <c r="E97" s="32" t="s">
        <v>13</v>
      </c>
      <c r="F97" t="s">
        <v>489</v>
      </c>
      <c r="G97" s="35" t="s">
        <v>491</v>
      </c>
    </row>
    <row r="98" spans="1:7" x14ac:dyDescent="0.2">
      <c r="A98" t="s">
        <v>518</v>
      </c>
      <c r="B98" t="s">
        <v>409</v>
      </c>
      <c r="C98" s="35" t="s">
        <v>408</v>
      </c>
      <c r="D98" s="32">
        <v>231.11111111111111</v>
      </c>
      <c r="E98" s="32" t="s">
        <v>13</v>
      </c>
      <c r="F98" t="s">
        <v>489</v>
      </c>
      <c r="G98" s="35" t="s">
        <v>491</v>
      </c>
    </row>
    <row r="99" spans="1:7" x14ac:dyDescent="0.2">
      <c r="A99" t="s">
        <v>518</v>
      </c>
      <c r="B99" t="s">
        <v>411</v>
      </c>
      <c r="C99" s="35" t="s">
        <v>410</v>
      </c>
      <c r="D99" s="32">
        <v>355.55555555555554</v>
      </c>
      <c r="E99" s="32" t="s">
        <v>31</v>
      </c>
      <c r="F99" t="s">
        <v>489</v>
      </c>
      <c r="G99" s="35" t="s">
        <v>494</v>
      </c>
    </row>
    <row r="100" spans="1:7" x14ac:dyDescent="0.2">
      <c r="A100" t="s">
        <v>519</v>
      </c>
      <c r="B100" t="s">
        <v>176</v>
      </c>
      <c r="C100" s="35" t="s">
        <v>175</v>
      </c>
      <c r="D100" s="32">
        <v>711.11111111111109</v>
      </c>
      <c r="E100" s="32" t="s">
        <v>26</v>
      </c>
      <c r="F100" t="s">
        <v>489</v>
      </c>
      <c r="G100" s="35" t="s">
        <v>491</v>
      </c>
    </row>
    <row r="101" spans="1:7" x14ac:dyDescent="0.2">
      <c r="A101" t="s">
        <v>519</v>
      </c>
      <c r="B101" t="s">
        <v>326</v>
      </c>
      <c r="C101" s="35" t="s">
        <v>325</v>
      </c>
      <c r="D101" s="32">
        <v>71.111111111111114</v>
      </c>
      <c r="E101" s="32" t="s">
        <v>26</v>
      </c>
      <c r="F101" t="s">
        <v>493</v>
      </c>
      <c r="G101" s="35"/>
    </row>
    <row r="102" spans="1:7" x14ac:dyDescent="0.2">
      <c r="A102" t="s">
        <v>519</v>
      </c>
      <c r="B102" t="s">
        <v>360</v>
      </c>
      <c r="C102" s="35" t="s">
        <v>359</v>
      </c>
      <c r="D102" s="32">
        <v>711.11111111111109</v>
      </c>
      <c r="E102" s="32" t="s">
        <v>26</v>
      </c>
      <c r="F102" t="s">
        <v>489</v>
      </c>
      <c r="G102" s="35" t="s">
        <v>491</v>
      </c>
    </row>
    <row r="103" spans="1:7" x14ac:dyDescent="0.2">
      <c r="A103" t="s">
        <v>519</v>
      </c>
      <c r="B103" t="s">
        <v>520</v>
      </c>
      <c r="C103" s="35" t="s">
        <v>426</v>
      </c>
      <c r="D103" s="32">
        <v>711.11111111111109</v>
      </c>
      <c r="E103" s="32" t="s">
        <v>31</v>
      </c>
      <c r="F103" t="s">
        <v>489</v>
      </c>
      <c r="G103" s="35" t="s">
        <v>494</v>
      </c>
    </row>
    <row r="104" spans="1:7" x14ac:dyDescent="0.2">
      <c r="A104" t="s">
        <v>521</v>
      </c>
      <c r="B104" t="s">
        <v>364</v>
      </c>
      <c r="C104" s="35" t="s">
        <v>363</v>
      </c>
      <c r="D104" s="32">
        <v>1422.2222222222222</v>
      </c>
      <c r="E104" s="32" t="s">
        <v>31</v>
      </c>
      <c r="F104" t="s">
        <v>489</v>
      </c>
      <c r="G104" s="35" t="s">
        <v>490</v>
      </c>
    </row>
    <row r="105" spans="1:7" x14ac:dyDescent="0.2">
      <c r="A105" t="s">
        <v>522</v>
      </c>
      <c r="B105" t="s">
        <v>158</v>
      </c>
      <c r="C105" s="35" t="s">
        <v>157</v>
      </c>
      <c r="D105" s="32">
        <v>352</v>
      </c>
      <c r="E105" s="32" t="s">
        <v>26</v>
      </c>
      <c r="F105" t="s">
        <v>489</v>
      </c>
      <c r="G105" s="35" t="s">
        <v>491</v>
      </c>
    </row>
    <row r="106" spans="1:7" x14ac:dyDescent="0.2">
      <c r="A106" t="s">
        <v>522</v>
      </c>
      <c r="B106" t="s">
        <v>218</v>
      </c>
      <c r="C106" s="35" t="s">
        <v>217</v>
      </c>
      <c r="D106" s="32">
        <v>23.333333333333332</v>
      </c>
      <c r="E106" s="32" t="s">
        <v>31</v>
      </c>
      <c r="F106" t="s">
        <v>489</v>
      </c>
      <c r="G106" s="35" t="s">
        <v>490</v>
      </c>
    </row>
    <row r="107" spans="1:7" x14ac:dyDescent="0.2">
      <c r="A107" t="s">
        <v>522</v>
      </c>
      <c r="B107" t="s">
        <v>114</v>
      </c>
      <c r="C107" s="35" t="s">
        <v>113</v>
      </c>
      <c r="D107" s="32">
        <v>284.44444444444446</v>
      </c>
      <c r="E107" s="32" t="s">
        <v>31</v>
      </c>
      <c r="F107" t="s">
        <v>489</v>
      </c>
      <c r="G107" s="35" t="s">
        <v>490</v>
      </c>
    </row>
    <row r="108" spans="1:7" x14ac:dyDescent="0.2">
      <c r="A108" t="s">
        <v>513</v>
      </c>
      <c r="B108" t="s">
        <v>188</v>
      </c>
      <c r="C108" s="35" t="s">
        <v>187</v>
      </c>
      <c r="D108" s="32">
        <v>23.333333333333332</v>
      </c>
      <c r="E108" s="32" t="s">
        <v>26</v>
      </c>
      <c r="F108" t="s">
        <v>489</v>
      </c>
      <c r="G108" s="35" t="s">
        <v>490</v>
      </c>
    </row>
    <row r="109" spans="1:7" x14ac:dyDescent="0.2">
      <c r="A109" t="s">
        <v>522</v>
      </c>
      <c r="B109" t="s">
        <v>180</v>
      </c>
      <c r="C109" s="35" t="s">
        <v>179</v>
      </c>
      <c r="D109" s="32">
        <v>497.77777777777777</v>
      </c>
      <c r="E109" s="32" t="s">
        <v>26</v>
      </c>
      <c r="F109" t="s">
        <v>493</v>
      </c>
      <c r="G109" s="35"/>
    </row>
    <row r="110" spans="1:7" x14ac:dyDescent="0.2">
      <c r="A110" t="s">
        <v>522</v>
      </c>
      <c r="B110" t="s">
        <v>272</v>
      </c>
      <c r="C110" s="35" t="s">
        <v>271</v>
      </c>
      <c r="D110" s="32">
        <v>352</v>
      </c>
      <c r="E110" s="32" t="s">
        <v>26</v>
      </c>
      <c r="F110" t="s">
        <v>489</v>
      </c>
      <c r="G110" s="35" t="s">
        <v>491</v>
      </c>
    </row>
    <row r="111" spans="1:7" x14ac:dyDescent="0.2">
      <c r="A111" t="s">
        <v>522</v>
      </c>
      <c r="B111" t="s">
        <v>384</v>
      </c>
      <c r="C111" s="35" t="s">
        <v>383</v>
      </c>
      <c r="D111" s="32">
        <v>170.66666666666666</v>
      </c>
      <c r="E111" s="32" t="s">
        <v>26</v>
      </c>
      <c r="F111" t="s">
        <v>489</v>
      </c>
      <c r="G111" s="35" t="s">
        <v>491</v>
      </c>
    </row>
    <row r="112" spans="1:7" x14ac:dyDescent="0.2">
      <c r="A112" t="s">
        <v>523</v>
      </c>
      <c r="B112" t="s">
        <v>474</v>
      </c>
      <c r="C112" s="35" t="s">
        <v>473</v>
      </c>
      <c r="D112" s="32">
        <v>23.333333333333332</v>
      </c>
      <c r="E112" s="32" t="s">
        <v>26</v>
      </c>
      <c r="F112" t="s">
        <v>489</v>
      </c>
      <c r="G112" s="35" t="s">
        <v>490</v>
      </c>
    </row>
    <row r="113" spans="1:7" x14ac:dyDescent="0.2">
      <c r="A113" t="s">
        <v>523</v>
      </c>
      <c r="B113" t="s">
        <v>476</v>
      </c>
      <c r="C113" s="35" t="s">
        <v>475</v>
      </c>
      <c r="D113" s="32">
        <v>352</v>
      </c>
      <c r="E113" s="32" t="s">
        <v>26</v>
      </c>
      <c r="F113" t="s">
        <v>489</v>
      </c>
      <c r="G113" s="35" t="s">
        <v>494</v>
      </c>
    </row>
    <row r="114" spans="1:7" x14ac:dyDescent="0.2">
      <c r="A114" t="s">
        <v>522</v>
      </c>
      <c r="B114" t="s">
        <v>386</v>
      </c>
      <c r="C114" s="35" t="s">
        <v>385</v>
      </c>
      <c r="D114" s="32">
        <v>170.66666666666666</v>
      </c>
      <c r="E114" s="32" t="s">
        <v>26</v>
      </c>
      <c r="F114" t="s">
        <v>489</v>
      </c>
      <c r="G114" s="35" t="s">
        <v>491</v>
      </c>
    </row>
    <row r="115" spans="1:7" x14ac:dyDescent="0.2">
      <c r="A115" t="s">
        <v>524</v>
      </c>
      <c r="B115" t="s">
        <v>194</v>
      </c>
      <c r="C115" s="35" t="s">
        <v>193</v>
      </c>
      <c r="D115" s="32">
        <v>106.66666666666667</v>
      </c>
      <c r="E115" s="32" t="s">
        <v>26</v>
      </c>
      <c r="F115" t="s">
        <v>489</v>
      </c>
      <c r="G115" s="35" t="s">
        <v>490</v>
      </c>
    </row>
    <row r="116" spans="1:7" x14ac:dyDescent="0.2">
      <c r="A116" t="s">
        <v>524</v>
      </c>
      <c r="B116" t="s">
        <v>260</v>
      </c>
      <c r="C116" s="35" t="s">
        <v>259</v>
      </c>
      <c r="D116" s="32">
        <v>177.77777777777777</v>
      </c>
      <c r="E116" s="32" t="s">
        <v>31</v>
      </c>
      <c r="F116" t="s">
        <v>489</v>
      </c>
      <c r="G116" s="35" t="s">
        <v>490</v>
      </c>
    </row>
    <row r="117" spans="1:7" x14ac:dyDescent="0.2">
      <c r="A117" t="s">
        <v>524</v>
      </c>
      <c r="B117" t="s">
        <v>262</v>
      </c>
      <c r="C117" s="35" t="s">
        <v>261</v>
      </c>
      <c r="D117" s="32">
        <v>35.555555555555557</v>
      </c>
      <c r="E117" s="32" t="s">
        <v>31</v>
      </c>
      <c r="F117" t="s">
        <v>512</v>
      </c>
      <c r="G117" s="35"/>
    </row>
    <row r="118" spans="1:7" x14ac:dyDescent="0.2">
      <c r="A118" t="s">
        <v>524</v>
      </c>
      <c r="B118" t="s">
        <v>264</v>
      </c>
      <c r="C118" s="35" t="s">
        <v>263</v>
      </c>
      <c r="D118" s="32">
        <v>60.444444444444443</v>
      </c>
      <c r="E118" s="32" t="s">
        <v>26</v>
      </c>
      <c r="F118" t="s">
        <v>489</v>
      </c>
      <c r="G118" s="35" t="s">
        <v>491</v>
      </c>
    </row>
    <row r="119" spans="1:7" x14ac:dyDescent="0.2">
      <c r="A119" t="s">
        <v>524</v>
      </c>
      <c r="B119" t="s">
        <v>399</v>
      </c>
      <c r="C119" s="35" t="s">
        <v>398</v>
      </c>
      <c r="D119" s="32">
        <v>71.111111111111114</v>
      </c>
      <c r="E119" s="32" t="s">
        <v>26</v>
      </c>
      <c r="F119" t="s">
        <v>489</v>
      </c>
      <c r="G119" s="35" t="s">
        <v>491</v>
      </c>
    </row>
    <row r="120" spans="1:7" x14ac:dyDescent="0.2">
      <c r="A120" t="s">
        <v>524</v>
      </c>
      <c r="B120" t="s">
        <v>403</v>
      </c>
      <c r="C120" s="35" t="s">
        <v>402</v>
      </c>
      <c r="D120" s="32">
        <v>71.111111111111114</v>
      </c>
      <c r="E120" s="32" t="s">
        <v>26</v>
      </c>
      <c r="F120" t="s">
        <v>489</v>
      </c>
      <c r="G120" s="35" t="s">
        <v>491</v>
      </c>
    </row>
    <row r="121" spans="1:7" x14ac:dyDescent="0.2">
      <c r="A121" t="s">
        <v>525</v>
      </c>
      <c r="B121" t="s">
        <v>526</v>
      </c>
      <c r="C121" s="35" t="s">
        <v>211</v>
      </c>
      <c r="D121" s="32">
        <v>142.22222222222223</v>
      </c>
      <c r="E121" s="32" t="s">
        <v>31</v>
      </c>
      <c r="F121" t="s">
        <v>489</v>
      </c>
      <c r="G121" s="35" t="s">
        <v>491</v>
      </c>
    </row>
    <row r="122" spans="1:7" x14ac:dyDescent="0.2">
      <c r="A122" t="s">
        <v>525</v>
      </c>
      <c r="B122" t="s">
        <v>284</v>
      </c>
      <c r="C122" s="35" t="s">
        <v>283</v>
      </c>
      <c r="D122" s="32">
        <v>213.33333333333334</v>
      </c>
      <c r="E122" s="32" t="s">
        <v>31</v>
      </c>
      <c r="F122" t="s">
        <v>493</v>
      </c>
      <c r="G122" s="35"/>
    </row>
    <row r="123" spans="1:7" x14ac:dyDescent="0.2">
      <c r="A123" t="s">
        <v>525</v>
      </c>
      <c r="B123" t="s">
        <v>527</v>
      </c>
      <c r="C123" s="35" t="s">
        <v>424</v>
      </c>
      <c r="D123" s="32">
        <v>213.33333333333334</v>
      </c>
      <c r="E123" s="32" t="s">
        <v>31</v>
      </c>
      <c r="F123" t="s">
        <v>489</v>
      </c>
      <c r="G123" s="35" t="s">
        <v>491</v>
      </c>
    </row>
    <row r="124" spans="1:7" x14ac:dyDescent="0.2">
      <c r="A124" t="s">
        <v>525</v>
      </c>
      <c r="B124" t="s">
        <v>146</v>
      </c>
      <c r="C124" s="35" t="s">
        <v>145</v>
      </c>
      <c r="D124" s="32">
        <v>284.44444444444446</v>
      </c>
      <c r="E124" s="32" t="s">
        <v>26</v>
      </c>
      <c r="F124" t="s">
        <v>493</v>
      </c>
      <c r="G124" s="35"/>
    </row>
    <row r="125" spans="1:7" x14ac:dyDescent="0.2">
      <c r="A125" t="s">
        <v>525</v>
      </c>
      <c r="B125" t="s">
        <v>154</v>
      </c>
      <c r="C125" s="35" t="s">
        <v>153</v>
      </c>
      <c r="D125" s="32">
        <v>1.4222222222222223</v>
      </c>
      <c r="E125" s="32" t="s">
        <v>26</v>
      </c>
      <c r="F125" t="s">
        <v>489</v>
      </c>
      <c r="G125" s="35" t="s">
        <v>491</v>
      </c>
    </row>
    <row r="126" spans="1:7" x14ac:dyDescent="0.2">
      <c r="A126" t="s">
        <v>525</v>
      </c>
      <c r="B126" t="s">
        <v>170</v>
      </c>
      <c r="C126" s="35" t="s">
        <v>169</v>
      </c>
      <c r="D126" s="32">
        <v>72.222222222222229</v>
      </c>
      <c r="E126" s="32" t="s">
        <v>31</v>
      </c>
      <c r="F126" t="s">
        <v>489</v>
      </c>
      <c r="G126" s="35" t="s">
        <v>490</v>
      </c>
    </row>
    <row r="127" spans="1:7" x14ac:dyDescent="0.2">
      <c r="A127" t="s">
        <v>525</v>
      </c>
      <c r="B127" t="s">
        <v>172</v>
      </c>
      <c r="C127" s="35" t="s">
        <v>171</v>
      </c>
      <c r="D127" s="32">
        <v>44.444444444444443</v>
      </c>
      <c r="E127" s="32" t="s">
        <v>31</v>
      </c>
      <c r="F127" t="s">
        <v>489</v>
      </c>
      <c r="G127" s="35" t="s">
        <v>490</v>
      </c>
    </row>
    <row r="128" spans="1:7" x14ac:dyDescent="0.2">
      <c r="A128" t="s">
        <v>523</v>
      </c>
      <c r="B128" t="s">
        <v>478</v>
      </c>
      <c r="C128" s="35" t="s">
        <v>477</v>
      </c>
      <c r="D128" s="32">
        <v>7.7777777777777777</v>
      </c>
      <c r="E128" s="32" t="s">
        <v>26</v>
      </c>
      <c r="F128" t="s">
        <v>489</v>
      </c>
      <c r="G128" s="35" t="s">
        <v>490</v>
      </c>
    </row>
    <row r="129" spans="1:7" x14ac:dyDescent="0.2">
      <c r="A129" t="s">
        <v>525</v>
      </c>
      <c r="B129" t="s">
        <v>196</v>
      </c>
      <c r="C129" s="35" t="s">
        <v>195</v>
      </c>
      <c r="D129" s="32">
        <v>44.444444444444443</v>
      </c>
      <c r="E129" s="32" t="s">
        <v>26</v>
      </c>
      <c r="F129" t="s">
        <v>489</v>
      </c>
      <c r="G129" s="35" t="s">
        <v>490</v>
      </c>
    </row>
    <row r="130" spans="1:7" x14ac:dyDescent="0.2">
      <c r="A130" t="s">
        <v>525</v>
      </c>
      <c r="B130" t="s">
        <v>330</v>
      </c>
      <c r="C130" s="35" t="s">
        <v>329</v>
      </c>
      <c r="D130" s="32">
        <v>568.88888888888891</v>
      </c>
      <c r="E130" s="32" t="s">
        <v>26</v>
      </c>
      <c r="F130" t="s">
        <v>489</v>
      </c>
      <c r="G130" s="35" t="s">
        <v>491</v>
      </c>
    </row>
    <row r="131" spans="1:7" x14ac:dyDescent="0.2">
      <c r="A131" t="s">
        <v>525</v>
      </c>
      <c r="B131" t="s">
        <v>370</v>
      </c>
      <c r="C131" s="35" t="s">
        <v>369</v>
      </c>
      <c r="D131" s="32">
        <v>60.444444444444443</v>
      </c>
      <c r="E131" s="32" t="s">
        <v>31</v>
      </c>
      <c r="F131" t="s">
        <v>489</v>
      </c>
      <c r="G131" s="35" t="s">
        <v>491</v>
      </c>
    </row>
    <row r="132" spans="1:7" x14ac:dyDescent="0.2">
      <c r="A132" t="s">
        <v>525</v>
      </c>
      <c r="B132" t="s">
        <v>391</v>
      </c>
      <c r="C132" s="35" t="s">
        <v>390</v>
      </c>
      <c r="D132" s="32">
        <v>184.88888888888889</v>
      </c>
      <c r="E132" s="32" t="s">
        <v>31</v>
      </c>
      <c r="F132" t="s">
        <v>489</v>
      </c>
      <c r="G132" s="35" t="s">
        <v>491</v>
      </c>
    </row>
    <row r="133" spans="1:7" x14ac:dyDescent="0.2">
      <c r="A133" t="s">
        <v>523</v>
      </c>
      <c r="B133" t="s">
        <v>480</v>
      </c>
      <c r="C133" s="35" t="s">
        <v>479</v>
      </c>
      <c r="D133" s="32">
        <v>23.333333333333332</v>
      </c>
      <c r="E133" s="32" t="s">
        <v>26</v>
      </c>
      <c r="F133" t="s">
        <v>489</v>
      </c>
      <c r="G133" s="35" t="s">
        <v>490</v>
      </c>
    </row>
    <row r="134" spans="1:7" x14ac:dyDescent="0.2">
      <c r="A134" t="s">
        <v>525</v>
      </c>
      <c r="B134" t="s">
        <v>393</v>
      </c>
      <c r="C134" s="35" t="s">
        <v>392</v>
      </c>
      <c r="D134" s="32">
        <v>60.444444444444443</v>
      </c>
      <c r="E134" s="32" t="s">
        <v>31</v>
      </c>
      <c r="F134" t="s">
        <v>489</v>
      </c>
      <c r="G134" s="35" t="s">
        <v>494</v>
      </c>
    </row>
    <row r="135" spans="1:7" x14ac:dyDescent="0.2">
      <c r="A135" t="s">
        <v>525</v>
      </c>
      <c r="B135" t="s">
        <v>395</v>
      </c>
      <c r="C135" s="35" t="s">
        <v>394</v>
      </c>
      <c r="D135" s="32">
        <v>60.444444444444443</v>
      </c>
      <c r="E135" s="32" t="s">
        <v>31</v>
      </c>
      <c r="F135" t="s">
        <v>489</v>
      </c>
      <c r="G135" s="35" t="s">
        <v>491</v>
      </c>
    </row>
    <row r="136" spans="1:7" x14ac:dyDescent="0.2">
      <c r="A136" t="s">
        <v>525</v>
      </c>
      <c r="B136" t="s">
        <v>397</v>
      </c>
      <c r="C136" s="35" t="s">
        <v>396</v>
      </c>
      <c r="D136" s="32">
        <v>355.55555555555554</v>
      </c>
      <c r="E136" s="32" t="s">
        <v>31</v>
      </c>
      <c r="F136" t="s">
        <v>489</v>
      </c>
      <c r="G136" s="35" t="s">
        <v>494</v>
      </c>
    </row>
    <row r="137" spans="1:7" x14ac:dyDescent="0.2">
      <c r="A137" t="s">
        <v>525</v>
      </c>
      <c r="B137" t="s">
        <v>528</v>
      </c>
      <c r="C137" s="35" t="s">
        <v>400</v>
      </c>
      <c r="D137" s="32">
        <v>1422.2222222222222</v>
      </c>
      <c r="E137" s="32" t="s">
        <v>31</v>
      </c>
      <c r="F137" t="s">
        <v>489</v>
      </c>
      <c r="G137" s="35" t="s">
        <v>494</v>
      </c>
    </row>
    <row r="138" spans="1:7" x14ac:dyDescent="0.2">
      <c r="A138" t="s">
        <v>525</v>
      </c>
      <c r="B138" t="s">
        <v>529</v>
      </c>
      <c r="C138" s="35" t="s">
        <v>404</v>
      </c>
      <c r="D138" s="32">
        <v>1422.2222222222222</v>
      </c>
      <c r="E138" s="32" t="s">
        <v>31</v>
      </c>
      <c r="F138" t="s">
        <v>489</v>
      </c>
      <c r="G138" s="35" t="s">
        <v>490</v>
      </c>
    </row>
    <row r="139" spans="1:7" x14ac:dyDescent="0.2">
      <c r="A139" t="s">
        <v>530</v>
      </c>
      <c r="B139" t="s">
        <v>270</v>
      </c>
      <c r="C139" s="35" t="s">
        <v>269</v>
      </c>
      <c r="D139" s="32">
        <v>106.66666666666667</v>
      </c>
      <c r="E139" s="32" t="s">
        <v>26</v>
      </c>
      <c r="F139" t="s">
        <v>493</v>
      </c>
      <c r="G139" s="35"/>
    </row>
    <row r="140" spans="1:7" x14ac:dyDescent="0.2">
      <c r="A140" t="s">
        <v>530</v>
      </c>
      <c r="B140" t="s">
        <v>334</v>
      </c>
      <c r="C140" s="35" t="s">
        <v>333</v>
      </c>
      <c r="D140" s="32">
        <v>213.33333333333334</v>
      </c>
      <c r="E140" s="32" t="s">
        <v>26</v>
      </c>
      <c r="F140" t="s">
        <v>489</v>
      </c>
      <c r="G140" s="35" t="s">
        <v>491</v>
      </c>
    </row>
    <row r="141" spans="1:7" x14ac:dyDescent="0.2">
      <c r="A141" t="s">
        <v>530</v>
      </c>
      <c r="B141" t="s">
        <v>531</v>
      </c>
      <c r="C141" s="35" t="s">
        <v>335</v>
      </c>
      <c r="D141" s="32">
        <v>213.33333333333334</v>
      </c>
      <c r="E141" s="32" t="s">
        <v>26</v>
      </c>
      <c r="F141" t="s">
        <v>489</v>
      </c>
      <c r="G141" s="35" t="s">
        <v>491</v>
      </c>
    </row>
    <row r="142" spans="1:7" x14ac:dyDescent="0.2">
      <c r="A142" t="s">
        <v>530</v>
      </c>
      <c r="B142" t="s">
        <v>338</v>
      </c>
      <c r="C142" s="35" t="s">
        <v>337</v>
      </c>
      <c r="D142" s="32">
        <v>711.11111111111109</v>
      </c>
      <c r="E142" s="32" t="s">
        <v>26</v>
      </c>
      <c r="F142" t="s">
        <v>489</v>
      </c>
      <c r="G142" s="35" t="s">
        <v>491</v>
      </c>
    </row>
    <row r="143" spans="1:7" x14ac:dyDescent="0.2">
      <c r="A143" t="s">
        <v>530</v>
      </c>
      <c r="B143" t="s">
        <v>340</v>
      </c>
      <c r="C143" s="35" t="s">
        <v>339</v>
      </c>
      <c r="D143" s="32">
        <v>1422.2222222222222</v>
      </c>
      <c r="E143" s="32" t="s">
        <v>31</v>
      </c>
      <c r="F143" t="s">
        <v>489</v>
      </c>
      <c r="G143" s="35" t="s">
        <v>494</v>
      </c>
    </row>
    <row r="144" spans="1:7" x14ac:dyDescent="0.2">
      <c r="A144" t="s">
        <v>530</v>
      </c>
      <c r="B144" t="s">
        <v>372</v>
      </c>
      <c r="C144" s="35" t="s">
        <v>371</v>
      </c>
      <c r="D144" s="32">
        <v>142.22222222222223</v>
      </c>
      <c r="E144" s="32" t="s">
        <v>26</v>
      </c>
      <c r="F144" t="s">
        <v>489</v>
      </c>
      <c r="G144" s="35" t="s">
        <v>491</v>
      </c>
    </row>
    <row r="145" spans="1:7" x14ac:dyDescent="0.2">
      <c r="A145" t="s">
        <v>530</v>
      </c>
      <c r="B145" t="s">
        <v>532</v>
      </c>
      <c r="C145" s="35" t="s">
        <v>389</v>
      </c>
      <c r="D145" s="32">
        <v>284.44444444444446</v>
      </c>
      <c r="E145" s="32" t="s">
        <v>26</v>
      </c>
      <c r="F145" t="s">
        <v>489</v>
      </c>
      <c r="G145" s="35" t="s">
        <v>491</v>
      </c>
    </row>
    <row r="146" spans="1:7" x14ac:dyDescent="0.2">
      <c r="A146" t="s">
        <v>530</v>
      </c>
      <c r="B146" t="s">
        <v>417</v>
      </c>
      <c r="C146" s="35" t="s">
        <v>416</v>
      </c>
      <c r="D146" s="32">
        <v>248.88888888888889</v>
      </c>
      <c r="E146" s="32" t="s">
        <v>26</v>
      </c>
      <c r="F146" t="s">
        <v>489</v>
      </c>
      <c r="G146" s="35" t="s">
        <v>491</v>
      </c>
    </row>
    <row r="147" spans="1:7" x14ac:dyDescent="0.2">
      <c r="A147" t="s">
        <v>523</v>
      </c>
      <c r="B147" t="s">
        <v>482</v>
      </c>
      <c r="C147" s="35" t="s">
        <v>481</v>
      </c>
      <c r="D147" s="32">
        <v>23.333333333333332</v>
      </c>
      <c r="E147" s="32" t="s">
        <v>26</v>
      </c>
      <c r="F147" t="s">
        <v>489</v>
      </c>
      <c r="G147" s="35" t="s">
        <v>490</v>
      </c>
    </row>
    <row r="148" spans="1:7" x14ac:dyDescent="0.2">
      <c r="A148" t="s">
        <v>523</v>
      </c>
      <c r="B148" t="s">
        <v>130</v>
      </c>
      <c r="C148" s="35" t="s">
        <v>129</v>
      </c>
      <c r="D148" s="32">
        <v>391.11111111111109</v>
      </c>
      <c r="E148" s="32" t="s">
        <v>26</v>
      </c>
      <c r="F148" t="s">
        <v>489</v>
      </c>
      <c r="G148" s="35" t="s">
        <v>491</v>
      </c>
    </row>
    <row r="149" spans="1:7" x14ac:dyDescent="0.2">
      <c r="A149" t="s">
        <v>523</v>
      </c>
      <c r="B149" t="s">
        <v>132</v>
      </c>
      <c r="C149" s="35" t="s">
        <v>131</v>
      </c>
      <c r="D149" s="32">
        <v>53.333333333333336</v>
      </c>
      <c r="E149" s="32" t="s">
        <v>26</v>
      </c>
      <c r="F149" t="s">
        <v>493</v>
      </c>
      <c r="G149" s="35"/>
    </row>
    <row r="150" spans="1:7" x14ac:dyDescent="0.2">
      <c r="A150" t="s">
        <v>523</v>
      </c>
      <c r="B150" t="s">
        <v>300</v>
      </c>
      <c r="C150" s="35" t="s">
        <v>533</v>
      </c>
      <c r="D150" s="32">
        <v>3.5555555555555554</v>
      </c>
      <c r="E150" s="32" t="s">
        <v>26</v>
      </c>
      <c r="F150" t="s">
        <v>493</v>
      </c>
      <c r="G150" s="35"/>
    </row>
    <row r="151" spans="1:7" x14ac:dyDescent="0.2">
      <c r="A151" t="s">
        <v>534</v>
      </c>
      <c r="B151" t="s">
        <v>192</v>
      </c>
      <c r="C151" s="35" t="s">
        <v>191</v>
      </c>
      <c r="D151" s="32">
        <v>44.444444444444443</v>
      </c>
      <c r="E151" s="32" t="s">
        <v>26</v>
      </c>
      <c r="F151" t="s">
        <v>489</v>
      </c>
      <c r="G151" s="35" t="s">
        <v>490</v>
      </c>
    </row>
    <row r="152" spans="1:7" x14ac:dyDescent="0.2">
      <c r="A152" t="s">
        <v>535</v>
      </c>
      <c r="B152" t="s">
        <v>318</v>
      </c>
      <c r="C152" s="35" t="s">
        <v>317</v>
      </c>
      <c r="D152" s="32">
        <v>355.55555555555554</v>
      </c>
      <c r="E152" s="32" t="s">
        <v>26</v>
      </c>
      <c r="F152" t="s">
        <v>489</v>
      </c>
      <c r="G152" s="35" t="s">
        <v>491</v>
      </c>
    </row>
    <row r="153" spans="1:7" x14ac:dyDescent="0.2">
      <c r="A153" t="s">
        <v>535</v>
      </c>
      <c r="B153" t="s">
        <v>342</v>
      </c>
      <c r="C153" s="35" t="s">
        <v>341</v>
      </c>
      <c r="D153" s="32">
        <v>640</v>
      </c>
      <c r="E153" s="32" t="s">
        <v>26</v>
      </c>
      <c r="F153" t="s">
        <v>489</v>
      </c>
      <c r="G153" s="35" t="s">
        <v>491</v>
      </c>
    </row>
    <row r="154" spans="1:7" x14ac:dyDescent="0.2">
      <c r="A154" t="s">
        <v>536</v>
      </c>
      <c r="B154" t="s">
        <v>230</v>
      </c>
      <c r="C154" s="35" t="s">
        <v>229</v>
      </c>
      <c r="D154" s="32">
        <v>72.222222222222229</v>
      </c>
      <c r="E154" s="32" t="s">
        <v>26</v>
      </c>
      <c r="F154" t="s">
        <v>489</v>
      </c>
      <c r="G154" s="35" t="s">
        <v>490</v>
      </c>
    </row>
    <row r="155" spans="1:7" x14ac:dyDescent="0.2">
      <c r="A155" t="s">
        <v>537</v>
      </c>
      <c r="B155" t="s">
        <v>248</v>
      </c>
      <c r="C155" s="35" t="s">
        <v>247</v>
      </c>
      <c r="D155" s="32">
        <v>71.111111111111114</v>
      </c>
      <c r="E155" s="32" t="s">
        <v>26</v>
      </c>
      <c r="F155" t="s">
        <v>493</v>
      </c>
      <c r="G155" s="35"/>
    </row>
    <row r="156" spans="1:7" x14ac:dyDescent="0.2">
      <c r="A156" t="s">
        <v>537</v>
      </c>
      <c r="B156" t="s">
        <v>322</v>
      </c>
      <c r="C156" s="35" t="s">
        <v>321</v>
      </c>
      <c r="D156" s="32">
        <v>71.111111111111114</v>
      </c>
      <c r="E156" s="32" t="s">
        <v>26</v>
      </c>
      <c r="F156" t="s">
        <v>493</v>
      </c>
      <c r="G156" s="35"/>
    </row>
    <row r="157" spans="1:7" x14ac:dyDescent="0.2">
      <c r="A157" t="s">
        <v>538</v>
      </c>
      <c r="B157" t="s">
        <v>190</v>
      </c>
      <c r="C157" s="35" t="s">
        <v>189</v>
      </c>
      <c r="D157" s="32">
        <v>426.66666666666669</v>
      </c>
      <c r="E157" s="32" t="s">
        <v>26</v>
      </c>
      <c r="F157" t="s">
        <v>493</v>
      </c>
      <c r="G157" s="35"/>
    </row>
    <row r="158" spans="1:7" x14ac:dyDescent="0.2">
      <c r="A158" t="s">
        <v>538</v>
      </c>
      <c r="B158" t="s">
        <v>290</v>
      </c>
      <c r="C158" s="35" t="s">
        <v>289</v>
      </c>
      <c r="D158" s="32">
        <v>35.555555555555557</v>
      </c>
      <c r="E158" s="32" t="s">
        <v>26</v>
      </c>
      <c r="F158" t="s">
        <v>493</v>
      </c>
      <c r="G158" s="35"/>
    </row>
    <row r="159" spans="1:7" x14ac:dyDescent="0.2">
      <c r="A159" t="s">
        <v>538</v>
      </c>
      <c r="B159" t="s">
        <v>314</v>
      </c>
      <c r="C159" s="35" t="s">
        <v>313</v>
      </c>
      <c r="D159" s="32">
        <v>21.333333333333332</v>
      </c>
      <c r="E159" s="32" t="s">
        <v>26</v>
      </c>
      <c r="F159" t="s">
        <v>493</v>
      </c>
      <c r="G159" s="35"/>
    </row>
    <row r="160" spans="1:7" x14ac:dyDescent="0.2">
      <c r="A160" t="s">
        <v>538</v>
      </c>
      <c r="B160" t="s">
        <v>316</v>
      </c>
      <c r="C160" s="35" t="s">
        <v>315</v>
      </c>
      <c r="D160" s="32">
        <v>14.222222222222221</v>
      </c>
      <c r="E160" s="32" t="s">
        <v>26</v>
      </c>
      <c r="F160" t="s">
        <v>493</v>
      </c>
      <c r="G160" s="35"/>
    </row>
    <row r="161" spans="1:7" x14ac:dyDescent="0.2">
      <c r="A161" t="s">
        <v>538</v>
      </c>
      <c r="B161" t="s">
        <v>354</v>
      </c>
      <c r="C161" s="35" t="s">
        <v>353</v>
      </c>
      <c r="D161" s="32">
        <v>56.888888888888886</v>
      </c>
      <c r="E161" s="32" t="s">
        <v>26</v>
      </c>
      <c r="F161" t="s">
        <v>493</v>
      </c>
      <c r="G161" s="35"/>
    </row>
    <row r="162" spans="1:7" x14ac:dyDescent="0.2">
      <c r="A162" t="s">
        <v>538</v>
      </c>
      <c r="B162" t="s">
        <v>388</v>
      </c>
      <c r="C162" s="35" t="s">
        <v>387</v>
      </c>
      <c r="D162" s="32">
        <v>177.77777777777777</v>
      </c>
      <c r="E162" s="32" t="s">
        <v>26</v>
      </c>
      <c r="F162" t="s">
        <v>489</v>
      </c>
      <c r="G162" s="35" t="s">
        <v>491</v>
      </c>
    </row>
    <row r="163" spans="1:7" x14ac:dyDescent="0.2">
      <c r="A163" t="s">
        <v>488</v>
      </c>
      <c r="B163" t="s">
        <v>128</v>
      </c>
      <c r="C163" s="35" t="s">
        <v>127</v>
      </c>
      <c r="D163" s="32">
        <v>92.444444444444443</v>
      </c>
      <c r="E163" s="32" t="s">
        <v>26</v>
      </c>
      <c r="F163" t="s">
        <v>493</v>
      </c>
      <c r="G163" s="35"/>
    </row>
    <row r="164" spans="1:7" x14ac:dyDescent="0.2">
      <c r="A164" t="s">
        <v>488</v>
      </c>
      <c r="B164" t="s">
        <v>202</v>
      </c>
      <c r="C164" s="35" t="s">
        <v>201</v>
      </c>
      <c r="D164" s="32">
        <v>56.888888888888886</v>
      </c>
      <c r="E164" s="32" t="s">
        <v>31</v>
      </c>
      <c r="F164" t="s">
        <v>493</v>
      </c>
      <c r="G164" s="35"/>
    </row>
    <row r="165" spans="1:7" x14ac:dyDescent="0.2">
      <c r="A165" t="s">
        <v>488</v>
      </c>
      <c r="B165" t="s">
        <v>208</v>
      </c>
      <c r="C165" s="35" t="s">
        <v>207</v>
      </c>
      <c r="D165" s="32">
        <v>44.444444444444443</v>
      </c>
      <c r="E165" s="32" t="s">
        <v>31</v>
      </c>
      <c r="F165" t="s">
        <v>489</v>
      </c>
      <c r="G165" s="35" t="s">
        <v>490</v>
      </c>
    </row>
    <row r="166" spans="1:7" x14ac:dyDescent="0.2">
      <c r="A166" t="s">
        <v>488</v>
      </c>
      <c r="B166" t="s">
        <v>210</v>
      </c>
      <c r="C166" s="35" t="s">
        <v>209</v>
      </c>
      <c r="D166" s="32">
        <v>44.444444444444443</v>
      </c>
      <c r="E166" s="32" t="s">
        <v>31</v>
      </c>
      <c r="F166" t="s">
        <v>489</v>
      </c>
      <c r="G166" s="35" t="s">
        <v>490</v>
      </c>
    </row>
    <row r="167" spans="1:7" x14ac:dyDescent="0.2">
      <c r="A167" t="s">
        <v>488</v>
      </c>
      <c r="B167" t="s">
        <v>214</v>
      </c>
      <c r="C167" s="35" t="s">
        <v>213</v>
      </c>
      <c r="D167" s="32">
        <v>23.333333333333332</v>
      </c>
      <c r="E167" s="32" t="s">
        <v>31</v>
      </c>
      <c r="F167" t="s">
        <v>489</v>
      </c>
      <c r="G167" s="35" t="s">
        <v>490</v>
      </c>
    </row>
    <row r="168" spans="1:7" x14ac:dyDescent="0.2">
      <c r="A168" t="s">
        <v>488</v>
      </c>
      <c r="B168" t="s">
        <v>216</v>
      </c>
      <c r="C168" s="35" t="s">
        <v>215</v>
      </c>
      <c r="D168" s="32">
        <v>23.333333333333332</v>
      </c>
      <c r="E168" s="32" t="s">
        <v>31</v>
      </c>
      <c r="F168" t="s">
        <v>489</v>
      </c>
      <c r="G168" s="35" t="s">
        <v>490</v>
      </c>
    </row>
    <row r="169" spans="1:7" x14ac:dyDescent="0.2">
      <c r="A169" t="s">
        <v>488</v>
      </c>
      <c r="B169" t="s">
        <v>220</v>
      </c>
      <c r="C169" s="35" t="s">
        <v>219</v>
      </c>
      <c r="D169" s="32">
        <v>23.333333333333332</v>
      </c>
      <c r="E169" s="32" t="s">
        <v>31</v>
      </c>
      <c r="F169" t="s">
        <v>493</v>
      </c>
      <c r="G169" s="35"/>
    </row>
  </sheetData>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A9DBC-8CF6-46B8-B0BF-86A1A755916A}">
  <sheetPr codeName="Sheet9">
    <tabColor rgb="FFFFFF00"/>
  </sheetPr>
  <dimension ref="A1:C169"/>
  <sheetViews>
    <sheetView workbookViewId="0">
      <selection activeCell="B16" sqref="B16"/>
    </sheetView>
  </sheetViews>
  <sheetFormatPr defaultRowHeight="14.25" x14ac:dyDescent="0.2"/>
  <cols>
    <col min="1" max="1" width="33" customWidth="1"/>
    <col min="2" max="2" width="39.25" bestFit="1" customWidth="1"/>
  </cols>
  <sheetData>
    <row r="1" spans="1:3" ht="15" x14ac:dyDescent="0.2">
      <c r="A1" s="34" t="s">
        <v>1</v>
      </c>
      <c r="B1" s="34" t="s">
        <v>2</v>
      </c>
      <c r="C1" s="34" t="s">
        <v>539</v>
      </c>
    </row>
    <row r="2" spans="1:3" x14ac:dyDescent="0.2">
      <c r="A2" t="s">
        <v>75</v>
      </c>
      <c r="B2" t="s">
        <v>78</v>
      </c>
      <c r="C2" t="s">
        <v>560</v>
      </c>
    </row>
    <row r="3" spans="1:3" x14ac:dyDescent="0.2">
      <c r="A3" t="s">
        <v>75</v>
      </c>
      <c r="B3" t="s">
        <v>78</v>
      </c>
      <c r="C3" t="s">
        <v>560</v>
      </c>
    </row>
    <row r="4" spans="1:3" x14ac:dyDescent="0.2">
      <c r="A4" t="s">
        <v>75</v>
      </c>
      <c r="B4" t="s">
        <v>78</v>
      </c>
      <c r="C4" t="s">
        <v>560</v>
      </c>
    </row>
    <row r="5" spans="1:3" x14ac:dyDescent="0.2">
      <c r="A5" t="s">
        <v>75</v>
      </c>
      <c r="B5" t="s">
        <v>78</v>
      </c>
      <c r="C5" t="s">
        <v>560</v>
      </c>
    </row>
    <row r="6" spans="1:3" x14ac:dyDescent="0.2">
      <c r="A6" t="s">
        <v>75</v>
      </c>
      <c r="B6" t="s">
        <v>78</v>
      </c>
      <c r="C6" t="s">
        <v>560</v>
      </c>
    </row>
    <row r="7" spans="1:3" x14ac:dyDescent="0.2">
      <c r="A7" t="s">
        <v>75</v>
      </c>
      <c r="B7" t="s">
        <v>78</v>
      </c>
      <c r="C7" t="s">
        <v>560</v>
      </c>
    </row>
    <row r="8" spans="1:3" x14ac:dyDescent="0.2">
      <c r="A8" t="s">
        <v>75</v>
      </c>
      <c r="B8" t="s">
        <v>78</v>
      </c>
      <c r="C8" t="s">
        <v>560</v>
      </c>
    </row>
    <row r="9" spans="1:3" x14ac:dyDescent="0.2">
      <c r="A9" t="s">
        <v>75</v>
      </c>
      <c r="B9" t="s">
        <v>78</v>
      </c>
      <c r="C9" t="s">
        <v>560</v>
      </c>
    </row>
    <row r="10" spans="1:3" x14ac:dyDescent="0.2">
      <c r="A10" t="s">
        <v>75</v>
      </c>
      <c r="B10" t="s">
        <v>78</v>
      </c>
      <c r="C10" t="s">
        <v>560</v>
      </c>
    </row>
    <row r="11" spans="1:3" x14ac:dyDescent="0.2">
      <c r="A11" t="s">
        <v>75</v>
      </c>
      <c r="B11" t="s">
        <v>78</v>
      </c>
      <c r="C11" t="s">
        <v>560</v>
      </c>
    </row>
    <row r="12" spans="1:3" x14ac:dyDescent="0.2">
      <c r="A12" t="s">
        <v>75</v>
      </c>
      <c r="B12" t="s">
        <v>76</v>
      </c>
      <c r="C12" t="s">
        <v>566</v>
      </c>
    </row>
    <row r="13" spans="1:3" x14ac:dyDescent="0.2">
      <c r="A13" t="s">
        <v>75</v>
      </c>
      <c r="B13" t="s">
        <v>76</v>
      </c>
      <c r="C13" t="s">
        <v>566</v>
      </c>
    </row>
    <row r="14" spans="1:3" x14ac:dyDescent="0.2">
      <c r="A14" t="s">
        <v>75</v>
      </c>
      <c r="B14" t="s">
        <v>78</v>
      </c>
      <c r="C14" t="s">
        <v>560</v>
      </c>
    </row>
    <row r="15" spans="1:3" x14ac:dyDescent="0.2">
      <c r="A15" t="s">
        <v>75</v>
      </c>
      <c r="B15" t="s">
        <v>76</v>
      </c>
      <c r="C15" t="s">
        <v>566</v>
      </c>
    </row>
    <row r="16" spans="1:3" x14ac:dyDescent="0.2">
      <c r="A16" t="s">
        <v>53</v>
      </c>
      <c r="B16" t="s">
        <v>54</v>
      </c>
      <c r="C16" t="s">
        <v>831</v>
      </c>
    </row>
    <row r="17" spans="1:3" x14ac:dyDescent="0.2">
      <c r="A17" t="s">
        <v>53</v>
      </c>
      <c r="B17" t="s">
        <v>55</v>
      </c>
      <c r="C17" t="s">
        <v>775</v>
      </c>
    </row>
    <row r="18" spans="1:3" x14ac:dyDescent="0.2">
      <c r="A18" t="s">
        <v>66</v>
      </c>
      <c r="B18" t="s">
        <v>929</v>
      </c>
      <c r="C18" t="s">
        <v>499</v>
      </c>
    </row>
    <row r="19" spans="1:3" x14ac:dyDescent="0.2">
      <c r="A19" t="s">
        <v>66</v>
      </c>
      <c r="B19" t="s">
        <v>929</v>
      </c>
      <c r="C19" t="s">
        <v>499</v>
      </c>
    </row>
    <row r="20" spans="1:3" x14ac:dyDescent="0.2">
      <c r="A20" t="s">
        <v>75</v>
      </c>
      <c r="B20" t="s">
        <v>78</v>
      </c>
      <c r="C20" t="s">
        <v>560</v>
      </c>
    </row>
    <row r="21" spans="1:3" x14ac:dyDescent="0.2">
      <c r="A21" t="s">
        <v>75</v>
      </c>
      <c r="B21" t="s">
        <v>78</v>
      </c>
      <c r="C21" t="s">
        <v>560</v>
      </c>
    </row>
    <row r="22" spans="1:3" x14ac:dyDescent="0.2">
      <c r="A22" t="s">
        <v>75</v>
      </c>
      <c r="B22" t="s">
        <v>78</v>
      </c>
      <c r="C22" t="s">
        <v>560</v>
      </c>
    </row>
    <row r="23" spans="1:3" x14ac:dyDescent="0.2">
      <c r="A23" t="s">
        <v>66</v>
      </c>
      <c r="B23" t="s">
        <v>929</v>
      </c>
      <c r="C23" t="s">
        <v>499</v>
      </c>
    </row>
    <row r="24" spans="1:3" x14ac:dyDescent="0.2">
      <c r="A24" t="s">
        <v>75</v>
      </c>
      <c r="B24" t="s">
        <v>78</v>
      </c>
      <c r="C24" t="s">
        <v>560</v>
      </c>
    </row>
    <row r="25" spans="1:3" x14ac:dyDescent="0.2">
      <c r="A25" t="s">
        <v>75</v>
      </c>
      <c r="B25" t="s">
        <v>78</v>
      </c>
      <c r="C25" t="s">
        <v>560</v>
      </c>
    </row>
    <row r="26" spans="1:3" x14ac:dyDescent="0.2">
      <c r="A26" t="s">
        <v>56</v>
      </c>
      <c r="B26" t="s">
        <v>57</v>
      </c>
      <c r="C26" t="s">
        <v>652</v>
      </c>
    </row>
    <row r="27" spans="1:3" x14ac:dyDescent="0.2">
      <c r="A27" t="s">
        <v>75</v>
      </c>
      <c r="B27" t="s">
        <v>78</v>
      </c>
      <c r="C27" t="s">
        <v>560</v>
      </c>
    </row>
    <row r="28" spans="1:3" x14ac:dyDescent="0.2">
      <c r="A28" t="s">
        <v>75</v>
      </c>
      <c r="B28" t="s">
        <v>78</v>
      </c>
      <c r="C28" t="s">
        <v>560</v>
      </c>
    </row>
    <row r="29" spans="1:3" x14ac:dyDescent="0.2">
      <c r="A29" t="s">
        <v>75</v>
      </c>
      <c r="B29" t="s">
        <v>78</v>
      </c>
      <c r="C29" t="s">
        <v>560</v>
      </c>
    </row>
    <row r="30" spans="1:3" x14ac:dyDescent="0.2">
      <c r="A30" t="s">
        <v>75</v>
      </c>
      <c r="B30" t="s">
        <v>78</v>
      </c>
      <c r="C30" t="s">
        <v>560</v>
      </c>
    </row>
    <row r="31" spans="1:3" x14ac:dyDescent="0.2">
      <c r="A31" t="s">
        <v>75</v>
      </c>
      <c r="B31" t="s">
        <v>79</v>
      </c>
      <c r="C31" t="s">
        <v>742</v>
      </c>
    </row>
    <row r="32" spans="1:3" x14ac:dyDescent="0.2">
      <c r="A32" t="s">
        <v>66</v>
      </c>
      <c r="B32" t="s">
        <v>72</v>
      </c>
      <c r="C32" t="s">
        <v>838</v>
      </c>
    </row>
    <row r="33" spans="1:3" x14ac:dyDescent="0.2">
      <c r="A33" t="s">
        <v>56</v>
      </c>
      <c r="B33" t="s">
        <v>59</v>
      </c>
      <c r="C33" t="s">
        <v>851</v>
      </c>
    </row>
    <row r="34" spans="1:3" x14ac:dyDescent="0.2">
      <c r="A34" t="s">
        <v>75</v>
      </c>
      <c r="B34" t="s">
        <v>80</v>
      </c>
      <c r="C34" t="s">
        <v>582</v>
      </c>
    </row>
    <row r="35" spans="1:3" x14ac:dyDescent="0.2">
      <c r="A35" t="s">
        <v>75</v>
      </c>
      <c r="B35" t="s">
        <v>80</v>
      </c>
      <c r="C35" t="s">
        <v>582</v>
      </c>
    </row>
    <row r="36" spans="1:3" x14ac:dyDescent="0.2">
      <c r="A36" t="s">
        <v>75</v>
      </c>
      <c r="B36" t="s">
        <v>80</v>
      </c>
      <c r="C36" t="s">
        <v>582</v>
      </c>
    </row>
    <row r="37" spans="1:3" x14ac:dyDescent="0.2">
      <c r="A37" t="s">
        <v>75</v>
      </c>
      <c r="B37" t="s">
        <v>80</v>
      </c>
      <c r="C37" t="s">
        <v>582</v>
      </c>
    </row>
    <row r="38" spans="1:3" x14ac:dyDescent="0.2">
      <c r="A38" t="s">
        <v>75</v>
      </c>
      <c r="B38" t="s">
        <v>80</v>
      </c>
      <c r="C38" t="s">
        <v>582</v>
      </c>
    </row>
    <row r="39" spans="1:3" x14ac:dyDescent="0.2">
      <c r="A39" t="s">
        <v>75</v>
      </c>
      <c r="B39" t="s">
        <v>80</v>
      </c>
      <c r="C39" t="s">
        <v>582</v>
      </c>
    </row>
    <row r="40" spans="1:3" x14ac:dyDescent="0.2">
      <c r="A40" t="s">
        <v>75</v>
      </c>
      <c r="B40" t="s">
        <v>80</v>
      </c>
      <c r="C40" t="s">
        <v>582</v>
      </c>
    </row>
    <row r="41" spans="1:3" x14ac:dyDescent="0.2">
      <c r="A41" t="s">
        <v>75</v>
      </c>
      <c r="B41" t="s">
        <v>80</v>
      </c>
      <c r="C41" t="s">
        <v>582</v>
      </c>
    </row>
    <row r="42" spans="1:3" x14ac:dyDescent="0.2">
      <c r="A42" t="s">
        <v>66</v>
      </c>
      <c r="B42" t="s">
        <v>73</v>
      </c>
      <c r="C42" t="s">
        <v>633</v>
      </c>
    </row>
    <row r="43" spans="1:3" x14ac:dyDescent="0.2">
      <c r="A43" t="s">
        <v>66</v>
      </c>
      <c r="B43" t="s">
        <v>73</v>
      </c>
      <c r="C43" t="s">
        <v>633</v>
      </c>
    </row>
    <row r="44" spans="1:3" x14ac:dyDescent="0.2">
      <c r="A44" t="s">
        <v>66</v>
      </c>
      <c r="B44" t="s">
        <v>73</v>
      </c>
      <c r="C44" t="s">
        <v>633</v>
      </c>
    </row>
    <row r="45" spans="1:3" x14ac:dyDescent="0.2">
      <c r="A45" t="s">
        <v>66</v>
      </c>
      <c r="B45" t="s">
        <v>73</v>
      </c>
      <c r="C45" t="s">
        <v>633</v>
      </c>
    </row>
    <row r="46" spans="1:3" x14ac:dyDescent="0.2">
      <c r="A46" t="s">
        <v>66</v>
      </c>
      <c r="B46" t="s">
        <v>73</v>
      </c>
      <c r="C46" t="s">
        <v>633</v>
      </c>
    </row>
    <row r="47" spans="1:3" x14ac:dyDescent="0.2">
      <c r="A47" t="s">
        <v>66</v>
      </c>
      <c r="B47" t="s">
        <v>73</v>
      </c>
      <c r="C47" t="s">
        <v>633</v>
      </c>
    </row>
    <row r="48" spans="1:3" x14ac:dyDescent="0.2">
      <c r="A48" t="s">
        <v>66</v>
      </c>
      <c r="B48" t="s">
        <v>73</v>
      </c>
      <c r="C48" t="s">
        <v>633</v>
      </c>
    </row>
    <row r="49" spans="1:3" x14ac:dyDescent="0.2">
      <c r="A49" t="s">
        <v>66</v>
      </c>
      <c r="B49" t="s">
        <v>73</v>
      </c>
      <c r="C49" t="s">
        <v>633</v>
      </c>
    </row>
    <row r="50" spans="1:3" x14ac:dyDescent="0.2">
      <c r="A50" t="s">
        <v>66</v>
      </c>
      <c r="B50" t="s">
        <v>73</v>
      </c>
      <c r="C50" t="s">
        <v>633</v>
      </c>
    </row>
    <row r="51" spans="1:3" x14ac:dyDescent="0.2">
      <c r="A51" t="s">
        <v>9</v>
      </c>
      <c r="B51" t="s">
        <v>10</v>
      </c>
      <c r="C51" t="s">
        <v>607</v>
      </c>
    </row>
    <row r="52" spans="1:3" x14ac:dyDescent="0.2">
      <c r="A52" t="s">
        <v>9</v>
      </c>
      <c r="B52" t="s">
        <v>10</v>
      </c>
      <c r="C52" t="s">
        <v>607</v>
      </c>
    </row>
    <row r="53" spans="1:3" x14ac:dyDescent="0.2">
      <c r="A53" t="s">
        <v>9</v>
      </c>
      <c r="B53" t="s">
        <v>24</v>
      </c>
      <c r="C53" t="s">
        <v>846</v>
      </c>
    </row>
    <row r="54" spans="1:3" x14ac:dyDescent="0.2">
      <c r="A54" t="s">
        <v>9</v>
      </c>
      <c r="B54" t="s">
        <v>29</v>
      </c>
      <c r="C54" t="s">
        <v>893</v>
      </c>
    </row>
    <row r="55" spans="1:3" x14ac:dyDescent="0.2">
      <c r="A55" t="s">
        <v>9</v>
      </c>
      <c r="B55" t="s">
        <v>33</v>
      </c>
      <c r="C55" t="s">
        <v>876</v>
      </c>
    </row>
    <row r="56" spans="1:3" x14ac:dyDescent="0.2">
      <c r="A56" t="s">
        <v>56</v>
      </c>
      <c r="B56" t="s">
        <v>57</v>
      </c>
      <c r="C56" t="s">
        <v>652</v>
      </c>
    </row>
    <row r="57" spans="1:3" x14ac:dyDescent="0.2">
      <c r="A57" t="s">
        <v>9</v>
      </c>
      <c r="B57" t="s">
        <v>33</v>
      </c>
      <c r="C57" t="s">
        <v>876</v>
      </c>
    </row>
    <row r="58" spans="1:3" x14ac:dyDescent="0.2">
      <c r="A58" t="s">
        <v>9</v>
      </c>
      <c r="B58" t="s">
        <v>33</v>
      </c>
      <c r="C58" t="s">
        <v>876</v>
      </c>
    </row>
    <row r="59" spans="1:3" x14ac:dyDescent="0.2">
      <c r="A59" t="s">
        <v>9</v>
      </c>
      <c r="B59" t="s">
        <v>33</v>
      </c>
      <c r="C59" t="s">
        <v>876</v>
      </c>
    </row>
    <row r="60" spans="1:3" x14ac:dyDescent="0.2">
      <c r="A60" t="s">
        <v>9</v>
      </c>
      <c r="B60" t="s">
        <v>33</v>
      </c>
      <c r="C60" t="s">
        <v>876</v>
      </c>
    </row>
    <row r="61" spans="1:3" x14ac:dyDescent="0.2">
      <c r="A61" t="s">
        <v>9</v>
      </c>
      <c r="B61" t="s">
        <v>33</v>
      </c>
      <c r="C61" t="s">
        <v>876</v>
      </c>
    </row>
    <row r="62" spans="1:3" x14ac:dyDescent="0.2">
      <c r="A62" t="s">
        <v>9</v>
      </c>
      <c r="B62" t="s">
        <v>33</v>
      </c>
      <c r="C62" t="s">
        <v>876</v>
      </c>
    </row>
    <row r="63" spans="1:3" x14ac:dyDescent="0.2">
      <c r="A63" t="s">
        <v>56</v>
      </c>
      <c r="B63" t="s">
        <v>60</v>
      </c>
      <c r="C63" t="s">
        <v>647</v>
      </c>
    </row>
    <row r="64" spans="1:3" x14ac:dyDescent="0.2">
      <c r="A64" t="s">
        <v>56</v>
      </c>
      <c r="B64" t="s">
        <v>60</v>
      </c>
      <c r="C64" t="s">
        <v>647</v>
      </c>
    </row>
    <row r="65" spans="1:3" x14ac:dyDescent="0.2">
      <c r="A65" t="s">
        <v>56</v>
      </c>
      <c r="B65" t="s">
        <v>60</v>
      </c>
      <c r="C65" t="s">
        <v>647</v>
      </c>
    </row>
    <row r="66" spans="1:3" x14ac:dyDescent="0.2">
      <c r="A66" t="s">
        <v>56</v>
      </c>
      <c r="B66" t="s">
        <v>60</v>
      </c>
      <c r="C66" t="s">
        <v>647</v>
      </c>
    </row>
    <row r="67" spans="1:3" x14ac:dyDescent="0.2">
      <c r="A67" t="s">
        <v>56</v>
      </c>
      <c r="B67" t="s">
        <v>60</v>
      </c>
      <c r="C67" t="s">
        <v>647</v>
      </c>
    </row>
    <row r="68" spans="1:3" x14ac:dyDescent="0.2">
      <c r="A68" t="s">
        <v>56</v>
      </c>
      <c r="B68" t="s">
        <v>60</v>
      </c>
      <c r="C68" t="s">
        <v>647</v>
      </c>
    </row>
    <row r="69" spans="1:3" x14ac:dyDescent="0.2">
      <c r="A69" t="s">
        <v>56</v>
      </c>
      <c r="B69" t="s">
        <v>60</v>
      </c>
      <c r="C69" t="s">
        <v>647</v>
      </c>
    </row>
    <row r="70" spans="1:3" x14ac:dyDescent="0.2">
      <c r="A70" t="s">
        <v>56</v>
      </c>
      <c r="B70" t="s">
        <v>60</v>
      </c>
      <c r="C70" t="s">
        <v>647</v>
      </c>
    </row>
    <row r="71" spans="1:3" x14ac:dyDescent="0.2">
      <c r="A71" t="s">
        <v>56</v>
      </c>
      <c r="B71" t="s">
        <v>60</v>
      </c>
      <c r="C71" t="s">
        <v>647</v>
      </c>
    </row>
    <row r="72" spans="1:3" x14ac:dyDescent="0.2">
      <c r="A72" t="s">
        <v>56</v>
      </c>
      <c r="B72" t="s">
        <v>60</v>
      </c>
      <c r="C72" t="s">
        <v>647</v>
      </c>
    </row>
    <row r="73" spans="1:3" x14ac:dyDescent="0.2">
      <c r="A73" t="s">
        <v>66</v>
      </c>
      <c r="B73" t="s">
        <v>67</v>
      </c>
      <c r="C73" t="s">
        <v>810</v>
      </c>
    </row>
    <row r="74" spans="1:3" x14ac:dyDescent="0.2">
      <c r="A74" t="s">
        <v>66</v>
      </c>
      <c r="B74" t="s">
        <v>67</v>
      </c>
      <c r="C74" t="s">
        <v>810</v>
      </c>
    </row>
    <row r="75" spans="1:3" x14ac:dyDescent="0.2">
      <c r="A75" t="s">
        <v>56</v>
      </c>
      <c r="B75" t="s">
        <v>60</v>
      </c>
      <c r="C75" t="s">
        <v>647</v>
      </c>
    </row>
    <row r="76" spans="1:3" x14ac:dyDescent="0.2">
      <c r="A76" t="s">
        <v>56</v>
      </c>
      <c r="B76" t="s">
        <v>60</v>
      </c>
      <c r="C76" t="s">
        <v>647</v>
      </c>
    </row>
    <row r="77" spans="1:3" x14ac:dyDescent="0.2">
      <c r="A77" t="s">
        <v>56</v>
      </c>
      <c r="B77" t="s">
        <v>60</v>
      </c>
      <c r="C77" t="s">
        <v>647</v>
      </c>
    </row>
    <row r="78" spans="1:3" x14ac:dyDescent="0.2">
      <c r="A78" t="s">
        <v>75</v>
      </c>
      <c r="B78" t="s">
        <v>81</v>
      </c>
      <c r="C78" t="s">
        <v>665</v>
      </c>
    </row>
    <row r="79" spans="1:3" x14ac:dyDescent="0.2">
      <c r="A79" t="s">
        <v>75</v>
      </c>
      <c r="B79" t="s">
        <v>81</v>
      </c>
      <c r="C79" t="s">
        <v>665</v>
      </c>
    </row>
    <row r="80" spans="1:3" x14ac:dyDescent="0.2">
      <c r="A80" t="s">
        <v>75</v>
      </c>
      <c r="B80" t="s">
        <v>81</v>
      </c>
      <c r="C80" t="s">
        <v>665</v>
      </c>
    </row>
    <row r="81" spans="1:3" x14ac:dyDescent="0.2">
      <c r="A81" t="s">
        <v>75</v>
      </c>
      <c r="B81" t="s">
        <v>82</v>
      </c>
      <c r="C81" t="s">
        <v>594</v>
      </c>
    </row>
    <row r="82" spans="1:3" x14ac:dyDescent="0.2">
      <c r="A82" t="s">
        <v>75</v>
      </c>
      <c r="B82" t="s">
        <v>82</v>
      </c>
      <c r="C82" t="s">
        <v>594</v>
      </c>
    </row>
    <row r="83" spans="1:3" x14ac:dyDescent="0.2">
      <c r="A83" t="s">
        <v>75</v>
      </c>
      <c r="B83" t="s">
        <v>82</v>
      </c>
      <c r="C83" t="s">
        <v>594</v>
      </c>
    </row>
    <row r="84" spans="1:3" x14ac:dyDescent="0.2">
      <c r="A84" t="s">
        <v>75</v>
      </c>
      <c r="B84" t="s">
        <v>82</v>
      </c>
      <c r="C84" t="s">
        <v>594</v>
      </c>
    </row>
    <row r="85" spans="1:3" x14ac:dyDescent="0.2">
      <c r="A85" t="s">
        <v>75</v>
      </c>
      <c r="B85" t="s">
        <v>82</v>
      </c>
      <c r="C85" t="s">
        <v>594</v>
      </c>
    </row>
    <row r="86" spans="1:3" x14ac:dyDescent="0.2">
      <c r="A86" t="s">
        <v>75</v>
      </c>
      <c r="B86" t="s">
        <v>82</v>
      </c>
      <c r="C86" t="s">
        <v>594</v>
      </c>
    </row>
    <row r="87" spans="1:3" x14ac:dyDescent="0.2">
      <c r="A87" t="s">
        <v>75</v>
      </c>
      <c r="B87" t="s">
        <v>82</v>
      </c>
      <c r="C87" t="s">
        <v>594</v>
      </c>
    </row>
    <row r="88" spans="1:3" x14ac:dyDescent="0.2">
      <c r="A88" t="s">
        <v>75</v>
      </c>
      <c r="B88" t="s">
        <v>82</v>
      </c>
      <c r="C88" t="s">
        <v>594</v>
      </c>
    </row>
    <row r="89" spans="1:3" x14ac:dyDescent="0.2">
      <c r="A89" t="s">
        <v>75</v>
      </c>
      <c r="B89" t="s">
        <v>82</v>
      </c>
      <c r="C89" t="s">
        <v>594</v>
      </c>
    </row>
    <row r="90" spans="1:3" x14ac:dyDescent="0.2">
      <c r="A90" t="s">
        <v>75</v>
      </c>
      <c r="B90" t="s">
        <v>82</v>
      </c>
      <c r="C90" t="s">
        <v>594</v>
      </c>
    </row>
    <row r="91" spans="1:3" x14ac:dyDescent="0.2">
      <c r="A91" t="s">
        <v>75</v>
      </c>
      <c r="B91" t="s">
        <v>82</v>
      </c>
      <c r="C91" t="s">
        <v>594</v>
      </c>
    </row>
    <row r="92" spans="1:3" x14ac:dyDescent="0.2">
      <c r="A92" t="s">
        <v>63</v>
      </c>
      <c r="B92" t="s">
        <v>64</v>
      </c>
      <c r="C92" t="s">
        <v>679</v>
      </c>
    </row>
    <row r="93" spans="1:3" x14ac:dyDescent="0.2">
      <c r="A93" t="s">
        <v>63</v>
      </c>
      <c r="B93" t="s">
        <v>64</v>
      </c>
      <c r="C93" t="s">
        <v>679</v>
      </c>
    </row>
    <row r="94" spans="1:3" x14ac:dyDescent="0.2">
      <c r="A94" t="s">
        <v>63</v>
      </c>
      <c r="B94" t="s">
        <v>64</v>
      </c>
      <c r="C94" t="s">
        <v>679</v>
      </c>
    </row>
    <row r="95" spans="1:3" x14ac:dyDescent="0.2">
      <c r="A95" t="s">
        <v>63</v>
      </c>
      <c r="B95" t="s">
        <v>64</v>
      </c>
      <c r="C95" t="s">
        <v>679</v>
      </c>
    </row>
    <row r="96" spans="1:3" x14ac:dyDescent="0.2">
      <c r="A96" t="s">
        <v>63</v>
      </c>
      <c r="B96" t="s">
        <v>64</v>
      </c>
      <c r="C96" t="s">
        <v>679</v>
      </c>
    </row>
    <row r="97" spans="1:3" x14ac:dyDescent="0.2">
      <c r="A97" t="s">
        <v>56</v>
      </c>
      <c r="B97" t="s">
        <v>61</v>
      </c>
      <c r="C97" t="s">
        <v>598</v>
      </c>
    </row>
    <row r="98" spans="1:3" x14ac:dyDescent="0.2">
      <c r="A98" t="s">
        <v>56</v>
      </c>
      <c r="B98" t="s">
        <v>61</v>
      </c>
      <c r="C98" t="s">
        <v>598</v>
      </c>
    </row>
    <row r="99" spans="1:3" x14ac:dyDescent="0.2">
      <c r="A99" t="s">
        <v>56</v>
      </c>
      <c r="B99" t="s">
        <v>61</v>
      </c>
      <c r="C99" t="s">
        <v>598</v>
      </c>
    </row>
    <row r="100" spans="1:3" x14ac:dyDescent="0.2">
      <c r="A100" t="s">
        <v>56</v>
      </c>
      <c r="B100" t="s">
        <v>62</v>
      </c>
      <c r="C100" t="s">
        <v>572</v>
      </c>
    </row>
    <row r="101" spans="1:3" x14ac:dyDescent="0.2">
      <c r="A101" t="s">
        <v>56</v>
      </c>
      <c r="B101" t="s">
        <v>62</v>
      </c>
      <c r="C101" t="s">
        <v>572</v>
      </c>
    </row>
    <row r="102" spans="1:3" x14ac:dyDescent="0.2">
      <c r="A102" t="s">
        <v>56</v>
      </c>
      <c r="B102" t="s">
        <v>62</v>
      </c>
      <c r="C102" t="s">
        <v>572</v>
      </c>
    </row>
    <row r="103" spans="1:3" x14ac:dyDescent="0.2">
      <c r="A103" t="s">
        <v>56</v>
      </c>
      <c r="B103" t="s">
        <v>62</v>
      </c>
      <c r="C103" t="s">
        <v>572</v>
      </c>
    </row>
    <row r="104" spans="1:3" x14ac:dyDescent="0.2">
      <c r="A104" t="s">
        <v>75</v>
      </c>
      <c r="B104" t="s">
        <v>83</v>
      </c>
      <c r="C104" t="s">
        <v>521</v>
      </c>
    </row>
    <row r="105" spans="1:3" x14ac:dyDescent="0.2">
      <c r="A105" t="s">
        <v>75</v>
      </c>
      <c r="B105" t="s">
        <v>84</v>
      </c>
      <c r="C105" t="s">
        <v>628</v>
      </c>
    </row>
    <row r="106" spans="1:3" x14ac:dyDescent="0.2">
      <c r="A106" t="s">
        <v>75</v>
      </c>
      <c r="B106" t="s">
        <v>84</v>
      </c>
      <c r="C106" t="s">
        <v>628</v>
      </c>
    </row>
    <row r="107" spans="1:3" x14ac:dyDescent="0.2">
      <c r="A107" t="s">
        <v>75</v>
      </c>
      <c r="B107" t="s">
        <v>84</v>
      </c>
      <c r="C107" t="s">
        <v>628</v>
      </c>
    </row>
    <row r="108" spans="1:3" x14ac:dyDescent="0.2">
      <c r="A108" t="s">
        <v>66</v>
      </c>
      <c r="B108" t="s">
        <v>67</v>
      </c>
      <c r="C108" t="s">
        <v>810</v>
      </c>
    </row>
    <row r="109" spans="1:3" x14ac:dyDescent="0.2">
      <c r="A109" t="s">
        <v>75</v>
      </c>
      <c r="B109" t="s">
        <v>84</v>
      </c>
      <c r="C109" t="s">
        <v>628</v>
      </c>
    </row>
    <row r="110" spans="1:3" x14ac:dyDescent="0.2">
      <c r="A110" t="s">
        <v>75</v>
      </c>
      <c r="B110" t="s">
        <v>84</v>
      </c>
      <c r="C110" t="s">
        <v>628</v>
      </c>
    </row>
    <row r="111" spans="1:3" x14ac:dyDescent="0.2">
      <c r="A111" t="s">
        <v>75</v>
      </c>
      <c r="B111" t="s">
        <v>84</v>
      </c>
      <c r="C111" t="s">
        <v>628</v>
      </c>
    </row>
    <row r="112" spans="1:3" x14ac:dyDescent="0.2">
      <c r="A112" t="s">
        <v>66</v>
      </c>
      <c r="B112" t="s">
        <v>68</v>
      </c>
      <c r="C112" t="s">
        <v>710</v>
      </c>
    </row>
    <row r="113" spans="1:3" x14ac:dyDescent="0.2">
      <c r="A113" t="s">
        <v>66</v>
      </c>
      <c r="B113" t="s">
        <v>68</v>
      </c>
      <c r="C113" t="s">
        <v>710</v>
      </c>
    </row>
    <row r="114" spans="1:3" x14ac:dyDescent="0.2">
      <c r="A114" t="s">
        <v>75</v>
      </c>
      <c r="B114" t="s">
        <v>84</v>
      </c>
      <c r="C114" t="s">
        <v>628</v>
      </c>
    </row>
    <row r="115" spans="1:3" x14ac:dyDescent="0.2">
      <c r="A115" t="s">
        <v>66</v>
      </c>
      <c r="B115" t="s">
        <v>74</v>
      </c>
      <c r="C115" t="s">
        <v>611</v>
      </c>
    </row>
    <row r="116" spans="1:3" x14ac:dyDescent="0.2">
      <c r="A116" t="s">
        <v>66</v>
      </c>
      <c r="B116" t="s">
        <v>74</v>
      </c>
      <c r="C116" t="s">
        <v>611</v>
      </c>
    </row>
    <row r="117" spans="1:3" x14ac:dyDescent="0.2">
      <c r="A117" t="s">
        <v>66</v>
      </c>
      <c r="B117" t="s">
        <v>74</v>
      </c>
      <c r="C117" t="s">
        <v>611</v>
      </c>
    </row>
    <row r="118" spans="1:3" x14ac:dyDescent="0.2">
      <c r="A118" t="s">
        <v>66</v>
      </c>
      <c r="B118" t="s">
        <v>74</v>
      </c>
      <c r="C118" t="s">
        <v>611</v>
      </c>
    </row>
    <row r="119" spans="1:3" x14ac:dyDescent="0.2">
      <c r="A119" t="s">
        <v>66</v>
      </c>
      <c r="B119" t="s">
        <v>74</v>
      </c>
      <c r="C119" t="s">
        <v>611</v>
      </c>
    </row>
    <row r="120" spans="1:3" x14ac:dyDescent="0.2">
      <c r="A120" t="s">
        <v>66</v>
      </c>
      <c r="B120" t="s">
        <v>74</v>
      </c>
      <c r="C120" t="s">
        <v>611</v>
      </c>
    </row>
    <row r="121" spans="1:3" x14ac:dyDescent="0.2">
      <c r="A121" t="s">
        <v>75</v>
      </c>
      <c r="B121" t="s">
        <v>85</v>
      </c>
      <c r="C121" t="s">
        <v>553</v>
      </c>
    </row>
    <row r="122" spans="1:3" x14ac:dyDescent="0.2">
      <c r="A122" t="s">
        <v>75</v>
      </c>
      <c r="B122" t="s">
        <v>85</v>
      </c>
      <c r="C122" t="s">
        <v>553</v>
      </c>
    </row>
    <row r="123" spans="1:3" x14ac:dyDescent="0.2">
      <c r="A123" t="s">
        <v>75</v>
      </c>
      <c r="B123" t="s">
        <v>85</v>
      </c>
      <c r="C123" t="s">
        <v>553</v>
      </c>
    </row>
    <row r="124" spans="1:3" x14ac:dyDescent="0.2">
      <c r="A124" t="s">
        <v>75</v>
      </c>
      <c r="B124" t="s">
        <v>85</v>
      </c>
      <c r="C124" t="s">
        <v>553</v>
      </c>
    </row>
    <row r="125" spans="1:3" x14ac:dyDescent="0.2">
      <c r="A125" t="s">
        <v>75</v>
      </c>
      <c r="B125" t="s">
        <v>85</v>
      </c>
      <c r="C125" t="s">
        <v>553</v>
      </c>
    </row>
    <row r="126" spans="1:3" x14ac:dyDescent="0.2">
      <c r="A126" t="s">
        <v>75</v>
      </c>
      <c r="B126" t="s">
        <v>85</v>
      </c>
      <c r="C126" t="s">
        <v>553</v>
      </c>
    </row>
    <row r="127" spans="1:3" x14ac:dyDescent="0.2">
      <c r="A127" t="s">
        <v>75</v>
      </c>
      <c r="B127" t="s">
        <v>85</v>
      </c>
      <c r="C127" t="s">
        <v>553</v>
      </c>
    </row>
    <row r="128" spans="1:3" x14ac:dyDescent="0.2">
      <c r="A128" t="s">
        <v>66</v>
      </c>
      <c r="B128" t="s">
        <v>68</v>
      </c>
      <c r="C128" t="s">
        <v>710</v>
      </c>
    </row>
    <row r="129" spans="1:3" x14ac:dyDescent="0.2">
      <c r="A129" t="s">
        <v>75</v>
      </c>
      <c r="B129" t="s">
        <v>85</v>
      </c>
      <c r="C129" t="s">
        <v>553</v>
      </c>
    </row>
    <row r="130" spans="1:3" x14ac:dyDescent="0.2">
      <c r="A130" t="s">
        <v>75</v>
      </c>
      <c r="B130" t="s">
        <v>85</v>
      </c>
      <c r="C130" t="s">
        <v>553</v>
      </c>
    </row>
    <row r="131" spans="1:3" x14ac:dyDescent="0.2">
      <c r="A131" t="s">
        <v>75</v>
      </c>
      <c r="B131" t="s">
        <v>85</v>
      </c>
      <c r="C131" t="s">
        <v>553</v>
      </c>
    </row>
    <row r="132" spans="1:3" x14ac:dyDescent="0.2">
      <c r="A132" t="s">
        <v>75</v>
      </c>
      <c r="B132" t="s">
        <v>85</v>
      </c>
      <c r="C132" t="s">
        <v>553</v>
      </c>
    </row>
    <row r="133" spans="1:3" x14ac:dyDescent="0.2">
      <c r="A133" t="s">
        <v>66</v>
      </c>
      <c r="B133" t="s">
        <v>68</v>
      </c>
      <c r="C133" t="s">
        <v>710</v>
      </c>
    </row>
    <row r="134" spans="1:3" x14ac:dyDescent="0.2">
      <c r="A134" t="s">
        <v>75</v>
      </c>
      <c r="B134" t="s">
        <v>85</v>
      </c>
      <c r="C134" t="s">
        <v>553</v>
      </c>
    </row>
    <row r="135" spans="1:3" x14ac:dyDescent="0.2">
      <c r="A135" t="s">
        <v>75</v>
      </c>
      <c r="B135" t="s">
        <v>85</v>
      </c>
      <c r="C135" t="s">
        <v>553</v>
      </c>
    </row>
    <row r="136" spans="1:3" x14ac:dyDescent="0.2">
      <c r="A136" t="s">
        <v>75</v>
      </c>
      <c r="B136" t="s">
        <v>85</v>
      </c>
      <c r="C136" t="s">
        <v>553</v>
      </c>
    </row>
    <row r="137" spans="1:3" x14ac:dyDescent="0.2">
      <c r="A137" t="s">
        <v>75</v>
      </c>
      <c r="B137" t="s">
        <v>85</v>
      </c>
      <c r="C137" t="s">
        <v>553</v>
      </c>
    </row>
    <row r="138" spans="1:3" x14ac:dyDescent="0.2">
      <c r="A138" t="s">
        <v>75</v>
      </c>
      <c r="B138" t="s">
        <v>85</v>
      </c>
      <c r="C138" t="s">
        <v>553</v>
      </c>
    </row>
    <row r="139" spans="1:3" x14ac:dyDescent="0.2">
      <c r="A139" t="s">
        <v>63</v>
      </c>
      <c r="B139" t="s">
        <v>65</v>
      </c>
      <c r="C139" t="s">
        <v>591</v>
      </c>
    </row>
    <row r="140" spans="1:3" x14ac:dyDescent="0.2">
      <c r="A140" t="s">
        <v>63</v>
      </c>
      <c r="B140" t="s">
        <v>65</v>
      </c>
      <c r="C140" t="s">
        <v>591</v>
      </c>
    </row>
    <row r="141" spans="1:3" x14ac:dyDescent="0.2">
      <c r="A141" t="s">
        <v>63</v>
      </c>
      <c r="B141" t="s">
        <v>65</v>
      </c>
      <c r="C141" t="s">
        <v>591</v>
      </c>
    </row>
    <row r="142" spans="1:3" x14ac:dyDescent="0.2">
      <c r="A142" t="s">
        <v>63</v>
      </c>
      <c r="B142" t="s">
        <v>65</v>
      </c>
      <c r="C142" t="s">
        <v>591</v>
      </c>
    </row>
    <row r="143" spans="1:3" x14ac:dyDescent="0.2">
      <c r="A143" t="s">
        <v>63</v>
      </c>
      <c r="B143" t="s">
        <v>65</v>
      </c>
      <c r="C143" t="s">
        <v>591</v>
      </c>
    </row>
    <row r="144" spans="1:3" x14ac:dyDescent="0.2">
      <c r="A144" t="s">
        <v>63</v>
      </c>
      <c r="B144" t="s">
        <v>65</v>
      </c>
      <c r="C144" t="s">
        <v>591</v>
      </c>
    </row>
    <row r="145" spans="1:3" x14ac:dyDescent="0.2">
      <c r="A145" t="s">
        <v>63</v>
      </c>
      <c r="B145" t="s">
        <v>65</v>
      </c>
      <c r="C145" t="s">
        <v>591</v>
      </c>
    </row>
    <row r="146" spans="1:3" x14ac:dyDescent="0.2">
      <c r="A146" t="s">
        <v>63</v>
      </c>
      <c r="B146" t="s">
        <v>65</v>
      </c>
      <c r="C146" t="s">
        <v>591</v>
      </c>
    </row>
    <row r="147" spans="1:3" x14ac:dyDescent="0.2">
      <c r="A147" t="s">
        <v>66</v>
      </c>
      <c r="B147" t="s">
        <v>68</v>
      </c>
      <c r="C147" t="s">
        <v>710</v>
      </c>
    </row>
    <row r="148" spans="1:3" x14ac:dyDescent="0.2">
      <c r="A148" t="s">
        <v>66</v>
      </c>
      <c r="B148" t="s">
        <v>68</v>
      </c>
      <c r="C148" t="s">
        <v>710</v>
      </c>
    </row>
    <row r="149" spans="1:3" x14ac:dyDescent="0.2">
      <c r="A149" t="s">
        <v>66</v>
      </c>
      <c r="B149" t="s">
        <v>68</v>
      </c>
      <c r="C149" t="s">
        <v>710</v>
      </c>
    </row>
    <row r="150" spans="1:3" x14ac:dyDescent="0.2">
      <c r="A150" t="s">
        <v>66</v>
      </c>
      <c r="B150" t="s">
        <v>68</v>
      </c>
      <c r="C150" t="s">
        <v>710</v>
      </c>
    </row>
    <row r="151" spans="1:3" x14ac:dyDescent="0.2">
      <c r="A151" t="s">
        <v>66</v>
      </c>
      <c r="B151" t="s">
        <v>69</v>
      </c>
      <c r="C151" t="s">
        <v>534</v>
      </c>
    </row>
    <row r="152" spans="1:3" x14ac:dyDescent="0.2">
      <c r="A152" t="s">
        <v>66</v>
      </c>
      <c r="B152" t="s">
        <v>70</v>
      </c>
      <c r="C152" t="s">
        <v>671</v>
      </c>
    </row>
    <row r="153" spans="1:3" x14ac:dyDescent="0.2">
      <c r="A153" t="s">
        <v>66</v>
      </c>
      <c r="B153" t="s">
        <v>70</v>
      </c>
      <c r="C153" t="s">
        <v>671</v>
      </c>
    </row>
    <row r="154" spans="1:3" x14ac:dyDescent="0.2">
      <c r="A154" t="s">
        <v>56</v>
      </c>
      <c r="B154" t="s">
        <v>58</v>
      </c>
      <c r="C154" t="s">
        <v>536</v>
      </c>
    </row>
    <row r="155" spans="1:3" x14ac:dyDescent="0.2">
      <c r="A155" t="s">
        <v>75</v>
      </c>
      <c r="B155" t="s">
        <v>77</v>
      </c>
      <c r="C155" t="s">
        <v>548</v>
      </c>
    </row>
    <row r="156" spans="1:3" x14ac:dyDescent="0.2">
      <c r="A156" t="s">
        <v>75</v>
      </c>
      <c r="B156" t="s">
        <v>77</v>
      </c>
      <c r="C156" t="s">
        <v>548</v>
      </c>
    </row>
    <row r="157" spans="1:3" x14ac:dyDescent="0.2">
      <c r="A157" t="s">
        <v>66</v>
      </c>
      <c r="B157" t="s">
        <v>71</v>
      </c>
      <c r="C157" t="s">
        <v>625</v>
      </c>
    </row>
    <row r="158" spans="1:3" x14ac:dyDescent="0.2">
      <c r="A158" t="s">
        <v>66</v>
      </c>
      <c r="B158" t="s">
        <v>71</v>
      </c>
      <c r="C158" t="s">
        <v>625</v>
      </c>
    </row>
    <row r="159" spans="1:3" x14ac:dyDescent="0.2">
      <c r="A159" t="s">
        <v>66</v>
      </c>
      <c r="B159" t="s">
        <v>71</v>
      </c>
      <c r="C159" t="s">
        <v>625</v>
      </c>
    </row>
    <row r="160" spans="1:3" x14ac:dyDescent="0.2">
      <c r="A160" t="s">
        <v>66</v>
      </c>
      <c r="B160" t="s">
        <v>71</v>
      </c>
      <c r="C160" t="s">
        <v>625</v>
      </c>
    </row>
    <row r="161" spans="1:3" x14ac:dyDescent="0.2">
      <c r="A161" t="s">
        <v>66</v>
      </c>
      <c r="B161" t="s">
        <v>71</v>
      </c>
      <c r="C161" t="s">
        <v>625</v>
      </c>
    </row>
    <row r="162" spans="1:3" x14ac:dyDescent="0.2">
      <c r="A162" t="s">
        <v>66</v>
      </c>
      <c r="B162" t="s">
        <v>71</v>
      </c>
      <c r="C162" t="s">
        <v>625</v>
      </c>
    </row>
    <row r="163" spans="1:3" x14ac:dyDescent="0.2">
      <c r="A163" t="s">
        <v>75</v>
      </c>
      <c r="B163" t="s">
        <v>78</v>
      </c>
      <c r="C163" t="s">
        <v>560</v>
      </c>
    </row>
    <row r="164" spans="1:3" x14ac:dyDescent="0.2">
      <c r="A164" t="s">
        <v>75</v>
      </c>
      <c r="B164" t="s">
        <v>78</v>
      </c>
      <c r="C164" t="s">
        <v>560</v>
      </c>
    </row>
    <row r="165" spans="1:3" x14ac:dyDescent="0.2">
      <c r="A165" t="s">
        <v>75</v>
      </c>
      <c r="B165" t="s">
        <v>78</v>
      </c>
      <c r="C165" t="s">
        <v>560</v>
      </c>
    </row>
    <row r="166" spans="1:3" x14ac:dyDescent="0.2">
      <c r="A166" t="s">
        <v>75</v>
      </c>
      <c r="B166" t="s">
        <v>78</v>
      </c>
      <c r="C166" t="s">
        <v>560</v>
      </c>
    </row>
    <row r="167" spans="1:3" x14ac:dyDescent="0.2">
      <c r="A167" t="s">
        <v>75</v>
      </c>
      <c r="B167" t="s">
        <v>78</v>
      </c>
      <c r="C167" t="s">
        <v>560</v>
      </c>
    </row>
    <row r="168" spans="1:3" x14ac:dyDescent="0.2">
      <c r="A168" t="s">
        <v>75</v>
      </c>
      <c r="B168" t="s">
        <v>78</v>
      </c>
      <c r="C168" t="s">
        <v>560</v>
      </c>
    </row>
    <row r="169" spans="1:3" x14ac:dyDescent="0.2">
      <c r="A169" t="s">
        <v>75</v>
      </c>
      <c r="B169" t="s">
        <v>78</v>
      </c>
      <c r="C169" t="s">
        <v>560</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77D09-C298-4CD8-8E6C-6406CE3BDB27}">
  <sheetPr codeName="Sheet7">
    <tabColor theme="4"/>
  </sheetPr>
  <dimension ref="A1:E26"/>
  <sheetViews>
    <sheetView zoomScale="85" zoomScaleNormal="85" workbookViewId="0">
      <selection activeCell="D23" sqref="A10:E25"/>
    </sheetView>
  </sheetViews>
  <sheetFormatPr defaultRowHeight="14.25" x14ac:dyDescent="0.2"/>
  <cols>
    <col min="1" max="1" width="72.875" customWidth="1"/>
    <col min="2" max="2" width="25.125" customWidth="1"/>
    <col min="3" max="3" width="15" customWidth="1"/>
    <col min="4" max="4" width="33.5" customWidth="1"/>
    <col min="5" max="5" width="13.375" customWidth="1"/>
  </cols>
  <sheetData>
    <row r="1" spans="1:5" x14ac:dyDescent="0.2">
      <c r="A1" t="s">
        <v>930</v>
      </c>
    </row>
    <row r="3" spans="1:5" x14ac:dyDescent="0.2">
      <c r="A3" t="s">
        <v>931</v>
      </c>
      <c r="B3" s="6">
        <v>46113</v>
      </c>
    </row>
    <row r="4" spans="1:5" x14ac:dyDescent="0.2">
      <c r="A4" t="s">
        <v>932</v>
      </c>
      <c r="B4" s="6">
        <v>46387</v>
      </c>
      <c r="C4" s="8"/>
    </row>
    <row r="5" spans="1:5" x14ac:dyDescent="0.2">
      <c r="A5" t="s">
        <v>933</v>
      </c>
      <c r="B5" s="7">
        <f>_xlfn.DAYS(B4,B3)/7</f>
        <v>39.142857142857146</v>
      </c>
    </row>
    <row r="7" spans="1:5" ht="20.25" thickBot="1" x14ac:dyDescent="0.35">
      <c r="A7" s="3" t="s">
        <v>934</v>
      </c>
      <c r="B7" s="3"/>
      <c r="C7" s="3"/>
      <c r="D7" s="3"/>
      <c r="E7" s="3"/>
    </row>
    <row r="8" spans="1:5" ht="15" thickTop="1" x14ac:dyDescent="0.2"/>
    <row r="9" spans="1:5" x14ac:dyDescent="0.2">
      <c r="A9" s="4" t="s">
        <v>935</v>
      </c>
      <c r="B9" s="4" t="s">
        <v>936</v>
      </c>
      <c r="C9" s="4" t="s">
        <v>937</v>
      </c>
      <c r="D9" s="4" t="s">
        <v>938</v>
      </c>
      <c r="E9" s="4" t="s">
        <v>939</v>
      </c>
    </row>
    <row r="10" spans="1:5" x14ac:dyDescent="0.2">
      <c r="A10" s="2" t="s">
        <v>940</v>
      </c>
      <c r="B10">
        <v>3</v>
      </c>
      <c r="C10" s="5" cm="1">
        <f t="array" ref="C10">B10*ManagementNumberOfWeeks*AvgWeeklyHours</f>
        <v>4697.1428571428578</v>
      </c>
      <c r="D10" s="5" cm="1">
        <f t="array" ref="D10">B10*5*1*AvgWeeklyHours</f>
        <v>600</v>
      </c>
      <c r="E10" s="5">
        <f>C10-D10</f>
        <v>4097.1428571428578</v>
      </c>
    </row>
    <row r="11" spans="1:5" x14ac:dyDescent="0.2">
      <c r="A11" s="2" t="s">
        <v>941</v>
      </c>
      <c r="B11">
        <v>2</v>
      </c>
      <c r="C11" s="5" cm="1">
        <f t="array" ref="C11">B11*ManagementNumberOfWeeks*AvgWeeklyHours</f>
        <v>3131.4285714285716</v>
      </c>
      <c r="D11" s="5" cm="1">
        <f t="array" ref="D11">B11*5*1*AvgWeeklyHours</f>
        <v>400</v>
      </c>
      <c r="E11" s="5">
        <f t="shared" ref="E11" si="0">C11-D11</f>
        <v>2731.4285714285716</v>
      </c>
    </row>
    <row r="12" spans="1:5" x14ac:dyDescent="0.2">
      <c r="A12" s="2" t="s">
        <v>942</v>
      </c>
      <c r="B12">
        <v>2</v>
      </c>
      <c r="C12" s="5" cm="1">
        <f t="array" ref="C12">B12*ManagementNumberOfWeeks*AvgWeeklyHours</f>
        <v>3131.4285714285716</v>
      </c>
      <c r="D12" s="5" cm="1">
        <f t="array" ref="D12">B12*5*1*AvgWeeklyHours</f>
        <v>400</v>
      </c>
      <c r="E12" s="5">
        <f>C12-D12</f>
        <v>2731.4285714285716</v>
      </c>
    </row>
    <row r="13" spans="1:5" x14ac:dyDescent="0.2">
      <c r="A13" s="2" t="s">
        <v>943</v>
      </c>
      <c r="B13">
        <v>1</v>
      </c>
      <c r="C13" s="5" cm="1">
        <f t="array" ref="C13">B13*ManagementNumberOfWeeks*AvgWeeklyHours</f>
        <v>1565.7142857142858</v>
      </c>
      <c r="D13" s="5" cm="1">
        <f t="array" ref="D13">B13*5*1*AvgWeeklyHours</f>
        <v>200</v>
      </c>
      <c r="E13" s="5">
        <f t="shared" ref="E13" si="1">C13-D13</f>
        <v>1365.7142857142858</v>
      </c>
    </row>
    <row r="14" spans="1:5" x14ac:dyDescent="0.2">
      <c r="A14" t="s">
        <v>944</v>
      </c>
      <c r="B14">
        <v>4</v>
      </c>
      <c r="C14" s="5" cm="1">
        <f t="array" ref="C14">B14*ManagementNumberOfWeeks*AvgWeeklyHours</f>
        <v>6262.8571428571431</v>
      </c>
      <c r="D14" s="5" cm="1">
        <f t="array" ref="D14">B14*5*1*AvgWeeklyHours</f>
        <v>800</v>
      </c>
      <c r="E14" s="5">
        <f t="shared" ref="E14:E25" si="2">C14-D14</f>
        <v>5462.8571428571431</v>
      </c>
    </row>
    <row r="15" spans="1:5" x14ac:dyDescent="0.2">
      <c r="A15" t="s">
        <v>945</v>
      </c>
      <c r="B15">
        <v>4</v>
      </c>
      <c r="C15" s="5" cm="1">
        <f t="array" ref="C15">B15*ManagementNumberOfWeeks*AvgWeeklyHours</f>
        <v>6262.8571428571431</v>
      </c>
      <c r="D15" s="5" cm="1">
        <f t="array" ref="D15">B15*5*1*AvgWeeklyHours</f>
        <v>800</v>
      </c>
      <c r="E15" s="5">
        <f>C15-D15</f>
        <v>5462.8571428571431</v>
      </c>
    </row>
    <row r="16" spans="1:5" x14ac:dyDescent="0.2">
      <c r="A16" t="s">
        <v>946</v>
      </c>
      <c r="B16">
        <v>1</v>
      </c>
      <c r="C16" s="5" cm="1">
        <f t="array" ref="C16">B16*ManagementNumberOfWeeks*AvgWeeklyHours</f>
        <v>1565.7142857142858</v>
      </c>
      <c r="D16" s="5" cm="1">
        <f t="array" ref="D16">B16*5*1*AvgWeeklyHours</f>
        <v>200</v>
      </c>
      <c r="E16" s="5">
        <f t="shared" si="2"/>
        <v>1365.7142857142858</v>
      </c>
    </row>
    <row r="17" spans="1:5" x14ac:dyDescent="0.2">
      <c r="A17" t="s">
        <v>947</v>
      </c>
      <c r="B17">
        <v>2</v>
      </c>
      <c r="C17" s="5" cm="1">
        <f t="array" ref="C17">B17*ManagementNumberOfWeeks*AvgWeeklyHours</f>
        <v>3131.4285714285716</v>
      </c>
      <c r="D17" s="5" cm="1">
        <f t="array" ref="D17">B17*5*1*AvgWeeklyHours</f>
        <v>400</v>
      </c>
      <c r="E17" s="5">
        <f t="shared" si="2"/>
        <v>2731.4285714285716</v>
      </c>
    </row>
    <row r="18" spans="1:5" x14ac:dyDescent="0.2">
      <c r="A18" t="s">
        <v>948</v>
      </c>
      <c r="B18">
        <v>2</v>
      </c>
      <c r="C18" s="5" cm="1">
        <f t="array" ref="C18">B18*ManagementNumberOfWeeks*AvgWeeklyHours</f>
        <v>3131.4285714285716</v>
      </c>
      <c r="D18" s="5" cm="1">
        <f t="array" ref="D18">B18*5*1*AvgWeeklyHours</f>
        <v>400</v>
      </c>
      <c r="E18" s="5">
        <f t="shared" si="2"/>
        <v>2731.4285714285716</v>
      </c>
    </row>
    <row r="19" spans="1:5" x14ac:dyDescent="0.2">
      <c r="A19" t="s">
        <v>949</v>
      </c>
      <c r="B19">
        <v>3</v>
      </c>
      <c r="C19" s="5" cm="1">
        <f t="array" ref="C19">B19*ManagementNumberOfWeeks*AvgWeeklyHours</f>
        <v>4697.1428571428578</v>
      </c>
      <c r="D19" s="5" cm="1">
        <f t="array" ref="D19">B19*5*1*AvgWeeklyHours</f>
        <v>600</v>
      </c>
      <c r="E19" s="5">
        <f t="shared" si="2"/>
        <v>4097.1428571428578</v>
      </c>
    </row>
    <row r="20" spans="1:5" x14ac:dyDescent="0.2">
      <c r="A20" t="s">
        <v>950</v>
      </c>
      <c r="B20">
        <v>1</v>
      </c>
      <c r="C20" s="5" cm="1">
        <f t="array" ref="C20">B20*ManagementNumberOfWeeks*AvgWeeklyHours</f>
        <v>1565.7142857142858</v>
      </c>
      <c r="D20" s="5" cm="1">
        <f t="array" ref="D20">B20*5*1*AvgWeeklyHours</f>
        <v>200</v>
      </c>
      <c r="E20" s="5">
        <f t="shared" si="2"/>
        <v>1365.7142857142858</v>
      </c>
    </row>
    <row r="21" spans="1:5" x14ac:dyDescent="0.2">
      <c r="A21" t="s">
        <v>951</v>
      </c>
      <c r="B21">
        <v>4</v>
      </c>
      <c r="C21" s="5" cm="1">
        <f t="array" ref="C21">B21*ManagementNumberOfWeeks*AvgWeeklyHours</f>
        <v>6262.8571428571431</v>
      </c>
      <c r="D21" s="5" cm="1">
        <f t="array" ref="D21">B21*5*1*AvgWeeklyHours</f>
        <v>800</v>
      </c>
      <c r="E21" s="5">
        <f t="shared" si="2"/>
        <v>5462.8571428571431</v>
      </c>
    </row>
    <row r="22" spans="1:5" x14ac:dyDescent="0.2">
      <c r="A22" s="2" t="s">
        <v>952</v>
      </c>
      <c r="B22">
        <v>1</v>
      </c>
      <c r="C22" s="5" cm="1">
        <f t="array" ref="C22">B22*ManagementNumberOfWeeks*AvgWeeklyHours</f>
        <v>1565.7142857142858</v>
      </c>
      <c r="D22" s="5" cm="1">
        <f t="array" ref="D22">B22*5*1*AvgWeeklyHours</f>
        <v>200</v>
      </c>
      <c r="E22" s="5">
        <f t="shared" si="2"/>
        <v>1365.7142857142858</v>
      </c>
    </row>
    <row r="23" spans="1:5" x14ac:dyDescent="0.2">
      <c r="A23" t="s">
        <v>953</v>
      </c>
      <c r="B23">
        <v>2</v>
      </c>
      <c r="C23" s="5" cm="1">
        <f t="array" ref="C23">B23*ManagementNumberOfWeeks*AvgWeeklyHours</f>
        <v>3131.4285714285716</v>
      </c>
      <c r="D23" s="5" cm="1">
        <f t="array" ref="D23">B23*5*1*AvgWeeklyHours</f>
        <v>400</v>
      </c>
      <c r="E23" s="5">
        <f t="shared" si="2"/>
        <v>2731.4285714285716</v>
      </c>
    </row>
    <row r="24" spans="1:5" x14ac:dyDescent="0.2">
      <c r="A24" t="s">
        <v>954</v>
      </c>
      <c r="B24">
        <v>1</v>
      </c>
      <c r="C24" s="5" cm="1">
        <f t="array" ref="C24">B24*ManagementNumberOfWeeks*AvgWeeklyHours</f>
        <v>1565.7142857142858</v>
      </c>
      <c r="D24" s="5" cm="1">
        <f t="array" ref="D24">B24*5*1*AvgWeeklyHours</f>
        <v>200</v>
      </c>
      <c r="E24" s="5">
        <f t="shared" si="2"/>
        <v>1365.7142857142858</v>
      </c>
    </row>
    <row r="25" spans="1:5" x14ac:dyDescent="0.2">
      <c r="A25" t="s">
        <v>955</v>
      </c>
      <c r="B25">
        <v>2</v>
      </c>
      <c r="C25" s="5" cm="1">
        <f t="array" ref="C25">B25*ManagementNumberOfWeeks*AvgWeeklyHours</f>
        <v>3131.4285714285716</v>
      </c>
      <c r="D25" s="5" cm="1">
        <f t="array" ref="D25">B25*5*1*AvgWeeklyHours</f>
        <v>400</v>
      </c>
      <c r="E25" s="5">
        <f t="shared" si="2"/>
        <v>2731.4285714285716</v>
      </c>
    </row>
    <row r="26" spans="1:5" x14ac:dyDescent="0.2">
      <c r="A26" s="2" t="s">
        <v>96</v>
      </c>
      <c r="B26">
        <f>SUBTOTAL(109,Management[Number of FTE''s])</f>
        <v>35</v>
      </c>
      <c r="C26" s="45">
        <f>SUBTOTAL(109,Management[Hours from])</f>
        <v>54799.999999999993</v>
      </c>
      <c r="D26" s="45">
        <f>SUBTOTAL(109,Management[Expected Vacation (5 week in 1 year)])</f>
        <v>7000</v>
      </c>
      <c r="E26" s="45">
        <f>SUBTOTAL(109,Management[Total Hours])</f>
        <v>47800</v>
      </c>
    </row>
  </sheetData>
  <pageMargins left="0.7" right="0.7" top="0.75" bottom="0.75" header="0.3" footer="0.3"/>
  <pageSetup orientation="portrait" horizontalDpi="300" verticalDpi="300"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F7623-453D-485B-91E8-C375A3DFFADC}">
  <sheetPr codeName="Sheet8">
    <tabColor theme="4"/>
  </sheetPr>
  <dimension ref="A1:D3"/>
  <sheetViews>
    <sheetView zoomScaleNormal="100" workbookViewId="0">
      <selection activeCell="B9" sqref="B9"/>
    </sheetView>
  </sheetViews>
  <sheetFormatPr defaultRowHeight="14.25" x14ac:dyDescent="0.2"/>
  <cols>
    <col min="1" max="1" width="51.75" bestFit="1" customWidth="1"/>
    <col min="2" max="2" width="47.625" customWidth="1"/>
    <col min="3" max="3" width="19.125" customWidth="1"/>
    <col min="4" max="4" width="51.125" customWidth="1"/>
  </cols>
  <sheetData>
    <row r="1" spans="1:4" x14ac:dyDescent="0.2">
      <c r="A1" t="s">
        <v>90</v>
      </c>
      <c r="B1" t="s">
        <v>956</v>
      </c>
      <c r="C1" t="s">
        <v>92</v>
      </c>
      <c r="D1" t="s">
        <v>486</v>
      </c>
    </row>
    <row r="2" spans="1:4" x14ac:dyDescent="0.2">
      <c r="A2" s="20" t="s">
        <v>957</v>
      </c>
      <c r="B2" s="21"/>
      <c r="C2" s="22">
        <f>Total_Build_Estimate*0.5</f>
        <v>22238.711111111115</v>
      </c>
      <c r="D2" s="10"/>
    </row>
    <row r="3" spans="1:4" x14ac:dyDescent="0.2">
      <c r="C3" s="45">
        <f>SUBTOTAL(109,Other_Activities[Hours])</f>
        <v>22238.711111111115</v>
      </c>
    </row>
  </sheetData>
  <pageMargins left="0.7" right="0.7" top="0.75" bottom="0.75" header="0.3" footer="0.3"/>
  <pageSetup orientation="portrait" horizontalDpi="300" verticalDpi="300"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B2F68-B63F-44C9-91D9-4EE0A76C653F}">
  <sheetPr>
    <tabColor theme="7"/>
  </sheetPr>
  <dimension ref="A1:E60"/>
  <sheetViews>
    <sheetView workbookViewId="0">
      <selection sqref="A1:E193"/>
    </sheetView>
  </sheetViews>
  <sheetFormatPr defaultRowHeight="14.25" x14ac:dyDescent="0.2"/>
  <cols>
    <col min="1" max="1" width="9.625" bestFit="1" customWidth="1"/>
    <col min="2" max="2" width="42.625" bestFit="1" customWidth="1"/>
    <col min="3" max="3" width="41.125" bestFit="1" customWidth="1"/>
    <col min="4" max="4" width="50.125" customWidth="1"/>
    <col min="5" max="7" width="27.375" bestFit="1" customWidth="1"/>
    <col min="8" max="8" width="11.375" bestFit="1" customWidth="1"/>
    <col min="9" max="9" width="27.375" bestFit="1" customWidth="1"/>
    <col min="10" max="10" width="8.125" bestFit="1" customWidth="1"/>
    <col min="11" max="11" width="10.5" bestFit="1" customWidth="1"/>
    <col min="12" max="12" width="18.125" bestFit="1" customWidth="1"/>
    <col min="13" max="13" width="6.75" bestFit="1" customWidth="1"/>
    <col min="14" max="14" width="12.75" bestFit="1" customWidth="1"/>
  </cols>
  <sheetData>
    <row r="1" spans="1:5" x14ac:dyDescent="0.2">
      <c r="A1" t="s">
        <v>958</v>
      </c>
      <c r="B1" t="s">
        <v>1</v>
      </c>
      <c r="C1" t="s">
        <v>2</v>
      </c>
      <c r="D1" t="s">
        <v>539</v>
      </c>
      <c r="E1" t="s">
        <v>545</v>
      </c>
    </row>
    <row r="2" spans="1:5" x14ac:dyDescent="0.2">
      <c r="A2" t="s">
        <v>959</v>
      </c>
      <c r="B2" t="s">
        <v>75</v>
      </c>
      <c r="C2" t="s">
        <v>78</v>
      </c>
      <c r="D2" t="s">
        <v>560</v>
      </c>
      <c r="E2" t="s">
        <v>960</v>
      </c>
    </row>
    <row r="3" spans="1:5" x14ac:dyDescent="0.2">
      <c r="A3" t="s">
        <v>961</v>
      </c>
      <c r="B3" t="s">
        <v>75</v>
      </c>
      <c r="C3" t="s">
        <v>76</v>
      </c>
      <c r="D3" t="s">
        <v>566</v>
      </c>
      <c r="E3" t="s">
        <v>962</v>
      </c>
    </row>
    <row r="4" spans="1:5" x14ac:dyDescent="0.2">
      <c r="A4" t="s">
        <v>967</v>
      </c>
      <c r="B4" t="s">
        <v>75</v>
      </c>
      <c r="C4" t="s">
        <v>82</v>
      </c>
      <c r="D4" t="s">
        <v>594</v>
      </c>
      <c r="E4" t="s">
        <v>968</v>
      </c>
    </row>
    <row r="5" spans="1:5" x14ac:dyDescent="0.2">
      <c r="A5" t="s">
        <v>969</v>
      </c>
      <c r="B5" t="s">
        <v>75</v>
      </c>
      <c r="C5" t="s">
        <v>84</v>
      </c>
      <c r="D5" t="s">
        <v>628</v>
      </c>
      <c r="E5" t="s">
        <v>970</v>
      </c>
    </row>
    <row r="6" spans="1:5" x14ac:dyDescent="0.2">
      <c r="A6" t="s">
        <v>963</v>
      </c>
      <c r="B6" t="s">
        <v>53</v>
      </c>
      <c r="C6" t="s">
        <v>54</v>
      </c>
      <c r="D6" t="s">
        <v>831</v>
      </c>
      <c r="E6" t="s">
        <v>964</v>
      </c>
    </row>
    <row r="7" spans="1:5" x14ac:dyDescent="0.2">
      <c r="A7" t="s">
        <v>971</v>
      </c>
      <c r="B7" t="s">
        <v>75</v>
      </c>
      <c r="C7" t="s">
        <v>81</v>
      </c>
      <c r="D7" t="s">
        <v>665</v>
      </c>
      <c r="E7" t="s">
        <v>972</v>
      </c>
    </row>
    <row r="8" spans="1:5" x14ac:dyDescent="0.2">
      <c r="A8" t="s">
        <v>965</v>
      </c>
      <c r="B8" t="s">
        <v>53</v>
      </c>
      <c r="C8" t="s">
        <v>55</v>
      </c>
      <c r="D8" t="s">
        <v>775</v>
      </c>
      <c r="E8" t="s">
        <v>966</v>
      </c>
    </row>
    <row r="9" spans="1:5" x14ac:dyDescent="0.2">
      <c r="A9" t="s">
        <v>975</v>
      </c>
      <c r="B9" t="s">
        <v>56</v>
      </c>
      <c r="C9" t="s">
        <v>60</v>
      </c>
      <c r="D9" t="s">
        <v>647</v>
      </c>
      <c r="E9" t="s">
        <v>976</v>
      </c>
    </row>
    <row r="10" spans="1:5" x14ac:dyDescent="0.2">
      <c r="A10" t="s">
        <v>973</v>
      </c>
      <c r="B10" t="s">
        <v>56</v>
      </c>
      <c r="C10" t="s">
        <v>57</v>
      </c>
      <c r="D10" t="s">
        <v>652</v>
      </c>
      <c r="E10" t="s">
        <v>974</v>
      </c>
    </row>
    <row r="11" spans="1:5" x14ac:dyDescent="0.2">
      <c r="A11" t="s">
        <v>977</v>
      </c>
      <c r="B11" t="s">
        <v>75</v>
      </c>
      <c r="C11" t="s">
        <v>79</v>
      </c>
      <c r="D11" t="s">
        <v>742</v>
      </c>
      <c r="E11" t="s">
        <v>978</v>
      </c>
    </row>
    <row r="12" spans="1:5" x14ac:dyDescent="0.2">
      <c r="A12" t="s">
        <v>979</v>
      </c>
      <c r="B12" t="s">
        <v>56</v>
      </c>
      <c r="C12" t="s">
        <v>62</v>
      </c>
      <c r="D12" t="s">
        <v>572</v>
      </c>
      <c r="E12" t="s">
        <v>980</v>
      </c>
    </row>
    <row r="13" spans="1:5" x14ac:dyDescent="0.2">
      <c r="A13" t="s">
        <v>981</v>
      </c>
      <c r="B13" t="s">
        <v>66</v>
      </c>
      <c r="C13" t="s">
        <v>72</v>
      </c>
      <c r="D13" t="s">
        <v>838</v>
      </c>
      <c r="E13" t="s">
        <v>982</v>
      </c>
    </row>
    <row r="14" spans="1:5" x14ac:dyDescent="0.2">
      <c r="A14" t="s">
        <v>983</v>
      </c>
      <c r="B14" t="s">
        <v>56</v>
      </c>
      <c r="C14" t="s">
        <v>59</v>
      </c>
      <c r="D14" t="s">
        <v>851</v>
      </c>
      <c r="E14" t="s">
        <v>984</v>
      </c>
    </row>
    <row r="15" spans="1:5" x14ac:dyDescent="0.2">
      <c r="A15" t="s">
        <v>985</v>
      </c>
      <c r="B15" t="s">
        <v>56</v>
      </c>
      <c r="C15" t="s">
        <v>61</v>
      </c>
      <c r="D15" t="s">
        <v>598</v>
      </c>
      <c r="E15" t="s">
        <v>986</v>
      </c>
    </row>
    <row r="16" spans="1:5" x14ac:dyDescent="0.2">
      <c r="A16" t="s">
        <v>987</v>
      </c>
      <c r="B16" t="s">
        <v>75</v>
      </c>
      <c r="C16" t="s">
        <v>80</v>
      </c>
      <c r="D16" t="s">
        <v>582</v>
      </c>
      <c r="E16" t="s">
        <v>988</v>
      </c>
    </row>
    <row r="17" spans="1:5" x14ac:dyDescent="0.2">
      <c r="A17" t="s">
        <v>989</v>
      </c>
      <c r="B17" t="s">
        <v>66</v>
      </c>
      <c r="C17" t="s">
        <v>68</v>
      </c>
      <c r="D17" t="s">
        <v>710</v>
      </c>
      <c r="E17" t="s">
        <v>990</v>
      </c>
    </row>
    <row r="18" spans="1:5" x14ac:dyDescent="0.2">
      <c r="A18" t="s">
        <v>991</v>
      </c>
      <c r="B18" t="s">
        <v>66</v>
      </c>
      <c r="C18" t="s">
        <v>73</v>
      </c>
      <c r="D18" t="s">
        <v>633</v>
      </c>
      <c r="E18" t="s">
        <v>992</v>
      </c>
    </row>
    <row r="19" spans="1:5" x14ac:dyDescent="0.2">
      <c r="A19" t="s">
        <v>993</v>
      </c>
      <c r="B19" t="s">
        <v>66</v>
      </c>
      <c r="C19" t="s">
        <v>74</v>
      </c>
      <c r="D19" t="s">
        <v>611</v>
      </c>
      <c r="E19" t="s">
        <v>994</v>
      </c>
    </row>
    <row r="20" spans="1:5" x14ac:dyDescent="0.2">
      <c r="A20" t="s">
        <v>995</v>
      </c>
      <c r="B20" t="s">
        <v>66</v>
      </c>
      <c r="C20" t="s">
        <v>67</v>
      </c>
      <c r="D20" t="s">
        <v>810</v>
      </c>
      <c r="E20" t="s">
        <v>996</v>
      </c>
    </row>
    <row r="21" spans="1:5" x14ac:dyDescent="0.2">
      <c r="A21" t="s">
        <v>997</v>
      </c>
      <c r="B21" t="s">
        <v>9</v>
      </c>
      <c r="C21" t="s">
        <v>10</v>
      </c>
      <c r="D21" t="s">
        <v>607</v>
      </c>
      <c r="E21" t="s">
        <v>998</v>
      </c>
    </row>
    <row r="22" spans="1:5" x14ac:dyDescent="0.2">
      <c r="A22" t="s">
        <v>999</v>
      </c>
      <c r="B22" t="s">
        <v>75</v>
      </c>
      <c r="C22" t="s">
        <v>83</v>
      </c>
      <c r="D22" t="s">
        <v>521</v>
      </c>
      <c r="E22" t="s">
        <v>1000</v>
      </c>
    </row>
    <row r="23" spans="1:5" x14ac:dyDescent="0.2">
      <c r="A23" t="s">
        <v>1001</v>
      </c>
      <c r="B23" t="s">
        <v>9</v>
      </c>
      <c r="C23" t="s">
        <v>24</v>
      </c>
      <c r="D23" t="s">
        <v>846</v>
      </c>
      <c r="E23" t="s">
        <v>1002</v>
      </c>
    </row>
    <row r="24" spans="1:5" x14ac:dyDescent="0.2">
      <c r="A24" t="s">
        <v>1003</v>
      </c>
      <c r="B24" t="s">
        <v>9</v>
      </c>
      <c r="C24" t="s">
        <v>29</v>
      </c>
      <c r="D24" t="s">
        <v>893</v>
      </c>
      <c r="E24" t="s">
        <v>1004</v>
      </c>
    </row>
    <row r="25" spans="1:5" x14ac:dyDescent="0.2">
      <c r="A25" t="s">
        <v>1005</v>
      </c>
      <c r="B25" t="s">
        <v>9</v>
      </c>
      <c r="C25" t="s">
        <v>33</v>
      </c>
      <c r="D25" t="s">
        <v>876</v>
      </c>
      <c r="E25" t="s">
        <v>1006</v>
      </c>
    </row>
    <row r="26" spans="1:5" x14ac:dyDescent="0.2">
      <c r="A26" t="s">
        <v>1007</v>
      </c>
      <c r="B26" t="s">
        <v>63</v>
      </c>
      <c r="C26" t="s">
        <v>64</v>
      </c>
      <c r="D26" t="s">
        <v>679</v>
      </c>
      <c r="E26" t="s">
        <v>1008</v>
      </c>
    </row>
    <row r="27" spans="1:5" x14ac:dyDescent="0.2">
      <c r="A27" t="s">
        <v>1009</v>
      </c>
      <c r="B27" t="s">
        <v>75</v>
      </c>
      <c r="C27" t="s">
        <v>85</v>
      </c>
      <c r="D27" t="s">
        <v>553</v>
      </c>
      <c r="E27" t="s">
        <v>1010</v>
      </c>
    </row>
    <row r="28" spans="1:5" x14ac:dyDescent="0.2">
      <c r="A28" t="s">
        <v>1011</v>
      </c>
      <c r="B28" t="s">
        <v>63</v>
      </c>
      <c r="C28" t="s">
        <v>65</v>
      </c>
      <c r="D28" t="s">
        <v>591</v>
      </c>
      <c r="E28" t="s">
        <v>1012</v>
      </c>
    </row>
    <row r="29" spans="1:5" x14ac:dyDescent="0.2">
      <c r="A29" t="s">
        <v>1013</v>
      </c>
      <c r="B29" t="s">
        <v>66</v>
      </c>
      <c r="C29" t="s">
        <v>69</v>
      </c>
      <c r="D29" t="s">
        <v>534</v>
      </c>
      <c r="E29" t="s">
        <v>1014</v>
      </c>
    </row>
    <row r="30" spans="1:5" x14ac:dyDescent="0.2">
      <c r="A30" t="s">
        <v>1015</v>
      </c>
      <c r="B30" t="s">
        <v>66</v>
      </c>
      <c r="C30" t="s">
        <v>70</v>
      </c>
      <c r="D30" t="s">
        <v>671</v>
      </c>
      <c r="E30" t="s">
        <v>1016</v>
      </c>
    </row>
    <row r="31" spans="1:5" x14ac:dyDescent="0.2">
      <c r="A31" t="s">
        <v>1017</v>
      </c>
      <c r="B31" t="s">
        <v>56</v>
      </c>
      <c r="C31" t="s">
        <v>58</v>
      </c>
      <c r="D31" t="s">
        <v>536</v>
      </c>
      <c r="E31" t="s">
        <v>1018</v>
      </c>
    </row>
    <row r="32" spans="1:5" x14ac:dyDescent="0.2">
      <c r="A32" t="s">
        <v>1019</v>
      </c>
      <c r="B32" t="s">
        <v>75</v>
      </c>
      <c r="C32" t="s">
        <v>77</v>
      </c>
      <c r="D32" t="s">
        <v>548</v>
      </c>
      <c r="E32" t="s">
        <v>1020</v>
      </c>
    </row>
    <row r="33" spans="1:5" x14ac:dyDescent="0.2">
      <c r="A33" t="s">
        <v>1021</v>
      </c>
      <c r="B33" t="s">
        <v>66</v>
      </c>
      <c r="C33" t="s">
        <v>71</v>
      </c>
      <c r="D33" t="s">
        <v>625</v>
      </c>
      <c r="E33" t="s">
        <v>1022</v>
      </c>
    </row>
    <row r="34" spans="1:5" x14ac:dyDescent="0.2">
      <c r="A34" t="s">
        <v>1026</v>
      </c>
      <c r="D34" t="s">
        <v>1027</v>
      </c>
      <c r="E34" t="s">
        <v>1028</v>
      </c>
    </row>
    <row r="35" spans="1:5" x14ac:dyDescent="0.2">
      <c r="A35" t="s">
        <v>1029</v>
      </c>
      <c r="D35" t="s">
        <v>953</v>
      </c>
      <c r="E35" t="s">
        <v>1030</v>
      </c>
    </row>
    <row r="36" spans="1:5" x14ac:dyDescent="0.2">
      <c r="A36" t="s">
        <v>1023</v>
      </c>
      <c r="D36" t="s">
        <v>1024</v>
      </c>
      <c r="E36" t="s">
        <v>1025</v>
      </c>
    </row>
    <row r="37" spans="1:5" x14ac:dyDescent="0.2">
      <c r="A37" t="s">
        <v>1039</v>
      </c>
      <c r="D37" t="s">
        <v>1040</v>
      </c>
      <c r="E37" t="s">
        <v>1041</v>
      </c>
    </row>
    <row r="38" spans="1:5" x14ac:dyDescent="0.2">
      <c r="A38" t="s">
        <v>1031</v>
      </c>
      <c r="D38" t="s">
        <v>1032</v>
      </c>
      <c r="E38" t="s">
        <v>1033</v>
      </c>
    </row>
    <row r="39" spans="1:5" x14ac:dyDescent="0.2">
      <c r="A39" t="s">
        <v>1037</v>
      </c>
      <c r="D39" t="s">
        <v>516</v>
      </c>
      <c r="E39" t="s">
        <v>1038</v>
      </c>
    </row>
    <row r="40" spans="1:5" x14ac:dyDescent="0.2">
      <c r="A40" t="s">
        <v>1034</v>
      </c>
      <c r="D40" t="s">
        <v>1035</v>
      </c>
      <c r="E40" t="s">
        <v>1036</v>
      </c>
    </row>
    <row r="41" spans="1:5" x14ac:dyDescent="0.2">
      <c r="A41" t="s">
        <v>1047</v>
      </c>
      <c r="D41" t="s">
        <v>1048</v>
      </c>
      <c r="E41" t="s">
        <v>1049</v>
      </c>
    </row>
    <row r="42" spans="1:5" x14ac:dyDescent="0.2">
      <c r="A42" t="s">
        <v>1050</v>
      </c>
      <c r="D42" t="s">
        <v>1051</v>
      </c>
      <c r="E42" t="s">
        <v>1052</v>
      </c>
    </row>
    <row r="43" spans="1:5" x14ac:dyDescent="0.2">
      <c r="A43" t="s">
        <v>1053</v>
      </c>
      <c r="D43" t="s">
        <v>1054</v>
      </c>
      <c r="E43" t="s">
        <v>1055</v>
      </c>
    </row>
    <row r="44" spans="1:5" x14ac:dyDescent="0.2">
      <c r="A44" t="s">
        <v>1065</v>
      </c>
      <c r="D44" t="s">
        <v>1066</v>
      </c>
      <c r="E44" t="s">
        <v>1067</v>
      </c>
    </row>
    <row r="45" spans="1:5" x14ac:dyDescent="0.2">
      <c r="A45" t="s">
        <v>1071</v>
      </c>
      <c r="D45" t="s">
        <v>1072</v>
      </c>
      <c r="E45" t="s">
        <v>1073</v>
      </c>
    </row>
    <row r="46" spans="1:5" x14ac:dyDescent="0.2">
      <c r="A46" t="s">
        <v>1042</v>
      </c>
      <c r="D46" t="s">
        <v>955</v>
      </c>
      <c r="E46" t="s">
        <v>1043</v>
      </c>
    </row>
    <row r="47" spans="1:5" x14ac:dyDescent="0.2">
      <c r="A47" t="s">
        <v>1044</v>
      </c>
      <c r="D47" t="s">
        <v>1045</v>
      </c>
      <c r="E47" t="s">
        <v>1046</v>
      </c>
    </row>
    <row r="48" spans="1:5" x14ac:dyDescent="0.2">
      <c r="A48" t="s">
        <v>1074</v>
      </c>
      <c r="D48" t="s">
        <v>1075</v>
      </c>
      <c r="E48" t="s">
        <v>1076</v>
      </c>
    </row>
    <row r="49" spans="1:5" x14ac:dyDescent="0.2">
      <c r="A49" t="s">
        <v>1059</v>
      </c>
      <c r="D49" t="s">
        <v>1060</v>
      </c>
      <c r="E49" t="s">
        <v>1061</v>
      </c>
    </row>
    <row r="50" spans="1:5" x14ac:dyDescent="0.2">
      <c r="A50" t="s">
        <v>1056</v>
      </c>
      <c r="D50" t="s">
        <v>1057</v>
      </c>
      <c r="E50" t="s">
        <v>1058</v>
      </c>
    </row>
    <row r="51" spans="1:5" x14ac:dyDescent="0.2">
      <c r="A51" t="s">
        <v>1062</v>
      </c>
      <c r="D51" t="s">
        <v>1063</v>
      </c>
      <c r="E51" t="s">
        <v>1064</v>
      </c>
    </row>
    <row r="52" spans="1:5" x14ac:dyDescent="0.2">
      <c r="A52" t="s">
        <v>1068</v>
      </c>
      <c r="D52" t="s">
        <v>1069</v>
      </c>
      <c r="E52" t="s">
        <v>1070</v>
      </c>
    </row>
    <row r="53" spans="1:5" x14ac:dyDescent="0.2">
      <c r="A53" t="s">
        <v>1077</v>
      </c>
      <c r="D53" t="s">
        <v>1078</v>
      </c>
      <c r="E53" t="s">
        <v>1079</v>
      </c>
    </row>
    <row r="54" spans="1:5" x14ac:dyDescent="0.2">
      <c r="A54" t="s">
        <v>1080</v>
      </c>
      <c r="D54" t="s">
        <v>833</v>
      </c>
      <c r="E54" t="s">
        <v>1081</v>
      </c>
    </row>
    <row r="55" spans="1:5" x14ac:dyDescent="0.2">
      <c r="A55" t="s">
        <v>1082</v>
      </c>
      <c r="D55" t="s">
        <v>883</v>
      </c>
      <c r="E55" t="s">
        <v>1083</v>
      </c>
    </row>
    <row r="56" spans="1:5" x14ac:dyDescent="0.2">
      <c r="A56" t="s">
        <v>1084</v>
      </c>
      <c r="D56" t="s">
        <v>1085</v>
      </c>
      <c r="E56" t="s">
        <v>1086</v>
      </c>
    </row>
    <row r="57" spans="1:5" x14ac:dyDescent="0.2">
      <c r="A57" t="s">
        <v>1089</v>
      </c>
      <c r="D57" t="s">
        <v>1090</v>
      </c>
      <c r="E57" t="s">
        <v>1091</v>
      </c>
    </row>
    <row r="58" spans="1:5" x14ac:dyDescent="0.2">
      <c r="A58" t="s">
        <v>1092</v>
      </c>
      <c r="D58" t="s">
        <v>925</v>
      </c>
      <c r="E58" t="s">
        <v>1093</v>
      </c>
    </row>
    <row r="59" spans="1:5" x14ac:dyDescent="0.2">
      <c r="A59" t="s">
        <v>1087</v>
      </c>
      <c r="D59" t="s">
        <v>692</v>
      </c>
      <c r="E59" t="s">
        <v>1088</v>
      </c>
    </row>
    <row r="60" spans="1:5" x14ac:dyDescent="0.2">
      <c r="A60" t="s">
        <v>1094</v>
      </c>
      <c r="D60" t="s">
        <v>1095</v>
      </c>
      <c r="E60" t="s">
        <v>1096</v>
      </c>
    </row>
  </sheetData>
  <phoneticPr fontId="17" type="noConversion"/>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A12-57EB-4251-B39E-E8B9739F2119}">
  <sheetPr>
    <tabColor theme="7"/>
  </sheetPr>
  <dimension ref="A1:C10"/>
  <sheetViews>
    <sheetView workbookViewId="0">
      <selection activeCell="A9" sqref="A9"/>
    </sheetView>
  </sheetViews>
  <sheetFormatPr defaultRowHeight="14.25" x14ac:dyDescent="0.2"/>
  <cols>
    <col min="1" max="1" width="17.375" customWidth="1"/>
  </cols>
  <sheetData>
    <row r="1" spans="1:3" x14ac:dyDescent="0.2">
      <c r="A1" t="s">
        <v>1097</v>
      </c>
    </row>
    <row r="2" spans="1:3" x14ac:dyDescent="0.2">
      <c r="A2" t="s">
        <v>1098</v>
      </c>
    </row>
    <row r="3" spans="1:3" x14ac:dyDescent="0.2">
      <c r="A3" t="s">
        <v>1099</v>
      </c>
    </row>
    <row r="4" spans="1:3" x14ac:dyDescent="0.2">
      <c r="A4" t="s">
        <v>1100</v>
      </c>
    </row>
    <row r="5" spans="1:3" x14ac:dyDescent="0.2">
      <c r="A5" t="s">
        <v>545</v>
      </c>
    </row>
    <row r="6" spans="1:3" x14ac:dyDescent="0.2">
      <c r="A6" t="s">
        <v>546</v>
      </c>
    </row>
    <row r="7" spans="1:3" x14ac:dyDescent="0.2">
      <c r="A7" t="s">
        <v>1101</v>
      </c>
      <c r="C7" t="s">
        <v>1102</v>
      </c>
    </row>
    <row r="8" spans="1:3" x14ac:dyDescent="0.2">
      <c r="A8" t="s">
        <v>1103</v>
      </c>
      <c r="C8" t="s">
        <v>1104</v>
      </c>
    </row>
    <row r="9" spans="1:3" x14ac:dyDescent="0.2">
      <c r="A9" t="s">
        <v>1105</v>
      </c>
      <c r="C9" t="s">
        <v>1106</v>
      </c>
    </row>
    <row r="10" spans="1:3" x14ac:dyDescent="0.2">
      <c r="A10" t="s">
        <v>547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GetOrganized Document Library Content Type" ma:contentTypeID="0x010100AC085CFC53BC46CEA2EADE194AD9D482006341B35FDD123A4095A797C951A03E48" ma:contentTypeVersion="2" ma:contentTypeDescription="GetOrganized Document Library Content Type Description" ma:contentTypeScope="" ma:versionID="2125c5d6c628653651a8f24a1664f8a7">
  <xsd:schema xmlns:xsd="http://www.w3.org/2001/XMLSchema" xmlns:xs="http://www.w3.org/2001/XMLSchema" xmlns:p="http://schemas.microsoft.com/office/2006/metadata/properties" xmlns:ns1="http://schemas.microsoft.com/sharepoint/v3" xmlns:ns2="F083C0AC-ADB0-4AAE-9322-A8AA5ABC62D6" xmlns:ns3="bf37f16c-366f-4528-851a-347c51cacf4a" targetNamespace="http://schemas.microsoft.com/office/2006/metadata/properties" ma:root="true" ma:fieldsID="da57b15b69215e2fab6e08e2de0d9ec4" ns1:_="" ns2:_="" ns3:_="">
    <xsd:import namespace="http://schemas.microsoft.com/sharepoint/v3"/>
    <xsd:import namespace="F083C0AC-ADB0-4AAE-9322-A8AA5ABC62D6"/>
    <xsd:import namespace="bf37f16c-366f-4528-851a-347c51cacf4a"/>
    <xsd:element name="properties">
      <xsd:complexType>
        <xsd:sequence>
          <xsd:element name="documentManagement">
            <xsd:complexType>
              <xsd:all>
                <xsd:element ref="ns1:CaseID" minOccurs="0"/>
                <xsd:element ref="ns1:DocID" minOccurs="0"/>
                <xsd:element ref="ns1:Finalized" minOccurs="0"/>
                <xsd:element ref="ns1:Related" minOccurs="0"/>
                <xsd:element ref="ns1:LocalAttachment" minOccurs="0"/>
                <xsd:element ref="ns1:RegistrationDate" minOccurs="0"/>
                <xsd:element ref="ns1:CaseRecordNumber" minOccurs="0"/>
                <xsd:element ref="ns1:CCMTemplateName" minOccurs="0"/>
                <xsd:element ref="ns1:CCMTemplateVersion" minOccurs="0"/>
                <xsd:element ref="ns1:CCMTemplateID" minOccurs="0"/>
                <xsd:element ref="ns1:CCMSystemID" minOccurs="0"/>
                <xsd:element ref="ns1:WasEncrypted" minOccurs="0"/>
                <xsd:element ref="ns1:WasSigned" minOccurs="0"/>
                <xsd:element ref="ns1:MailHasAttachments" minOccurs="0"/>
                <xsd:element ref="ns1:CCMConversation" minOccurs="0"/>
                <xsd:element ref="ns1:CCMVisualId" minOccurs="0"/>
                <xsd:element ref="ns1:CCMOriginalDocID" minOccurs="0"/>
                <xsd:element ref="ns1:CCMMetadataExtractionStatus" minOccurs="0"/>
                <xsd:element ref="ns1:CCMCommentCount" minOccurs="0"/>
                <xsd:element ref="ns1:CCMPageCount" minOccurs="0"/>
                <xsd:element ref="ns1:CCMPreviewAnnotationsTasks" minOccurs="0"/>
                <xsd:element ref="ns1:CCMCognitiveType" minOccurs="0"/>
                <xsd:element ref="ns2:CustomerName" minOccurs="0"/>
                <xsd:element ref="ns2:ProjectName" minOccurs="0"/>
                <xsd:element ref="ns1:DocumentVersion" minOccurs="0"/>
                <xsd:element ref="ns1:DocumentStatu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seID" ma:index="8" nillable="true" ma:displayName="Case ID" ma:default="Assigning" ma:internalName="CaseID" ma:readOnly="true">
      <xsd:simpleType>
        <xsd:restriction base="dms:Text"/>
      </xsd:simpleType>
    </xsd:element>
    <xsd:element name="DocID" ma:index="9" nillable="true" ma:displayName="Document ID" ma:default="Assigning" ma:internalName="DocID" ma:readOnly="true">
      <xsd:simpleType>
        <xsd:restriction base="dms:Text"/>
      </xsd:simpleType>
    </xsd:element>
    <xsd:element name="Finalized" ma:index="10" nillable="true" ma:displayName="Finalized" ma:default="False" ma:internalName="Finalized" ma:readOnly="true">
      <xsd:simpleType>
        <xsd:restriction base="dms:Boolean"/>
      </xsd:simpleType>
    </xsd:element>
    <xsd:element name="Related" ma:index="11" nillable="true" ma:displayName="Related" ma:default="False" ma:internalName="Related" ma:readOnly="true">
      <xsd:simpleType>
        <xsd:restriction base="dms:Boolean"/>
      </xsd:simpleType>
    </xsd:element>
    <xsd:element name="LocalAttachment" ma:index="12" nillable="true" ma:displayName="Local Attachment" ma:default="False" ma:internalName="LocalAttachment" ma:readOnly="true">
      <xsd:simpleType>
        <xsd:restriction base="dms:Boolean"/>
      </xsd:simpleType>
    </xsd:element>
    <xsd:element name="RegistrationDate" ma:index="13" nillable="true" ma:displayName="Registration date" ma:format="DateTime" ma:internalName="RegistrationDate" ma:readOnly="true">
      <xsd:simpleType>
        <xsd:restriction base="dms:DateTime"/>
      </xsd:simpleType>
    </xsd:element>
    <xsd:element name="CaseRecordNumber" ma:index="14" nillable="true" ma:displayName="Record ID" ma:decimals="0" ma:default="0" ma:internalName="CaseRecordNumber" ma:readOnly="true">
      <xsd:simpleType>
        <xsd:restriction base="dms:Number"/>
      </xsd:simpleType>
    </xsd:element>
    <xsd:element name="CCMTemplateName" ma:index="15" nillable="true" ma:displayName="Template name" ma:internalName="CCMTemplateName" ma:readOnly="true">
      <xsd:simpleType>
        <xsd:restriction base="dms:Text"/>
      </xsd:simpleType>
    </xsd:element>
    <xsd:element name="CCMTemplateVersion" ma:index="16" nillable="true" ma:displayName="Template version" ma:internalName="CCMTemplateVersion" ma:readOnly="true">
      <xsd:simpleType>
        <xsd:restriction base="dms:Text"/>
      </xsd:simpleType>
    </xsd:element>
    <xsd:element name="CCMTemplateID" ma:index="17" nillable="true" ma:displayName="CCMTemplateID" ma:decimals="0" ma:default="0" ma:hidden="true" ma:internalName="CCMTemplateID" ma:readOnly="true">
      <xsd:simpleType>
        <xsd:restriction base="dms:Number"/>
      </xsd:simpleType>
    </xsd:element>
    <xsd:element name="CCMSystemID" ma:index="18" nillable="true" ma:displayName="CCMSystemID" ma:hidden="true" ma:internalName="CCMSystemID" ma:readOnly="true">
      <xsd:simpleType>
        <xsd:restriction base="dms:Text"/>
      </xsd:simpleType>
    </xsd:element>
    <xsd:element name="WasEncrypted" ma:index="19" nillable="true" ma:displayName="Encrypted" ma:default="False" ma:internalName="WasEncrypted" ma:readOnly="true">
      <xsd:simpleType>
        <xsd:restriction base="dms:Boolean"/>
      </xsd:simpleType>
    </xsd:element>
    <xsd:element name="WasSigned" ma:index="20" nillable="true" ma:displayName="Signed" ma:default="False" ma:internalName="WasSigned" ma:readOnly="true">
      <xsd:simpleType>
        <xsd:restriction base="dms:Boolean"/>
      </xsd:simpleType>
    </xsd:element>
    <xsd:element name="MailHasAttachments" ma:index="21" nillable="true" ma:displayName="E-mail has attachments" ma:default="False" ma:internalName="MailHasAttachments" ma:readOnly="true">
      <xsd:simpleType>
        <xsd:restriction base="dms:Boolean"/>
      </xsd:simpleType>
    </xsd:element>
    <xsd:element name="CCMConversation" ma:index="22" nillable="true" ma:displayName="Conversation" ma:internalName="CCMConversation" ma:readOnly="true">
      <xsd:simpleType>
        <xsd:restriction base="dms:Text"/>
      </xsd:simpleType>
    </xsd:element>
    <xsd:element name="CCMVisualId" ma:index="23" nillable="true" ma:displayName="Case ID" ma:default="Assigning" ma:internalName="CCMVisualId" ma:readOnly="true">
      <xsd:simpleType>
        <xsd:restriction base="dms:Text"/>
      </xsd:simpleType>
    </xsd:element>
    <xsd:element name="CCMOriginalDocID" ma:index="25" nillable="true" ma:displayName="Originalt Dok ID" ma:description="" ma:internalName="CCMOriginalDocID" ma:readOnly="true">
      <xsd:simpleType>
        <xsd:restriction base="dms:Text"/>
      </xsd:simpleType>
    </xsd:element>
    <xsd:element name="CCMMetadataExtractionStatus" ma:index="27" nillable="true" ma:displayName="CCMMetadataExtractionStatus" ma:default="CCMPageCount:InProgress;CCMCommentCount:InProgress" ma:description="" ma:hidden="true" ma:internalName="CCMMetadataExtractionStatus" ma:readOnly="false">
      <xsd:simpleType>
        <xsd:restriction base="dms:Text"/>
      </xsd:simpleType>
    </xsd:element>
    <xsd:element name="CCMCommentCount" ma:index="28" nillable="true" ma:displayName="Comments" ma:decimals="0" ma:description="" ma:internalName="CCMCommentCount" ma:readOnly="true">
      <xsd:simpleType>
        <xsd:restriction base="dms:Number"/>
      </xsd:simpleType>
    </xsd:element>
    <xsd:element name="CCMPageCount" ma:index="29" nillable="true" ma:displayName="Pages" ma:decimals="0" ma:description="" ma:internalName="CCMPageCount" ma:readOnly="true">
      <xsd:simpleType>
        <xsd:restriction base="dms:Number"/>
      </xsd:simpleType>
    </xsd:element>
    <xsd:element name="CCMPreviewAnnotationsTasks" ma:index="30" nillable="true" ma:displayName="Tasks" ma:decimals="0" ma:description="" ma:internalName="CCMPreviewAnnotationsTasks" ma:readOnly="true">
      <xsd:simpleType>
        <xsd:restriction base="dms:Number"/>
      </xsd:simpleType>
    </xsd:element>
    <xsd:element name="CCMCognitiveType" ma:index="31" nillable="true" ma:displayName="CognitiveType" ma:decimals="0" ma:hidden="true" ma:internalName="CCMCognitiveType" ma:readOnly="false">
      <xsd:simpleType>
        <xsd:restriction base="dms:Number"/>
      </xsd:simpleType>
    </xsd:element>
    <xsd:element name="DocumentVersion" ma:index="34" nillable="true" ma:displayName="Document version" ma:default="1.0" ma:internalName="DocumentVersion" ma:readOnly="false">
      <xsd:simpleType>
        <xsd:restriction base="dms:Text"/>
      </xsd:simpleType>
    </xsd:element>
    <xsd:element name="DocumentStatus" ma:index="35" nillable="true" ma:displayName="Document status" ma:default="01 - Planned" ma:format="Dropdown" ma:internalName="DocumentStatus" ma:readOnly="false">
      <xsd:simpleType>
        <xsd:restriction base="dms:Choice">
          <xsd:enumeration value="01 - Planned"/>
          <xsd:enumeration value="02 - Work in progress"/>
          <xsd:enumeration value="03 - Completed"/>
          <xsd:enumeration value="04 - Reviewed"/>
          <xsd:enumeration value="05 - Approved"/>
          <xsd:enumeration value="80 - Cancelled"/>
        </xsd:restriction>
      </xsd:simpleType>
    </xsd:element>
  </xsd:schema>
  <xsd:schema xmlns:xsd="http://www.w3.org/2001/XMLSchema" xmlns:xs="http://www.w3.org/2001/XMLSchema" xmlns:dms="http://schemas.microsoft.com/office/2006/documentManagement/types" xmlns:pc="http://schemas.microsoft.com/office/infopath/2007/PartnerControls" targetNamespace="F083C0AC-ADB0-4AAE-9322-A8AA5ABC62D6" elementFormDefault="qualified">
    <xsd:import namespace="http://schemas.microsoft.com/office/2006/documentManagement/types"/>
    <xsd:import namespace="http://schemas.microsoft.com/office/infopath/2007/PartnerControls"/>
    <xsd:element name="CustomerName" ma:index="32" nillable="true" ma:displayName="Customer" ma:hidden="true" ma:internalName="CustomerName" ma:readOnly="false">
      <xsd:simpleType>
        <xsd:restriction base="dms:Text"/>
      </xsd:simpleType>
    </xsd:element>
    <xsd:element name="ProjectName" ma:index="33" nillable="true" ma:displayName="Solution" ma:default="Integration Programme" ma:internalName="ProjectName"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f37f16c-366f-4528-851a-347c51cacf4a" elementFormDefault="qualified">
    <xsd:import namespace="http://schemas.microsoft.com/office/2006/documentManagement/types"/>
    <xsd:import namespace="http://schemas.microsoft.com/office/infopath/2007/PartnerControls"/>
    <xsd:element name="SharedWithUsers" ma:index="36"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CCMCognitiveType xmlns="http://schemas.microsoft.com/sharepoint/v3" xsi:nil="true"/>
    <DocumentStatus xmlns="http://schemas.microsoft.com/sharepoint/v3">01 - Planned</DocumentStatus>
    <CustomerName xmlns="F083C0AC-ADB0-4AAE-9322-A8AA5ABC62D6" xsi:nil="true"/>
    <ProjectName xmlns="F083C0AC-ADB0-4AAE-9322-A8AA5ABC62D6">The Integration Program</ProjectName>
    <DocumentVersion xmlns="http://schemas.microsoft.com/sharepoint/v3">1.0</DocumentVersion>
    <CCMMetadataExtractionStatus xmlns="http://schemas.microsoft.com/sharepoint/v3">CCMPageCount:NotSupported;CCMCommentCount:Idle</CCMMetadataExtractionStatus>
    <WasEncrypted xmlns="http://schemas.microsoft.com/sharepoint/v3">false</WasEncrypted>
    <WasSigned xmlns="http://schemas.microsoft.com/sharepoint/v3">false</WasSigned>
    <LocalAttachment xmlns="http://schemas.microsoft.com/sharepoint/v3">false</LocalAttachment>
    <CCMTemplateID xmlns="http://schemas.microsoft.com/sharepoint/v3">0</CCMTemplateID>
    <CaseID xmlns="http://schemas.microsoft.com/sharepoint/v3">NORKRAFT</CaseID>
    <RegistrationDate xmlns="http://schemas.microsoft.com/sharepoint/v3" xsi:nil="true"/>
    <CaseRecordNumber xmlns="http://schemas.microsoft.com/sharepoint/v3">0</CaseRecordNumber>
    <CCMPreviewAnnotationsTasks xmlns="http://schemas.microsoft.com/sharepoint/v3" xsi:nil="true"/>
    <Related xmlns="http://schemas.microsoft.com/sharepoint/v3">false</Related>
    <Finalized xmlns="http://schemas.microsoft.com/sharepoint/v3">false</Finalized>
    <CCMVisualId xmlns="http://schemas.microsoft.com/sharepoint/v3">NORKRAFT</CCMVisualId>
    <CCMSystemID xmlns="http://schemas.microsoft.com/sharepoint/v3">a83c9e44-5554-4fe4-9554-0ea6ec621664</CCMSystemID>
    <CCMPageCount xmlns="http://schemas.microsoft.com/sharepoint/v3">0</CCMPageCount>
    <DocID xmlns="http://schemas.microsoft.com/sharepoint/v3">9314495</DocID>
    <MailHasAttachments xmlns="http://schemas.microsoft.com/sharepoint/v3">false</MailHasAttachments>
    <CCMCommentCount xmlns="http://schemas.microsoft.com/sharepoint/v3">0</CCMCommentCount>
    <CCMConversation xmlns="http://schemas.microsoft.com/sharepoint/v3" xsi:nil="true"/>
    <CCMOriginalDocID xmlns="http://schemas.microsoft.com/sharepoint/v3" xsi:nil="true"/>
    <CCMTemplateName xmlns="http://schemas.microsoft.com/sharepoint/v3" xsi:nil="true"/>
    <CCMTemplateVersion xmlns="http://schemas.microsoft.com/sharepoint/v3" xsi:nil="true"/>
  </documentManagement>
</p:properties>
</file>

<file path=customXml/item4.xml>��
</file>

<file path=customXml/itemProps1.xml><?xml version="1.0" encoding="utf-8"?>
<ds:datastoreItem xmlns:ds="http://schemas.openxmlformats.org/officeDocument/2006/customXml" ds:itemID="{5FE68833-064D-4F86-9793-28E17A45A5E9}">
  <ds:schemaRefs>
    <ds:schemaRef ds:uri="http://schemas.microsoft.com/sharepoint/v3/contenttype/forms"/>
  </ds:schemaRefs>
</ds:datastoreItem>
</file>

<file path=customXml/itemProps2.xml><?xml version="1.0" encoding="utf-8"?>
<ds:datastoreItem xmlns:ds="http://schemas.openxmlformats.org/officeDocument/2006/customXml" ds:itemID="{0A2120DB-6FC5-4C2A-8509-23067078570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F083C0AC-ADB0-4AAE-9322-A8AA5ABC62D6"/>
    <ds:schemaRef ds:uri="bf37f16c-366f-4528-851a-347c51cacf4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7F4ACAD-31B2-44DC-AE9E-9D37FC33B726}">
  <ds:schemaRefs>
    <ds:schemaRef ds:uri="http://schemas.microsoft.com/office/2006/metadata/properties"/>
    <ds:schemaRef ds:uri="http://schemas.microsoft.com/office/infopath/2007/PartnerControls"/>
    <ds:schemaRef ds:uri="http://schemas.microsoft.com/sharepoint/v3"/>
    <ds:schemaRef ds:uri="F083C0AC-ADB0-4AAE-9322-A8AA5ABC62D6"/>
  </ds:schemaRefs>
</ds:datastoreItem>
</file>

<file path=customXml/itemProps4.xml><?xml version="1.0" encoding="utf-8"?>
<ds:datastoreItem xmlns:ds="http://schemas.openxmlformats.org/officeDocument/2006/customXml" ds:itemID="{C93138C6-7C77-4205-867E-7116594FF39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10</vt:i4>
      </vt:variant>
    </vt:vector>
  </HeadingPairs>
  <TitlesOfParts>
    <vt:vector size="24" baseType="lpstr">
      <vt:lpstr>Epic Mapping</vt:lpstr>
      <vt:lpstr>Epics</vt:lpstr>
      <vt:lpstr>Product Backlog (Jira)</vt:lpstr>
      <vt:lpstr>Product Backlog (Jira) Pivot</vt:lpstr>
      <vt:lpstr>Sheet2</vt:lpstr>
      <vt:lpstr>Pivot (Product Backlog output)</vt:lpstr>
      <vt:lpstr>Est hrs calc</vt:lpstr>
      <vt:lpstr>Product Backlog (output)</vt:lpstr>
      <vt:lpstr>Product Backlog (input)</vt:lpstr>
      <vt:lpstr>InitiativeGroupMapping (input)</vt:lpstr>
      <vt:lpstr>Management</vt:lpstr>
      <vt:lpstr>Other Activities</vt:lpstr>
      <vt:lpstr>GetEpic</vt:lpstr>
      <vt:lpstr>FieldsConfig</vt:lpstr>
      <vt:lpstr>CalculatedContingency</vt:lpstr>
      <vt:lpstr>CalculatedManagement</vt:lpstr>
      <vt:lpstr>CalculatedOther</vt:lpstr>
      <vt:lpstr>Contingency</vt:lpstr>
      <vt:lpstr>Contingency_Factor</vt:lpstr>
      <vt:lpstr>ManagementNumberOfWeeks</vt:lpstr>
      <vt:lpstr>'Product Backlog (Jira) Pivot'!SOLON_BuildFactor</vt:lpstr>
      <vt:lpstr>SOLON_BuildFactor</vt:lpstr>
      <vt:lpstr>Total_Build_Estimate</vt:lpstr>
      <vt:lpstr>TotalBuildEstimateJira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The Integration Programme</dc:title>
  <dc:subject/>
  <dc:creator>Søren Frejstrup Maibing</dc:creator>
  <cp:keywords/>
  <dc:description/>
  <cp:lastModifiedBy>Nikolaj Cilleborg Haulrik</cp:lastModifiedBy>
  <cp:revision/>
  <dcterms:created xsi:type="dcterms:W3CDTF">2022-07-27T08:46:57Z</dcterms:created>
  <dcterms:modified xsi:type="dcterms:W3CDTF">2026-04-22T10:45:52Z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0x010100AC085CFC53BC46CEA2EADE194AD9D482006341B35FDD123A4095A797C951A03E48</vt:lpwstr>
  </property>
  <property fmtid="{D5CDD505-2E9C-101B-9397-08002B2CF9AE}" pid="3" name="CCMIsSharedOnOneDrive">
    <vt:bool>false</vt:bool>
  </property>
  <property fmtid="{D5CDD505-2E9C-101B-9397-08002B2CF9AE}" pid="4" name="xd_Signature">
    <vt:bool>false</vt:bool>
  </property>
  <property fmtid="{D5CDD505-2E9C-101B-9397-08002B2CF9AE}" pid="5" name="CCMPostListPublishStatus">
    <vt:lpwstr>Afventer godkendelse</vt:lpwstr>
  </property>
  <property fmtid="{D5CDD505-2E9C-101B-9397-08002B2CF9AE}" pid="6" name="CCMOneDriveID">
    <vt:lpwstr/>
  </property>
  <property fmtid="{D5CDD505-2E9C-101B-9397-08002B2CF9AE}" pid="7" name="CCMMustBeOnPostList">
    <vt:bool>true</vt:bool>
  </property>
  <property fmtid="{D5CDD505-2E9C-101B-9397-08002B2CF9AE}" pid="8" name="CCMOneDriveOwnerID">
    <vt:lpwstr/>
  </property>
  <property fmtid="{D5CDD505-2E9C-101B-9397-08002B2CF9AE}" pid="9" name="CCMOneDriveItemID">
    <vt:lpwstr/>
  </property>
  <property fmtid="{D5CDD505-2E9C-101B-9397-08002B2CF9AE}" pid="10" name="CCMCommunication">
    <vt:lpwstr/>
  </property>
  <property fmtid="{D5CDD505-2E9C-101B-9397-08002B2CF9AE}" pid="11" name="CCMSystem">
    <vt:lpwstr> </vt:lpwstr>
  </property>
  <property fmtid="{D5CDD505-2E9C-101B-9397-08002B2CF9AE}" pid="12" name="TemplateUrl">
    <vt:lpwstr/>
  </property>
  <property fmtid="{D5CDD505-2E9C-101B-9397-08002B2CF9AE}" pid="13" name="CCMIsChildDocumentSet">
    <vt:bool>false</vt:bool>
  </property>
</Properties>
</file>