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source\SOLON\server\projects\Nikolajs_project\AI Context\"/>
    </mc:Choice>
  </mc:AlternateContent>
  <xr:revisionPtr revIDLastSave="0" documentId="13_ncr:1_{DAEC2715-96A6-4ED6-9604-F389DF97F84F}" xr6:coauthVersionLast="47" xr6:coauthVersionMax="47" xr10:uidLastSave="{00000000-0000-0000-0000-000000000000}"/>
  <bookViews>
    <workbookView xWindow="-120" yWindow="-120" windowWidth="51840" windowHeight="21120" xr2:uid="{50D40065-A192-46A7-B8D1-EE12B0D4BE09}"/>
  </bookViews>
  <sheets>
    <sheet name="PI28" sheetId="11" r:id="rId1"/>
  </sheets>
  <externalReferences>
    <externalReference r:id="rId2"/>
  </externalReferences>
  <definedNames>
    <definedName name="AvgWeeklyHours">8*5</definedName>
    <definedName name="CalculatedContingency">'[1]Est hrs calc'!$E$21</definedName>
    <definedName name="CalculatedManagement">'[1]Est hrs calc'!$E$23</definedName>
    <definedName name="CalculatedOther">'[1]Est hrs calc'!$E$24</definedName>
    <definedName name="Contingency">'[1]Est hrs calc'!$E$21</definedName>
    <definedName name="Contingency_Factor">'[1]Est hrs calc'!$B$21</definedName>
    <definedName name="ManagementNumberOfWeeks">[1]Management!$B$5</definedName>
    <definedName name="SOLON_BuildFactor">[1]!Estimate_Factors[[#Totals],[Actual factor]]</definedName>
    <definedName name="Total_Build_Estimate">'[1]Product Backlog (input)'!$K$1</definedName>
    <definedName name="TotalBuildEstimateJir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4" i="11" l="1"/>
  <c r="E102" i="11"/>
  <c r="E101" i="11"/>
  <c r="E100" i="11"/>
  <c r="E104" i="11" s="1"/>
  <c r="E93" i="11"/>
  <c r="E92" i="11"/>
  <c r="E91" i="11"/>
  <c r="E95" i="11" s="1"/>
  <c r="B95" i="11"/>
  <c r="C85" i="11"/>
  <c r="E85" i="11" s="1"/>
  <c r="C84" i="11"/>
  <c r="E84" i="11" s="1"/>
  <c r="E87" i="11" s="1"/>
  <c r="B76" i="11"/>
  <c r="C87"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8E9C68-F0E0-409E-98EE-34ED8825BC30}" keepAlive="1" name="Query - Enriched Jira Features" description="Connection to the 'Enriched Jira Features' query in the workbook." type="5" refreshedVersion="0" background="1">
    <dbPr connection="Provider=Microsoft.Mashup.OleDb.1;Data Source=$Workbook$;Location=&quot;Enriched Jira Features&quot;;Extended Properties=&quot;&quot;" command="SELECT * FROM [Enriched Jira Features]"/>
  </connection>
  <connection id="2" xr16:uid="{45B15843-3246-4E62-8FDD-644234DF7ED9}" keepAlive="1" name="Query - Enriched Jira Features (2)" description="Connection to the 'Enriched Jira Features (2)' query in the workbook." type="5" refreshedVersion="0" background="1">
    <dbPr connection="Provider=Microsoft.Mashup.OleDb.1;Data Source=$Workbook$;Location=&quot;Enriched Jira Features (2)&quot;;Extended Properties=&quot;&quot;" command="SELECT * FROM [Enriched Jira Features (2)]"/>
  </connection>
  <connection id="3" xr16:uid="{B4579473-56CB-4695-AD9A-5779A1741481}" keepAlive="1" name="Query - Enriched Jira Features (3)" description="Connection to the 'Enriched Jira Features (3)' query in the workbook." type="5" refreshedVersion="0" background="1">
    <dbPr connection="Provider=Microsoft.Mashup.OleDb.1;Data Source=$Workbook$;Location=&quot;Enriched Jira Features (3)&quot;;Extended Properties=&quot;&quot;" command="SELECT * FROM [Enriched Jira Features (3)]"/>
  </connection>
  <connection id="4" xr16:uid="{03173FBA-99DC-40F7-9B9A-75DB5E4E0536}" keepAlive="1" name="Query - Enriched Jira Features (4)" description="Connection to the 'Enriched Jira Features (4)' query in the workbook." type="5" refreshedVersion="0" background="1">
    <dbPr connection="Provider=Microsoft.Mashup.OleDb.1;Data Source=$Workbook$;Location=&quot;Enriched Jira Features (4)&quot;;Extended Properties=&quot;&quot;" command="SELECT * FROM [Enriched Jira Features (4)]"/>
  </connection>
  <connection id="5" xr16:uid="{C31282F7-E46F-4A7F-85DF-35642ED99031}" keepAlive="1" name="Query - Enriched Jira Features (5)" description="Connection to the 'Enriched Jira Features (5)' query in the workbook." type="5" refreshedVersion="0" background="1">
    <dbPr connection="Provider=Microsoft.Mashup.OleDb.1;Data Source=$Workbook$;Location=&quot;Enriched Jira Features (5)&quot;;Extended Properties=&quot;&quot;" command="SELECT * FROM [Enriched Jira Features (5)]"/>
  </connection>
  <connection id="6" xr16:uid="{D9C0269A-43E5-411C-880C-A1196F340311}" keepAlive="1" name="Query - Enriched Jira Features (6)" description="Connection to the 'Enriched Jira Features (6)' query in the workbook." type="5" refreshedVersion="0" background="1">
    <dbPr connection="Provider=Microsoft.Mashup.OleDb.1;Data Source=$Workbook$;Location=&quot;Enriched Jira Features (6)&quot;;Extended Properties=&quot;&quot;" command="SELECT * FROM [Enriched Jira Features (6)]"/>
  </connection>
  <connection id="7" xr16:uid="{CF08879B-970A-45C1-BC95-953FE0D01683}" keepAlive="1" name="Query - EstimateFactors" description="Connection to the 'EstimateFactors' query in the workbook." type="5" refreshedVersion="0" background="1">
    <dbPr connection="Provider=Microsoft.Mashup.OleDb.1;Data Source=$Workbook$;Location=EstimateFactors;Extended Properties=&quot;&quot;" command="SELECT * FROM [EstimateFactors]"/>
  </connection>
  <connection id="8" xr16:uid="{32ABD552-4824-4F51-B8CF-46420CE9565E}" keepAlive="1" name="Query - EstimateFactors (2)" description="Connection to the 'EstimateFactors (2)' query in the workbook." type="5" refreshedVersion="0" background="1">
    <dbPr connection="Provider=Microsoft.Mashup.OleDb.1;Data Source=$Workbook$;Location=&quot;EstimateFactors (2)&quot;;Extended Properties=&quot;&quot;" command="SELECT * FROM [EstimateFactors (2)]"/>
  </connection>
  <connection id="9" xr16:uid="{F40382BC-8C9E-46E2-9F84-530DB02B415A}" keepAlive="1" name="Query - EstimateFactors (3)" description="Connection to the 'EstimateFactors (3)' query in the workbook." type="5" refreshedVersion="0" background="1">
    <dbPr connection="Provider=Microsoft.Mashup.OleDb.1;Data Source=$Workbook$;Location=&quot;EstimateFactors (3)&quot;;Extended Properties=&quot;&quot;" command="SELECT * FROM [EstimateFactors (3)]"/>
  </connection>
  <connection id="10" xr16:uid="{47219011-2D4B-4D35-A088-E5503E480F5B}" keepAlive="1" name="Query - EstimateFactors (4)" description="Connection to the 'EstimateFactors (4)' query in the workbook." type="5" refreshedVersion="0" background="1">
    <dbPr connection="Provider=Microsoft.Mashup.OleDb.1;Data Source=$Workbook$;Location=&quot;EstimateFactors (4)&quot;;Extended Properties=&quot;&quot;" command="SELECT * FROM [EstimateFactors (4)]"/>
  </connection>
  <connection id="11" xr16:uid="{8F24C02D-C04D-414C-9A0E-CDEC1EAF1CA5}" keepAlive="1" name="Query - EstimateFactors (5)" description="Connection to the 'EstimateFactors (5)' query in the workbook." type="5" refreshedVersion="0" background="1">
    <dbPr connection="Provider=Microsoft.Mashup.OleDb.1;Data Source=$Workbook$;Location=&quot;EstimateFactors (5)&quot;;Extended Properties=&quot;&quot;" command="SELECT * FROM [EstimateFactors (5)]"/>
  </connection>
  <connection id="12" xr16:uid="{B293DBDE-D4B2-4B0E-856E-C710F0C52DF4}" keepAlive="1" name="Query - EstimateFactors (6)" description="Connection to the 'EstimateFactors (6)' query in the workbook." type="5" refreshedVersion="0" background="1">
    <dbPr connection="Provider=Microsoft.Mashup.OleDb.1;Data Source=$Workbook$;Location=&quot;EstimateFactors (6)&quot;;Extended Properties=&quot;&quot;" command="SELECT * FROM [EstimateFactors (6)]"/>
  </connection>
  <connection id="13" xr16:uid="{3C5DEEF1-6821-4ADC-A662-3742EACA7751}" keepAlive="1" name="Query - GetEpics" description="Connection to the 'GetEpics' query in the workbook." type="5" refreshedVersion="0" background="1">
    <dbPr connection="Provider=Microsoft.Mashup.OleDb.1;Data Source=$Workbook$;Location=GetEpics;Extended Properties=&quot;&quot;" command="SELECT * FROM [GetEpics]"/>
  </connection>
  <connection id="14" xr16:uid="{06E8FC59-F9FC-4A47-8817-A45AE78E3E48}" keepAlive="1" name="Query - GetEpics (2)" description="Connection to the 'GetEpics (2)' query in the workbook." type="5" refreshedVersion="0" background="1">
    <dbPr connection="Provider=Microsoft.Mashup.OleDb.1;Data Source=$Workbook$;Location=&quot;GetEpics (2)&quot;;Extended Properties=&quot;&quot;" command="SELECT * FROM [GetEpics (2)]"/>
  </connection>
  <connection id="15" xr16:uid="{8A29E1A2-ABCB-4AE4-A408-5BC51A93CB28}" keepAlive="1" name="Query - GetEpics (3)" description="Connection to the 'GetEpics (3)' query in the workbook." type="5" refreshedVersion="0" background="1">
    <dbPr connection="Provider=Microsoft.Mashup.OleDb.1;Data Source=$Workbook$;Location=&quot;GetEpics (3)&quot;;Extended Properties=&quot;&quot;" command="SELECT * FROM [GetEpics (3)]"/>
  </connection>
  <connection id="16" xr16:uid="{EDB94BEB-371B-4288-8B42-8EF2AF181DE3}" keepAlive="1" name="Query - GetEpics (4)" description="Connection to the 'GetEpics (4)' query in the workbook." type="5" refreshedVersion="0" background="1">
    <dbPr connection="Provider=Microsoft.Mashup.OleDb.1;Data Source=$Workbook$;Location=&quot;GetEpics (4)&quot;;Extended Properties=&quot;&quot;" command="SELECT * FROM [GetEpics (4)]"/>
  </connection>
  <connection id="17" xr16:uid="{CBBD6338-A9B3-4893-B710-0F0F291B9680}" keepAlive="1" name="Query - GetEpics (5)" description="Connection to the 'GetEpics (5)' query in the workbook." type="5" refreshedVersion="0" background="1">
    <dbPr connection="Provider=Microsoft.Mashup.OleDb.1;Data Source=$Workbook$;Location=&quot;GetEpics (5)&quot;;Extended Properties=&quot;&quot;" command="SELECT * FROM [GetEpics (5)]"/>
  </connection>
  <connection id="18" xr16:uid="{2F33DA03-E9DA-4E1E-9BAD-7FE407228501}" keepAlive="1" name="Query - GetEpics (6)" description="Connection to the 'GetEpics (6)' query in the workbook." type="5" refreshedVersion="0" background="1">
    <dbPr connection="Provider=Microsoft.Mashup.OleDb.1;Data Source=$Workbook$;Location=&quot;GetEpics (6)&quot;;Extended Properties=&quot;&quot;" command="SELECT * FROM [GetEpics (6)]"/>
  </connection>
  <connection id="19" xr16:uid="{2FB10897-0E21-4EB5-A9F7-5A0BFA604CAB}" keepAlive="1" name="Query - InitiativeGroup" description="Connection to the 'InitiativeGroup' query in the workbook." type="5" refreshedVersion="0" background="1">
    <dbPr connection="Provider=Microsoft.Mashup.OleDb.1;Data Source=$Workbook$;Location=InitiativeGroup;Extended Properties=&quot;&quot;" command="SELECT * FROM [InitiativeGroup]"/>
  </connection>
  <connection id="20" xr16:uid="{F37A8A15-F995-4573-9859-9F0CAEAF080D}" keepAlive="1" name="Query - InitiativeGroup (2)" description="Connection to the 'InitiativeGroup (2)' query in the workbook." type="5" refreshedVersion="0" background="1">
    <dbPr connection="Provider=Microsoft.Mashup.OleDb.1;Data Source=$Workbook$;Location=&quot;InitiativeGroup (2)&quot;;Extended Properties=&quot;&quot;" command="SELECT * FROM [InitiativeGroup (2)]"/>
  </connection>
  <connection id="21" xr16:uid="{47CB6B87-14D4-4398-AD72-D53604D91728}" keepAlive="1" name="Query - InitiativeGroup (3)" description="Connection to the 'InitiativeGroup (3)' query in the workbook." type="5" refreshedVersion="0" background="1">
    <dbPr connection="Provider=Microsoft.Mashup.OleDb.1;Data Source=$Workbook$;Location=&quot;InitiativeGroup (3)&quot;;Extended Properties=&quot;&quot;" command="SELECT * FROM [InitiativeGroup (3)]"/>
  </connection>
  <connection id="22" xr16:uid="{DABBA918-6D4B-4109-B4EA-5CB1204E5F9A}" keepAlive="1" name="Query - InitiativeGroup (4)" description="Connection to the 'InitiativeGroup (4)' query in the workbook." type="5" refreshedVersion="0" background="1">
    <dbPr connection="Provider=Microsoft.Mashup.OleDb.1;Data Source=$Workbook$;Location=&quot;InitiativeGroup (4)&quot;;Extended Properties=&quot;&quot;" command="SELECT * FROM [InitiativeGroup (4)]"/>
  </connection>
  <connection id="23" xr16:uid="{22B9FA7D-764C-454C-87B4-AD1402FAB78A}" keepAlive="1" name="Query - InitiativeGroup (5)" description="Connection to the 'InitiativeGroup (5)' query in the workbook." type="5" refreshedVersion="0" background="1">
    <dbPr connection="Provider=Microsoft.Mashup.OleDb.1;Data Source=$Workbook$;Location=&quot;InitiativeGroup (5)&quot;;Extended Properties=&quot;&quot;" command="SELECT * FROM [InitiativeGroup (5)]"/>
  </connection>
  <connection id="24" xr16:uid="{C2C09522-C938-4463-84D0-B56363F91907}" keepAlive="1" name="Query - InitiativeGroup (6)" description="Connection to the 'InitiativeGroup (6)' query in the workbook." type="5" refreshedVersion="0" background="1">
    <dbPr connection="Provider=Microsoft.Mashup.OleDb.1;Data Source=$Workbook$;Location=&quot;InitiativeGroup (6)&quot;;Extended Properties=&quot;&quot;" command="SELECT * FROM [InitiativeGroup (6)]"/>
  </connection>
  <connection id="25" xr16:uid="{BCCDCBB9-4A58-4C57-B8FC-FEB543AD2CA1}" keepAlive="1" name="Query - Product Backlog (Jira)" description="Connection to the 'Product Backlog (Jira)' query in the workbook." type="5" refreshedVersion="8" background="1" saveData="1">
    <dbPr connection="Provider=Microsoft.Mashup.OleDb.1;Data Source=$Workbook$;Location=&quot;Product Backlog (Jira)&quot;;Extended Properties=&quot;&quot;" command="SELECT * FROM [Product Backlog (Jira)]"/>
  </connection>
  <connection id="26" xr16:uid="{B5EB9E4E-F03F-45D8-A7A7-A482D2B400F2}" keepAlive="1" name="Query - Product Backlog (Jira) (3)" description="Connection to the 'Product Backlog (Jira) (3)' query in the workbook." type="5" refreshedVersion="8" background="1" saveData="1">
    <dbPr connection="Provider=Microsoft.Mashup.OleDb.1;Data Source=$Workbook$;Location=&quot;Product Backlog (Jira) (3)&quot;;Extended Properties=&quot;&quot;" command="SELECT * FROM [Product Backlog (Jira) (3)]"/>
  </connection>
  <connection id="27" xr16:uid="{452F25C1-FDC0-4F4D-8212-70C634A73BD6}" keepAlive="1" name="Query - Product Backlog (Jira) (4)" description="Connection to the 'Product Backlog (Jira) (4)' query in the workbook." type="5" refreshedVersion="8" background="1" saveData="1">
    <dbPr connection="Provider=Microsoft.Mashup.OleDb.1;Data Source=$Workbook$;Location=&quot;Product Backlog (Jira) (4)&quot;;Extended Properties=&quot;&quot;" command="SELECT * FROM [Product Backlog (Jira) (4)]"/>
  </connection>
  <connection id="28" xr16:uid="{71CECE68-7435-43AA-A4C4-F47CB575F042}" keepAlive="1" name="Query - Product Backlog (Jira) (5)" description="Connection to the 'Product Backlog (Jira) (5)' query in the workbook." type="5" refreshedVersion="8" background="1" saveData="1">
    <dbPr connection="Provider=Microsoft.Mashup.OleDb.1;Data Source=$Workbook$;Location=&quot;Product Backlog (Jira) (5)&quot;;Extended Properties=&quot;&quot;" command="SELECT * FROM [Product Backlog (Jira) (5)]"/>
  </connection>
  <connection id="29" xr16:uid="{1045ADD4-EF0B-4C14-AF40-2B25BC499A1A}" keepAlive="1" name="Query - Product Backlog (Jira) (6)" description="Connection to the 'Product Backlog (Jira) (6)' query in the workbook." type="5" refreshedVersion="8" background="1" saveData="1">
    <dbPr connection="Provider=Microsoft.Mashup.OleDb.1;Data Source=$Workbook$;Location=&quot;Product Backlog (Jira) (6)&quot;;Extended Properties=&quot;&quot;" command="SELECT * FROM [Product Backlog (Jira) (6)]"/>
  </connection>
  <connection id="30" xr16:uid="{2C796F9E-4CA1-4CED-8753-3BBCEF35ECB5}" keepAlive="1" name="Query - Product Backlog (Jira) (7)" description="Connection to the 'Product Backlog (Jira) (7)' query in the workbook." type="5" refreshedVersion="8" background="1" saveData="1">
    <dbPr connection="Provider=Microsoft.Mashup.OleDb.1;Data Source=$Workbook$;Location=&quot;Product Backlog (Jira) (7)&quot;;Extended Properties=&quot;&quot;" command="SELECT * FROM [Product Backlog (Jira) (7)]"/>
  </connection>
</connections>
</file>

<file path=xl/sharedStrings.xml><?xml version="1.0" encoding="utf-8"?>
<sst xmlns="http://schemas.openxmlformats.org/spreadsheetml/2006/main" count="697" uniqueCount="326">
  <si>
    <t>Status</t>
  </si>
  <si>
    <t>Requester</t>
  </si>
  <si>
    <t>Priority</t>
  </si>
  <si>
    <t>Enriched Jira Features.Description</t>
  </si>
  <si>
    <t>Enriched Jira Features.Benefit Hypothesis</t>
  </si>
  <si>
    <t>To Do</t>
  </si>
  <si>
    <t>Other</t>
  </si>
  <si>
    <t>p1</t>
  </si>
  <si>
    <t>Waiting Analysis Approval</t>
  </si>
  <si>
    <t>GRC</t>
  </si>
  <si>
    <t>-</t>
  </si>
  <si>
    <t>CORE REVENUE MANAGEMENT CAPABILITIES</t>
  </si>
  <si>
    <t>Under Analysis</t>
  </si>
  <si>
    <t>HLD</t>
  </si>
  <si>
    <t>Enable financial events logging under Org units and Claimants</t>
  </si>
  <si>
    <t>p2</t>
  </si>
  <si>
    <t>Support Tax Account Overview Page in the Single Taxpayer Overview</t>
  </si>
  <si>
    <t>GTM</t>
  </si>
  <si>
    <t>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
_x000D_
*Introduction*_x000D_
_x000D_
This feature describes the functional business requirements for a new single taxpayer overview page within Solon Tax, named the "Tax Account Overview".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
_x000D_
The purpose of this page is to provide a consolidated view of all Financial Transactions (FTs) associated with a specific reconciliation period for a taxpayer's Tax Account._x000D_
_x000D_
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
_x000D_
As a reference countries that "Tax Account" is most prevalent in Europe, particularly in Scandinavia and the Nordics, which are global leaders in e-government. _x000D_
_x000D_
Currently implementation exists for the "Single Taxpayer Overview" pages, often refered to as 360 View, where a "Taxpayer Financial Overview" exists and can be used as reference. Particularly the last accordion of this page referred as " Financial Details per Financial Transaction". This is a page where all financial transactions for all revenue types are displayed and not only Tax Account that is the scope of this feature. _x000D_
_x000D_
*Functional Requirements*_x000D_
h4. Navigation_x000D_
_x000D_
A new redirect link shall be introduced on the *Revenue Type Registration (RTR)* page._x000D_
 * This link shall only be visible for RTRs that are configured as a "Tax Account" (i.e., where the {{isTaxAccount}} flag on the associated Revenue Type is true)._x000D_
 * The link will navigate the user to the new "Tax Account Overview" page, passing the context of the current RTR and the selected reconciliation period._x000D_
 * Assumption is that the existing link from the party role will continue to function as is with the additional view in scope of this feature for the Tax Account. _x000D_
_x000D_
h4. Page Content and Layout_x000D_
_x000D_
The "Tax Account Overview" page will contain the following elements:_x000D_
 * *Filters:* User should be able to filter the following information:_x000D_
_x000D_
 * _x000D_
 ** Reconciliation Period Filter_x000D_
 ** From: 01/01/2026 _x000D_
 ** To: 31/01/2026 or To: 31/03/2026, meaning more than one reconciliation periods can be selected. _x000D_
_x000D_
 _x000D_
 * *"Update P&amp;I" Button:* User should be able to see and select the "Update P&amp;I" button where he/she can enter the "RECALCULATEFROMDATE" to run Penalty &amp; Interest. _x000D_
_x000D_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
_x000D_
Opening Balance of a period should be equal to the closing balance of the previous period. Opening balance should be the running balance of all financial transactions prior to date from selected in the filters. _x000D_
_x000D_
Closing Balance of a period is the running balance and should be equal to the Opening of that period plus any financial transaction related to that period such as debts, payments (both allocated and unallocated), interests, write offs, refunds... _x000D_
_x000D_
Available Columns (data) for FTs should be:  _x000D_
 * Creation Date_x000D_
 * Effective Date (eg. Period Reference - Period the debt/payment refers to)_x000D_
 * Accounting Date _x000D_
 * Origin _x000D_
 * FT ID_x000D_
 * Revenue Type _x000D_
 * FT Type _x000D_
 * Posting Reason_x000D_
 * Liability Balance _x000D_
 * Running Balance_x000D_
_x000D_
Please refer to the attached example_updated for a comprehensive view of the Tax Account Overview page._x000D_
h3. Assumptions &amp; Dependencies_x000D_
 * The Revenue Type entity has a configurable attribute to designate it as a "Tax Account."_x000D_
 * The Financial Transaction entity has an attribute ({{{}reconciliationPeriodCode{}}}) to link it to a specific Reconciliation Period._x000D_
_x000D_
*Key features highlighted in this view:*_x000D_
 * *Opening Balance:* The view starts with the "Opening Balance" showing the tax account's debt from before the selected period._x000D_
 * *Running Balance:* A column shows the balance after every single transaction, which is crucial for analysis._x000D_
 * *Detailed Descriptions:* Transactions are clearly labeled (e.g., "Payroll Tax Assessment," "Payment Received")._x000D_
 * *Period Reference:* A column links a transaction back to the original tax period it relates to (e.g., Q4-2025), which is vital for an officer's investigation._x000D_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More over related to performance the team is expected to provide a solution on how the opening balance will be retrieved considering all past debts. Note that past debts may be related to periods, that may differ per revenue authority, for the last 10 years for example. </t>
  </si>
  <si>
    <t>This will provide Revenue Authority users with a clear, consolidated view of all financial activities within a specific reconciliation period for a taxpayer's Tax Account, improving efficiency and accuracy.</t>
  </si>
  <si>
    <t>TBD</t>
  </si>
  <si>
    <t>NON-FUNCTIONAL REQUIREMENT COVERAGE</t>
  </si>
  <si>
    <t>Accessibility Improvements - ATH (Current PI28)</t>
  </si>
  <si>
    <t>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
_x000D_
Enabler includes effort for UI/UX Accessibility Audit activities.</t>
  </si>
  <si>
    <t>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t>
  </si>
  <si>
    <t>Accessibility Improvements - SPA (Current PI28)</t>
  </si>
  <si>
    <t>Accessibility Improvements - DAID (Current PI28)</t>
  </si>
  <si>
    <t>UI/UX Improvements: Design specifics</t>
  </si>
  <si>
    <t>Design specifics</t>
  </si>
  <si>
    <t>UI/UX Improvements: Improve Table with extra messages</t>
  </si>
  <si>
    <t>Improve Table with extra messages to cover 'No results' or 'Cannot apply search due to restrictions. Select more filters'</t>
  </si>
  <si>
    <t>UX improvements_x000D_
Clear messages to the user</t>
  </si>
  <si>
    <t>UI/UX Improvements: Search Panels - Reusable in all screens</t>
  </si>
  <si>
    <t>In Design</t>
  </si>
  <si>
    <t>Implement top, bottom search panel as per Figma design._x000D_
Implement new title and Add button position</t>
  </si>
  <si>
    <t>Better user experience</t>
  </si>
  <si>
    <t>UI/UX Improvements: FE extra functionalities - Generic</t>
  </si>
  <si>
    <t xml:space="preserve">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
When this type has been configured, the filters are shown on top of the table and so the original search button ( !screenshot-1.png|thumbnail! ) should not exist._x000D_
_x000D_
2. Add expand all / Collapse all buttons to the top level panel. The buttons should expand all cards simultaneously or collapse them all. </t>
  </si>
  <si>
    <t>Extra configurability option to cover more project related needs._x000D_
UX friendly design</t>
  </si>
  <si>
    <t>UI/UX Improvements - Schema Changes</t>
  </si>
  <si>
    <t>Reference Data - Implement Enhanced Caching for Reference Data Microservice</t>
  </si>
  <si>
    <t>Waiting Solution Approval</t>
  </si>
  <si>
    <t>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
_x000D_
Requirements: _x000D_
 * Implement a caching layer in the Reference data microservice._x000D_
 * Eliminate redundant DB queries for static datasets._x000D_
 * Cache should persist unless a "data changed" event or manual refresh is triggered._x000D_
_x000D_
 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</si>
  <si>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Performance issues to be improved. _x000D_
We’ve identified a significant performance bottleneck in the Reference Data Microservice affecting both UI responsiveness and BPMN throughput. Because this data is largely static, we are proposing the implementation of a caching layer. This will prevent unnecessary database round-trips and provide the high-speed responses required for revenue administration tasks.</t>
  </si>
  <si>
    <t>Performance improvements (Current PI28)</t>
  </si>
  <si>
    <t>As an ICARUS team member and/or user, I want the application to have a good performance, so that I can do my work without hassle and the system be able to process the actions of all users.</t>
  </si>
  <si>
    <t>CORE SELF SERVICE CAPABILITIES</t>
  </si>
  <si>
    <t>If the system captures and stores metadata such as Source System, Purpose, Created Datetime, and Last Modified Datetime for agreements, agreement services, user rights, party role relationships, and other representation-defining records, then administrators will gain full visibility into how and where representations were defined, resulting in improved traceability, stronger auditability, better integration governance, and faster issue resolution.</t>
  </si>
  <si>
    <t>Data Security - Restrict Access to Personal Data GDPR- Admin (based on data classifications) - Part 3/4</t>
  </si>
  <si>
    <t>As an admin, I want to restrict access to sensitive personal data types in logs that are visible by users, so that only users that have a legitimate reason to access this data are granted access and unauthorized access to this data is prevented._x000D_
_x000D_
 _x000D_
_x000D_
*Functional Requirements*_x000D_
_x000D_
 _x000D_
 * {color:#172b4d}Admin should be able to remove (masking or removing record visibility)  access of records based on classification levels, from logs: {color}_x000D_
 ** {color:#172b4d}Security (if non the debug level) {color}_x000D_
 ** {color:#172b4d}Audit, {color}_x000D_
 ** {color:#172b4d}Access logs_x000D_
_x000D_
{color}{color:#172b4d}Exceptions{color}_x000D_
 ** {color:#172b4d}As per analysis of IRM-29512 - Audit logging/Access log Holistic approach,  on details collected of A document _x000D_
"Major    The enrichment of log data (REQ-003) and extensibility (REQ-004) directly address security requirements. However, this introduces a major risk of logging sensitive data that requires the delivery teams to carefully analyze and implement custom logging elements." _x000D_
Audit log sensitive data should be managed. {color}_x000D_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</si>
  <si>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Data Security - Define Access per user access group per classification level - Part 2/4</t>
  </si>
  <si>
    <t>As a revenue authority admin I need to be able to define the permissions per classification level per user access groups, as I need to govern the functionality of [https://jira.intrasoft-intl.com/browse/IRM-20329] _x000D_
_x000D_
 _x000D_
_x000D_
*Functional Requirements*_x000D_
_x000D_
 _x000D_
 * {color:#172b4d}Define Classification permissions per user User Access Group_x000D_
Admin may define per user access group and classification level (Sensitive, Personal , etc.) the permission levels{color}_x000D_
 * {color:#172b4d}Example: {color}_x000D_
||User Access Group||Classification Level||Permissions|| Mode ||_x000D_
|RegistryOfficers|Sensitive|Read, Search, Update| Masked|_x000D_
|IT|Personal|None|non visible|_x000D_
|Admin|Sensitive|ALL| |_x000D_
_x000D_
 * UI should be available in RM for admin to define these permissions.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</si>
  <si>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CORE SUPPORTING CAPABILITIES</t>
  </si>
  <si>
    <t>UI/UX Improvements : Prefilling a field in a form based on the value of another field</t>
  </si>
  <si>
    <t>As a user I need when a codelist is mandatory and only one item is available and no default value , system to autofill the existing value. _x000D_
_x000D_
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
_x000D_
As a configurator I need to be able to set in the codelists an optional to be used  attribute , that may instruct  the prefill  of codelist item value in this codelists, if one value is available based on filters._x000D_
_x000D_
*Functional requirements*_x000D_
_x000D_
Configurator may set in codelist fields an optionally used attribute/metadato , e.g. "AutofillIfUnique"_x000D_
which attribute will enable in UI the autofill of value in codelist, when only one  codelist item value is available based on filters and related codelist items._x000D_
 * Examples/ Cases : _x000D_
 ** +Mandatory items case+_x000D_
In a Mandatory Codelist "C3"  , Non default value is defined _x000D_
The only available value is the "C Value" _x000D_
When use this field in forms, autoselect and prefil "C Value". _x000D_
 ** +Related codelist items case+_x000D_
Codelist "C1 parent"  ,  Values A1, A2 _x000D_
Codelist "C2 child"  ,  Values B1, B2 , B3_x000D_
Relations : _x000D_
C1 parent  -&gt; A1 with  C2 child -&gt; B2 (ONLY) _x000D_
user selects A1 _x000D_
Autoselect and prefil B2  value in C2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</si>
  <si>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 xml:space="preserve"> UI/UX Improvements : Search and navigation :  Header Bar Improvements</t>
  </si>
  <si>
    <t> _x000D_
_x000D_
As a RM user, I need clear, intuitive access to keyboard and language shortcuts, profile information, and search so that my profile preferences are respected and interface shortcuts are logically placed._x000D_
_x000D_
 _x000D_
_x000D_
 </t>
  </si>
  <si>
    <t>UI/UX Improvements : Interaction friction - View and Edit buttons distiction</t>
  </si>
  <si>
    <t>As a RM user, I need to be able to clearly distinct if I click to open the record to view or to edit.  _x000D_
_x000D_
*Background*_x000D_
In current version, there is no clear distinction between “view” and “edit” states. Increase the likelihood of unintended changes._x000D_
We need to enable customers to preview records, and if needed perform actions on them.  _x000D_
To succeed that the record pages should be available in 2 stages : View and Edit. _x000D_
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</si>
  <si>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Forms : Be able to log details for the submitter of the form /RM &amp;SS</t>
  </si>
  <si>
    <t>As an Administrator, I need the ability to record the user responsible for creating and submitting a form, as in many cases this user may not be the same as the Party associated with the form._x000D_
_x000D_
 _x000D_
_x000D_
 _x000D_
_x000D_
*Functional Requirements* _x000D_
_x000D_
*a)* Optional fields in Form metadata_x000D_
*Created By* : Reference to a Party Role ID representing the user who created the form_x000D_
*Posted By* : Reference to a Party Role ID representing the user who submitted/posted the form_x000D_
*External System Created Date/Time* (external_created_dttm) :Timestamp indicating when the form was created in an external system (similar to the Party record field)_x000D_
_x000D_
*b)* user may search forms using the above fields._x000D_
_x000D_
*c)* Enable user-define-characteristics (Data Area)  in forms for other metadata related items. (Data Area = Form Details)  _x000D_
Example: Import Date from external system. (Date field)_x000D_
_x000D_
*d)* Apply Notes in Forms in RM and SS _x000D_
In UI add Notes only in RM_x000D_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t>
  </si>
  <si>
    <t>By adding these fields, customers will be able to migrate efficiently their data. This functionality allows proper auditability, traceability, and operational transparency.</t>
  </si>
  <si>
    <t>Audit Log - Ability to keep Audit trail for code lists /LEFTOVER</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</si>
  <si>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In scope: _x000D_
_x000D_
Codelists_x000D_
_x000D_
 _x000D_
_x000D_
*Functional Requirements*_x000D_
1) I can display all Audit log of the related items under the live record of parent items for the areas: _x000D_
 * Reference data (under Codelists)  i.e. Codelists, Codelist items, attributes_x000D_
_x000D_
2) I can see the history under codelist for all codelist related changes as well as all codelists items related changes. _x000D_
_x000D_
 _x000D_
_x000D_
*Documentation*_x000D_
Document all the above adjustments. _x000D_
_x000D_
 _x000D_
_x000D_
*Non functional requirements*_x000D_
Performance , Security, Accessibility, DODs should be fulfilled. </t>
  </si>
  <si>
    <t>Audit Log - Ability to keep Audit trail for registration /LEFTOVER</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</si>
  <si>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_x000D_
In scope: _x000D_
*registration MS*_x000D_
_x000D_
    c_resource_calendar_related_exception_calendar_x000D_
_x000D_
 _x000D_
_x000D_
*Functional Requirements*_x000D_
1) I can display Audit logs  for Resource Calendars (Time offs, assigned calendars, , caledars details , Calendar exceptions)_x000D_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</si>
  <si>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Improve Dev Experience for local setup</t>
  </si>
  <si>
    <t>{panel:title=Task}_x000D_
Increasing the development experience. Eliminate the pain points that developers have while setting up platofrm locally. _x000D_
{panel}_x000D_
{panel:title=Current state}_x000D_
The biggest problems identified at the time of creating this enabler are:_x000D_
 * database migration - there is a 99.99% probabilty that the problems occur when running database migration scripts locally. Investigate and intoduce a solution._x000D_
 * component tests - it takes forever to rune component tests locally,_x000D_
 * lack of troubleshooting documentation,_x000D_
 * slow performance - how can the performance be improved?,_x000D_
 * local keycloak mostly not working ootb._x000D_
_x000D_
Despite above development process forces local testing (which is good). Local tests because of the above issues are very frustrating._x000D_
{panel}_x000D_
{panel:title=Solution}_x000D_
Find out the root cause of the problems. Come up with solution and implement them. Adjust/create documentation in form of Maintenance Guide O0300._x000D_
{panel}_x000D_
h3. PPD Maturity Index / Control point: Resource Utilization (local resource utilization) / Testability / Technical depth / Development and test environments</t>
  </si>
  <si>
    <t>Increasing Maturity Index.</t>
  </si>
  <si>
    <t>Green coding Programming Guidelines</t>
  </si>
  <si>
    <t>UI/UX Improvements : Search and navigation : Bars at the top of the pages</t>
  </si>
  <si>
    <t> _x000D_
_x000D_
As a user, I want the main page bar to display only relevant information, include a Save button for quick saving, and show a breadcrumbs bar under the header so that I can easily navigate and manage my work._x000D_
_x000D_
 _x000D_
_x000D_
!image-2026-03-07-23-59-16-316.png!</t>
  </si>
  <si>
    <t>UX Enhancement  ... </t>
  </si>
  <si>
    <t>Allowed Unicode characters to be used in 'Code' fields of configuration records (Excl.: Registration/Taxpayer Accounting)</t>
  </si>
  <si>
    <t>Ready for Dev</t>
  </si>
  <si>
    <t>As an admin I need to be able to use several unicode characters in code fields that can be technically allowed to be used as to explain in code in localized text the short configuration name. _x000D_
_x000D_
 _x000D_
_x000D_
*Functional Requirements* _x000D_
_x000D_
(BE &amp; UI)_x000D_
 * Defined Whitelist for "Code" fields of configuration entity types : _x000D_
*A)* A–Z, a–z, 0–9  _x000D_
*B)* - (dash), _ (underscore),. (dot)_x000D_
*C)*  Unicode characters for multilingual/localized alphabets,  e.g. ,  Greek , Swedish, Lithuanian, Spanish, Italian, French, Chinese.... _x000D_
 * Apply the validation to all Solon Tax Config entity types. If invalid characters are added validations will be thrown. 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 Some config types are completed because of the linked bugs_x000D_
 - By Sec team : Since Unicode will be supported, the validation has to be done after normalization of Unicode characters. Otherwise, special characters could still be accepted. For example ‘\u003C’ will be converted to the less than sign ‘&lt;’._x000D_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
 - Assumption : Records with Unicode Code characters are visible in UI properly, and  are searchable_x000D_
_x000D_
 </t>
  </si>
  <si>
    <t>By enabling the use of selected Unicode characters in code fields, administrators will be able to create short configuration names that are meaningful in localized contexts (e.g., Greek, Swedish, Chinese). This will:_x000D_
-Improve clarity and usability of configuration codes for non-English-speaking users._x000D_
-Reduce reliance on English-only abbreviations that may be ambiguous or misleading in local markets._x000D_
-Support Admin - Enhance adoption and accuracy by allowing admins to align configuration names with local terminology._x000D_
-Maintain system consistency and integrity by enforcing a defined whitelist of allowed characters across all Solon Tax configuration entity types.</t>
  </si>
  <si>
    <t>Record Locking - Apply logic to  Party record</t>
  </si>
  <si>
    <t>The system manages simultaneous record modifications through a  mechanism, ensuring consistent updates and providing users with confirmation on whether their commit was accepted._x000D_
_x000D_
As discussed:_x000D_
 * Data integrity is enforced via optimistic locking (version control)._x000D_
 * -UI locking is optional and only improves user experience  to reduce user conflicts. The system may implement a soft UI lock when a user enters edit mode.-_x000D_
 * Conflict handling strategy is required_x000D_
 * Retry policy for batch/BPMN is required_x000D_
_x000D_
(Notes _x000D_
 * *Optimistic locking* : no long-lived DB lock. Conflict detected when commit_x000D_
_x000D_
 * *Pessimistic locking* : record locked during editing_x000D_
) _x000D_
_x000D_
*Suggestion*_x000D_
_x000D_
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
_x000D_
The system shall verify that the *submitted version matches the current version* in the database._x000D_
_x000D_
{*}Mismatch{*}:_x000D_
 * The transaction is {*}rejected{*}. A message appears in Ui or an exception if thrown (for the caller)  explaining the concurrency conflict error._x000D_
{*}Message{*}: “This record was modified by another user. Please reload and review the latest data.”_x000D_
_x000D_
 * UI:  User must reload the record _x000D_
 * UI :  User may reapply changes and retry._x000D_
_x000D_
 * Batch / BPMN : Retry policy updates  (with a number of attends)_x000D_
 * Batch / BPMN : Reload latest version? _x000D_
 * Batch / BPMN : Log exception_x000D_
_x000D_
*Release mismatch*_x000D_
 * The user commits changes_x000D_
_x000D_
 * The user cancels editing_x000D_
_x000D_
 * The session times out  or by a configurable defined time out _x000D_
_x000D_
*Considerations:* _x000D_
Party record may be updated by more than one Forms and a batch process the same time.  (example: A form to update address and meanwhile an older action because of an asynchronous process or a bpmn waiting for an signal to continue to the next step) to update ID was proceeded) _x000D_
How long UI lock is valid? Could this version locked may be renewable after a refresh, cancelation, time  etc? _x000D_
What happens on browser crash?_x000D_
_x000D_
 _x000D_
_x000D_
!image-2026-02-17-14-08-31-993.png|width=929,height=477!!image-2026-02-17-14-09-26-503.png!_x000D_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</si>
  <si>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Representations : Ability to define and manage Representations in RM (affecting SS users)</t>
  </si>
  <si>
    <t>As an RM user with specific rights or admin, I need to be able to define and manage representations in RM system. _x000D_
The internal tax-authority user must be able to manage the authorizations of the taxpayers. The provided functionality is the same as the one provided in the Self Service portal, with the addition of the possibility to select a Taxpayer to manage._x000D_
_x000D_
*{color:#ff8b00}CHECK ! Review the LT branch for any implemented functionalities that can be merged into the product.{color}*_x000D_
_x000D_
 _x000D_
_x000D_
*Background*_x000D_
Representation = authorization granted by a taxpayer to a representative to act on their behalf for specific services and within a defined validity period._x000D_
_x000D_
*Functional requirements*_x000D_
_x000D_
*Basics:* _x000D_
_x000D_
List of representations available in RM for permitted users to create and manage_x000D_
 * Users with permissions may search for existing representations in a list of SS representations in RM_x000D_
 ** _x000D_
 *** Agreement : From user_x000D_
 *** Agreement : To user_x000D_
 *** Agreement : Start , End date_x000D_
 *** Agreement : Last modified date_x000D_
 *** Agreement : Source system_x000D_
 *** Agreement : Agreement_x000D_
 *** Agreement : Status _x000D_
 *** Agreement : Status Reason  from [https://jira.intrasoft-intl.com/browse/IRM-36665]  _x000D_
 *** other from [https://jira.intrasoft-intl.com/browse/IRM-36665]   , [https://jira.intrasoft-intl.com/browse/IRM-39135] _x000D_
    Agreement :"Purpose" (as in other cases in system) , _x000D_
    Agreement :"External created datetime" (as in parties)_x000D_
    Agreement :"Requested by External system"_x000D_
 *** Agreement service : service_x000D_
 *** Agreement service :  Start , End date_x000D_
 *** Agreement service :  Last modified date_x000D_
 * Lifecycle as in  [https://jira.intrasoft-intl.com/browse/IRM-36665] _x000D_
 * Users with permissions may create representations in RM (via form or RM record)_x000D_
 ** _x000D_
 *** Agreement : select the users _x000D_
From  (Taxpayer)_x000D_
To       (Representative)_x000D_
 *** Agreement : Select period_x000D_
Start_x000D_
End_x000D_
 *** Source should be set as RM system_x000D_
 *** Agreement : Agreement_x000D_
 *** Agreement service : see the list of all services (along with descriptions and included rights) and be able to select the services along the  Start , End date of each_x000D_
 *** Other fields from _x000D_
 *** other from [https://jira.intrasoft-intl.com/browse/IRM-36665]  _x000D_
_x000D_
{*}Validatio{*}{*}ns{*}_x000D_
 * Be able to define and validations with configured parameters as in .[https://jira.intrasoft-intl.com/browse/IRM-32343] _x000D_
_x000D_
*Levels*_x000D_
 * Levels of hierarchy ability to define and display as in [https://jira.intrasoft-intl.com/browse/IRM-36665]  _x000D_
_x000D_
*Functionality*_x000D_
 * Automated expiration enforcement: Deactivation or permissions/representations when End DateTime expires._x000D_
 * Sync RM/SS happens real time_x000D_
_x000D_
*Records Locking*_x000D_
 * When edited in SS record cannot be edited in RM.  (as per Solon locking functionality - if not yet implemented you may split in a different feature)_x000D_
Prevent conflicting or overlapping delegations (or require explicit override)._x000D_
_x000D_
*Notification* _x000D_
 * When saving new representation or updated representation a notification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*Versioning*_x000D_
 * Changes should be logged in Audit log._x000D_
_x000D_
 _x000D_
_x000D_
*Permissions*_x000D_
 * Admin may assign specific permissions to users that can create/update agreements._x000D_
 * Restriction: Only users with “Representation Management” role can create/update._x000D_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</si>
  <si>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RM users with appropriate permissions can centrally define, manage, and audit taxpayer representations for SS within the RM system, then the tax authority will gain stronger control, transparency, and governance over delegated authorizations, resulting in improved compliance oversight, reduced fraud risk, and more efficient case handling.</t>
  </si>
  <si>
    <t xml:space="preserve">Representations : (A) Enhancements, configurability and permissions in Agreements (2ways,multilevels)  /RM &amp; SS  </t>
  </si>
  <si>
    <t>As an admin user, _x000D_
I need to capture the status, source system and integration time of representations defined as to be able to know how the representations were created._x000D_
Representations are 2-ways authorized. _x000D_
Representations are multilevels_x000D_
A lifecycle should be defined to representations forms as to be able to temporally saved, validated and revoked. 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[https://jira.intrasoft-intl.com/browse/IRM-32538]   {color}{color:#172b4d}(data areas and support external systems as in LT branch)_x000D_
Delegations enhancements in [https://jira.intrasoft-intl.com/browse/IRM-38408] {color}_x000D_
_x000D_
The purpose of this feature is to validate the current implementation based on new requirements and make small adjustments. _x000D_
_x000D_
{color:#172b4d}In this feature will name: _x000D_
*Requester*            : The user asking someone else to represent them_x000D_
*Representative*    : The user who may act on behalf of the requester. This user may also ask to be represented.  _x000D_
2-ways: Both may be initiate a representation request and the other part will reply._x000D_
Multilevel: Many levels of representation should be supported. {color}_x000D_
_x000D_
     *Authorization schema* /Multiple levels of authorizations  (see also delegations with sub-users in [https://jira.intrasoft-intl.com/browse/IRM-38408] )_x000D_
 * The authorization scheme support  *2-ways.*   _x000D_
*Requester*  to *Representative*     ,_x000D_
*Representative* to *Requester*   _x000D_
 * The authorization scheme support  *multiple levels* of representations. (see sub users :[https://jira.intrasoft-intl.com/browse/IRM-38408] ) _x000D_
i.e., several levels of sub-users may be able to be defined. _x000D_
{color:#505f79}Examples:  {color}_x000D_
{color:#505f79}1) The (account and user) *Legal Person* to a user of *Company's legal representative*{color}_x000D_
{color:#505f79}2) *Company's legal representative*  to an *Accounting firm*  to manage the accountings  of the company{color}_x000D_
{color:#505f79}3) *Accounting firm* to the user  of  *Accountant employee* to delegate/assign the task{color}_x000D_
{color:#505f79}or{color}_x000D_
{color:#505f79}1) A (account and user) *Natural person* to a user of his/her *Guardian* (e.g. father)_x000D_
2) *Guardian* to an *Accounting firm* _x000D_
3) *Accounting firm*  to the *Accounting firm's legal representative*_x000D_
4) *Accounting firm's legal representative to the*  *Accountant employee*{color}_x000D_
 * {color:#172b4d}If a representation is delegated, then the delegation may happen with the rights assigned to the main representative or less. Cannot add more rights to delegator. (As-is){color}_x000D_
 * Admins should be able to view and track the level of representation per Agreement. _x000D_
_x000D_
 _x000D_
----_x000D_
*Functional requirements*_x000D_
_x000D_
 _x000D_
_x000D_
{color:#172b4d}*Configuration*{color}_x000D_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Legal Representation{color}_x000D_
 * Configurators may *define their own statuses and lifecycle.*_x000D_
 * Customers may define the default Source system and purpose values (CLs){*}{{*}}_x000D_
_x000D_
 _x000D_
_x000D_
*Additional Configuration level*_x000D_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 _x000D_
_x000D_
      Considerations: _x000D_
 * _x000D_
 ** {color:#172b4d}Configurators should be able to define criteria to define the list of allowed representatives_x000D_
(Example  : If Account = Company , Representative id not the legal company representative can be an Accounting firm or employee of a firm with permission of Books category A) {color}_x000D_
_x000D_
*Search for users*_x000D_
 * User search users to be selected for representation only by IDs but cannot see other user details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Permissions* 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_x000D_
In case of some representations as sub users, then needs to follow implementation in  [https://jira.intrasoft-intl.com/browse/IRM-38408] _x000D_
 * Permissions on requests forms  may be based on the  Lifecycle. _x000D_
for status change, reason may be filled in Optionally (see above field Change status reason{*}){*}  _x000D_
Status Field is RO  in UI , buttons will manage the flow. _x000D_
(e.g. , as is implemented in product) _x000D_
 ** _x000D_
 *** *Pending* (Temporally save , not applied/committed not considered) -(To avoid incorrect Requester  or representative selected (similar names, wrong identifier).  _x000D_
Created by *Representative* or  *Requester*  (see above 2-ways and multilevel)_x000D_
Set by Admin in SS/RM_x000D_
_x000D_
 * _x000D_
 ** _x000D_
 *** {*}Access Proposed{*}: Requested agreement but not processed_x000D_
Set by the process  (that was previously initiated by  Representative  or  Requester )_x000D_
Set by Admin in SS/RM_x000D_
_x000D_
 * _x000D_
 ** _x000D_
 *** *Access Denied* :   Agreement is not established_x000D_
 Set by the process/system  because of an error or incorrect selection of representation users or other validation._x000D_
Status Field is RO for the users_x000D_
 Set by Admin in SS/RM_x000D_
_x000D_
 * _x000D_
 ** _x000D_
 *** *Access Granted :* agreement/representation is valid. (Configured value as the cl value that provides access)   _x000D_
Set by the process based on what replied  by  Representative  or  Requester (the receiver of the request) _x000D_
Set by Admin in SS/RM_x000D_
_x000D_
 * _x000D_
 ** _x000D_
 *** *Access Revoked :* agreement/representation is not valid any more._x000D_
Set by the process based on what replied  by  Representative  or  Requester (the receiver of the request) _x000D_
Revoked by process because of end date reached _x000D_
Revoked by any part of the agreement _x000D_
Set by Admin in SS/RM_x000D_
_x000D_
 * _x000D_
 ** _x000D_
 *** *Canceled  :* agreement/representation is not valid_x000D_
Set by the process based on what replied  by  Representative  or  Requester (the receiver of the request) _x000D_
Set by Admin in SS/RM_x000D_
_x000D_
 * _x000D_
 ** _x000D_
 *** After cancel and revoke record cannot change any status._x000D_
User need to create a new record to extend this. _x000D_
_x000D_
                                     !image-2026-03-10-09-10-29-034.png!_x000D_
_x000D_
 _x000D_
 * If in  representation  1-&gt;2-&gt;3-&gt;4  i.e, 1-&gt;2 and  2-&gt;3 and  3-&gt;4  _x000D_
If  1-&gt;2  is canceled then 2-&gt;3 και 3-&gt;4 get canceled _x000D_
If 2-&gt;3  is canceled then 3-&gt;4  is canceled but 1-&gt;2 is not. _x000D_
Same with revokes. _x000D_
_x000D_
 * To be accepted a  representation  1 to 4 (1-&gt;2-&gt;3-&gt;4) there should have been accepted the 1-&gt;2 , 2-&gt;3, 3-&gt;4_x000D_
_x000D_
 _x000D_
_x000D_
*Versioning*_x000D_
 * Changes should be logged in Audit log._x000D_
_x000D_
 _x000D_
_x000D_
!image-2026-04-06-13-17-11-066.png|width=1025,height=570!_x000D_
!image-2026-03-10-10-34-26-315.png!_x000D_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</si>
  <si>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Representations : Define Date time and timezone for Representations and user rights /RM &amp;SS</t>
  </si>
  <si>
    <t>As an admin user, I need to capture and manage Start Date and End Date fields in the system that define the validity period of granted permissions, so that access rights can be controlled accurately and limited to specific timeframes._x000D_
_x000D_
*{color:#ff8b00}CHECK ! Review the LT branch for any implemented functionalities that can be merged into the product.{color}*_x000D_
_x000D_
*Functional requirements*_x000D_
_x000D_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(along status define in [https://jira.intrasoft-intl.com/browse/IRM-36665]) _x000D_
 * If no end date is defined the system should clearly flag in UI  "No End Date”_x000D_
_x000D_
Note: Already available fields in Party role relationship._x000D_
_x000D_
*Timezone* _x000D_
 * Display datetime in the user’s configured timezone._x000D_
 * Validity must be calculated based on stored system time (not client browser time)._x000D_
 * Daylight Saving Time (DST) transitions must not cause early expiration or extended validity._x000D_
_x000D_
*Versioning*_x000D_
 * Changes should be logged in Audit log._x000D_
_x000D_
*Validations* _x000D_
 * End Date cannot be earlier than Start Date._x000D_
 * Start Date is mandatory._x000D_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</si>
  <si>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the system allows administrators to define and manage precise Start and End datetime values (with timezone control) for user rights and agreements, then access to system functionalities will be automatically aligned with authorized validity periods, resulting in improved security control, reduced unauthorized access risk, stronger audit compliance, and lower manual administration effort.</t>
  </si>
  <si>
    <t>Attachments in Forms - Document Uploads enhancements before and after saving the form / RM &amp; SS</t>
  </si>
  <si>
    <t>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
_x000D_
*Background*_x000D_
In as-is system the form should be saved in order to be able to upload documents._x000D_
_x000D_
*Functional Requirements*_x000D_
 * Users (revenue officer or taxpayer) can upload attachments with permitted metadata while filling the form, before saving._x000D_
_x000D_
 * Users can view the list of uploaded attachments while filling the form (before saving)._x000D_
_x000D_
 * Before and After saving, users can:_x000D_
View attachments_x000D_
Add new attachments_x000D_
Remove attachments_x000D_
Edit metadata_x000D_
 * In RM , users can link attachments to additional system records (e.g., case file) while managing form attachments._x000D_
_x000D_
 * If attachment upload fails:_x000D_
The user is clearly informed by a message that attachment was not successfully uploaded. _x000D_
Form saving/submission is not blocked._x000D_
Successfully uploaded files remain attached. (Orphan issue).  _x000D_
_x000D_
 * Attachments modifications after saving are stored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</si>
  <si>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We believe that allowing users to upload and manage attachments during the form-filling process (pre-save)_x000D_
will result in a better UX as it provides form filing steps clarity,  fewer "incomplete" submissions, delays because of missing attachments, and higher data integrity by ensuring documents are linked directly to the relevant parties/roles at the point of entry._x000D_
A measurement of filling form decrease time may be useful. </t>
  </si>
  <si>
    <t>Data Integrity improvements. Error handling in synchronous operations that involve distributed transactions / Registry, Taxpayer</t>
  </si>
  <si>
    <t>cont.  :https://jira.intrasoft-intl.com/browse/IRM-25038 _x000D_
_x000D_
 _x000D_
_x000D_
Solon Tax microservices have domain boundaries that also encapsulate the corresponding transactional boundaries. I.e. most API operations result in ACID transactions as the updates are handled within the owning microservice's database._x000D_
_x000D_
 _x000D_
_x000D_
However there are some APIs of the system that the owning service also issues PUT/POST requests to different services. For these cases, strong error handling should be introduced._x000D_
_x000D_
 _x000D_
_x000D_
Syncronous operations refer to:_x000D_
 * HTTP api invocation. A distributed transaction there involves data updates to more than one microservices in the lifecycle of the HTTP request_x000D_
 * Kafka message consumption. A distributed transaction there involves data updates to more than one microservices in the lifecycle of the kafka message under consuption._x000D_
_x000D_
In cases were an operation invokes one or more published messages that are subsequently causing other updates, these are considere eventually consistent transactions and are not in the scope of this enabler._x000D_
_x000D_
 _x000D_
_x000D_
Scope of this enabler is to :_x000D_
_x000D_
Decide and introduce appropriate error handling for Taxpayer cases as listed in [https://netcompany.sharepoint.com/:x:/s/ICARUSProductTeam/IQDDvVCJsRcQR5si6csRQX4UASFBtrUfVPMWEu6yVXFAQ6w?e=6ZruVa] _x000D_
*for " taxpayer", "registration"* _x000D_
_x000D_
Consider any patterns to the flows implemented already_x000D_
_x000D_
Note that the [https://confluence.intrasoft-intl.com/spaces/IC/pages/224722770/Data+integrity+improvements]  _x000D_
_x000D_
1. Assign worker to a human task._x000D_
2. Claim a human task_x000D_
_x000D_
 </t>
  </si>
  <si>
    <t>Solon Tax should ensure data integrity</t>
  </si>
  <si>
    <t>Audit Log - Ability to keep Audit trail for authorization /LEFTOVER</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</si>
  <si>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This affects the following: _x000D_
_x000D_
*authorization-management MS*_x000D_
    c_object_access_group_included_entity_x000D_
    c_role_securable_object _x000D_
    c_role_user _x000D_
    c_skill_user_x000D_
    c_user_access_group_user  _x000D_
_x000D_
 _x000D_
_x000D_
*Functional Requirements*_x000D_
1) I can display all Audit log of the related items under the live record of parent items for the areas: _x000D_
 * Authorization management    (Under securable objects)_x000D_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</si>
  <si>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Call proxy services  /RM &amp; SS - Documentation</t>
  </si>
  <si>
    <t>W{-}e need the following improvements in self service:{-}_x000D_
 * -Ability to call backend apis as operations in a generic way-_x000D_
 * -Ability to call operations that create entities other than forms-_x000D_
 * -Call services without token validation This is handled by different Feature IRM-30785-_x000D_
_x000D_
 * {*}RM &amp;SS , Call proxy service{*}s_x000D_
 ** Call proxy services from SS to RM or to 3rd parties (validation from RM or from 3rd parties details in SS) _x000D_
 ** Call proxy services from RM or to 3rd parties (validation from SS or from 3rd parties details in RM) _x000D_
(e.g. ask validations and input from external systems during forms creation, calls on behalf)</t>
  </si>
  <si>
    <t>Facilitator / Accelarator for Implementation Teams</t>
  </si>
  <si>
    <t>UI/UX Improvements: Visual cues : Add Visual Indicator for Required Fields</t>
  </si>
  <si>
    <t>As a configurator, I can define in UI schemas whether to highlight required or optional fields in Solon Tax Revenue Management, so that I can provide flexibility to projects to use as needed._x000D_
_x000D_
*Introduction*_x000D_
_x000D_
This feature is the result of a request from LT Project, however similar request exists from GR project since Tax officers currently can see highlighted required fields.  _x000D_
_x000D_
*Functional Requirements*_x000D_
Enhance the UI configuration to support a visual indicator for specific fields. Example use case:_x000D_
 * Configurator may set the required items to be displayed with {color:#ff0000}*{color} ({color:#ff0000}red asterisk{color})._x000D_
 * Optional items displayed in normal text. No (Optional) label needed next to each field. _x000D_
 * Styling approach could be configurable to support different use cases (e.g., icons, color)._x000D_
 * This change should be generic so it can be reused across forms and modules. _x000D_
 * Existing functionality should be maintained as an option for *projects .* I.e., highlight Optional with text next to the fields. _x000D_
_x000D_
_x000D_
_x000D_
_x000D_
_x000D_
*Notes:* _x000D_
Requirement from AADE_x000D_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t>
  </si>
  <si>
    <t>UX Enhancement for required fields </t>
  </si>
  <si>
    <t>Introduce ArchUnit</t>
  </si>
  <si>
    <t>*Problem Statement*_x000D_
_x000D_
As the SolonTax codebase grows in size and complexity, it becomes increasingly difficult to manually enforce architectural guidelines and design principles ( see D0160 Programming Guidelines) during code reviews. This leads to several risks:_x000D_
 * *Architectural Drift:* Over time, the code can deviate from its intended design (e.g., layered architecture, domain model purity), leading to tight coupling and reduced maintainability._x000D_
 * *Inconsistent Code Reviews:* Architectural violations can be easily missed during manual reviews, as reviewers are often focused on business logic._x000D_
 * *Increased Technical Debt:* Unchecked violations accumulate as technical debt, making future development, refactoring, and onboarding of new team members more difficult and costly._x000D_
_x000D_
There is currently no automated mechanism to prevent such architectural decay, making the system's long-term health dependent on tribal knowledge and manual vigilance._x000D_
_x000D_
*Proposed Solution*_x000D_
_x000D_
This enabler will introduce {*}ArchUnit{*}, a free Java library for checking the architecture of your code, into our build and test lifecycle. By writing plain Java unit tests, we can codify our architectural rules and automatically verify them._x000D_
_x000D_
The solution involves:_x000D_
 # *Integrating ArchUnit:* Add the ArchUnit dependency to the project's build configuration (e.g., Maven or Gradle)._x000D_
 # *Creating an Architecture Test Suite:* Establish a dedicated test source set or package for architectural tests._x000D_
 # *Implementing Foundational Rules:* Implement an initial set of high-value architectural rules to serve as a baseline and a template for future rules. These tests will run as part of the standard CI/CD pipeline, failing the build if a violation is detected._x000D_
_x000D_
This will provide immediate, automated feedback to developers and act as a powerful "guardrail" to prevent architectural erosion._x000D_
_x000D_
*Acceptance Criteria*_x000D_
 # *Dependency Integration:* The ArchUnit library is successfully added as a test-scoped dependency._x000D_
 # *Test Suite Creation:* A dedicated maven module is created to house all ArchUnit tests._x000D_
 # *CI/CD Integration:* The architectural test suite is configured to run automatically as part of the continuous integration pipeline during unit tests phase. A build must fail if any architectural rule is violated._x000D_
 # *Baseline Pass:* All newly introduced architectural tests pass against the existing codebase on the main development branch. If any pre-existing violations are found, they must be either fixed or explicitly exempted as part of this task's scope._x000D_
_x000D_
*Out of Scope*_x000D_
 * This enabler focuses on establishing the framework and implementing a foundational set of rules. Defining an exhaustive list of every possible architectural rule is not in scope._x000D_
 * Large-scale refactoring of the existing codebase to fix numerous pre-existing violations is out of scope, unless a small, agreed-upon number of fixes are required to establish a clean baseline.</t>
  </si>
  <si>
    <t>Solon Tax logging enhancements</t>
  </si>
  <si>
    <t>Solon Tax needs to provide additional logging capabilities covering the following areas:_x000D_
_x000D_
 _x000D_
_x000D_
DB queries:_x000D_
 * Log prepared statements before execution_x000D_
 * Log row query result (only in debug mode)_x000D_
_x000D_
Business logic_x000D_
 * Create aspect for logging Service layer execution._x000D_
_x000D_
Masked data:_x000D_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
_x000D_
 </t>
  </si>
  <si>
    <t>Solon Tax should have the configurabity for very granular application logs for debugging purposes.</t>
  </si>
  <si>
    <t>Display and search by Source and timestamp columns in Codelists, Parties and Addresses</t>
  </si>
  <si>
    <t>As a user I need to see the timestamp and the origin of the records that I see or search for in Code lists, parties, addresses. _x000D_
The records were initially created in  IRM-27267  , IRM-29175  ,  IRM-27394 _x000D_
_x000D_
*Functional requirements*_x000D_
_x000D_
*A.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*Parties* _x000D_
Source field  is filled using  global CL list created. The default value may be defined by the customers._x000D_
 # Source field for manually created records_x000D_
Field is filled in by a Manual /Current system value in global CL list created. _x000D_
The default value may be changed by the customers when configuring. _x000D_
_x000D_
 </t>
  </si>
  <si>
    <t>POC/Fixed effort - Config Items Management ( Packaging &amp; versioning) : Enable delivery teams to safely and selectively migrate configurations across environments</t>
  </si>
  <si>
    <t>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{color:#0747a6}*BECAUSE OF THE COMPAXITY OF THE TOOL TO BE IMPLEMENTED WE WILL INITIATE THE DESIGN BY A POC.* {color}_x000D_
{color:#0747a6}*The POC scope will be defined by PD team.* {color}_x000D_
{color:#0747a6}*The POC will have fixed effort.* {color}_x000D_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</si>
  <si>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Providing a solution for migrating Config items will empower delivery teams to fully leverage the product’s high configurability, enabling faster and more reliable deployments, ensuring consistency across environments and reducing manual overhead. Additionally, delivery teams can more effectively utilize the product's flexibility, resulting in faster time-to-value and improved rollout quality.</t>
  </si>
  <si>
    <t>Data Security - Restrict Access to Personal Data GDPR- Admin (based on data classifications) - Part 1/4</t>
  </si>
  <si>
    <t>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Depends on [https://jira.intrasoft-intl.com/browse/IRM-20322] _x000D_
_x000D_
 _x000D_
_x000D_
*Out of scope :* _x000D_
Archive db_x000D_
Define classifications for financial details and relevant datasets (see [https://jira.intrasoft-intl.com/browse/IRM-23836] )_x000D_
_x000D_
 _x000D_
_x000D_
+Clarifications:+_x000D_
classify fields  : as discussed  we mean restrict access to records based on record type and defined classification levels _x000D_
_x000D_
+Expected Behaviors to be available :+ _x000D_
+Visibility:+ _x000D_
Field masking, e.g. Name = *****_x000D_
Record hidden , e.g. record not returned_x000D_
+Search+_x000D_
Record hidden, e.g., No results returned, Result excluded completely_x000D_
Field masking,  e.g., Result returned but masked_x000D_
+Logs+_x000D_
Logs should be immutable. Information may be masked. _x000D_
 _x000D_
_x000D_
*Functional Requirements*_x000D_
_x000D_
*For Party , Party Roles, Attachments:*  _x000D_
 * Admin can restrict access to sensitive personal data based on classification level and group of users (e.g. using user access groups)._x000D_
The classification levels are defined in  [https://jira.intrasoft-intl.com/browse/IRM-20322] _x000D_
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__ It is expected that the visibility of the classified details may be configured by configurators as : masked or non visible. (see also ILs)_x000D_
_x000D_
 * Admin should be able to remove (masking or removing record visibility)  access of records based on classification levels, from data areas of Party,  party role, Attachments_x000D_
_x000D_
+Examples:+ _x000D_
An Admin can successfully configure a User Access Group to have "Read" access to "Personal Data" but be denied "Read" access to "Sensitive Personal Data"._x000D_
When a user from that group views a list of parties, parties with only "Personal Data" are visible, while parties with "Sensitive Personal Data" are either hidden or have their sensitive fields masked, as configured._x000D_
When the same user performs a search, the results correctly exclude or mask records containing "Sensitive Personal Data"._x000D_
_x000D_
*{color:#172b4d}Identification Labels{color}*_x000D_
 * {color:#172b4d}Identification labels should be displayed according the relevant classifications restrictions. _x000D_
E.g. : If the identifier used in IL (i.e. the primary) is sensitive and not visible by user  (John Takis, Tax Identification Number: 123456789) _x000D_
a) if the mode is to mask sensitive detail -&gt; IL appears with stars instead of identifier. (John Takis, Tax Identification Number: ********** )_x000D_
b) if the mode is that the data should not appear in the results -&gt; IL appears  with empty details  (John Takis, Tax Identification Number:  ){color}{color:#172b4d}Similarly in other ILs related with classified data. {color}_x000D_
_x000D_
{color:#172b4d}*Message store*{color}_x000D_
 * {color:#172b4d}Admin should be able to remove (masking or removing record visibility)  access of records based on classification levels, from Message store. Permission set as per above mentioned list (view, search ,etc.).{color}_x000D_
_x000D_
*{color:#172b4d}Operational Reports{color}*_x000D_
 * {color:#172b4d}Visibility of records in Operational reports are restricted (masking or removing record visibility) based on above mentioned classification levels and permissions. {color}_x000D_
_x000D_
*{color:#172b4d}Other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permissions._x000D_
*Examples :  {color}_x000D_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_x000D_
_x000D_
*Governance* _x000D_
The permissions will be defined by admin as described In [https://jira.intrasoft-intl.com/browse/IRM-39113]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_x000D_
----_x000D_
Notes: _x000D_
_x000D_
!image-2025-06-17-07-42-29-150.png|width=761,height=434!</t>
  </si>
  <si>
    <t>Enabling administrators to restrict access to sensitive personal data based on defined classifications will significantly strengthen data privacy, compliance, and governance within Solon Tax. By allowing granular control over who can read, update, or delete personal data—either via the UI or APIs—organizations can enforce data protection policies aligned with legal and regulatory requirements (e.g., GDPR). The ability to configure whether restricted information is masked, encrypted, or hidden entirely enhances both transparency and control. Additionally, extending data privacy protections to logs, messages, and other data sources ensures that sensitive details are not inadvertently exposed, even during exception handling or auditing. This functionality will reduce the risk of unauthorized data access, support compliance, and build greater trust with end users and stakeholders.</t>
  </si>
  <si>
    <t>Roadmap Initiative Group</t>
  </si>
  <si>
    <t>Roadmap Initiative</t>
  </si>
  <si>
    <t>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
_x000D_
This requirement is requested by GR AADE project. _x000D_
_x000D_
 _x000D_
_x000D_
*Functional Requirements*_x000D_
_x000D_
 _x000D_
_x000D_
*Revenue type Administration*_x000D_
 * Admin may define that a revenue type can be used for Organizational Units._x000D_
 * Admin may define that a revenue type can be used for Claimants (that will be the "debtors" or" "creditors" and it is not the same as how claimants are now related with revenue type registrations). _x000D_
_x000D_
*Revenue Type Registration*_x000D_
 * The Organizational units (related party roe) may be used as party roles when creating Revenue type Registrations_x000D_
 * The Claimants may be used as party roles when creating Revenue type Registrations_x000D_
_x000D_
*Party Role Relationships For Org units*_x000D_
 - I can relate Org units _x000D_
_x000D_
*Financial transactions*_x000D_
 *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 Organization Unit , Claimant _x000D_
_x000D_
*Demo items:* _x000D_
Party role type for Organizational Units_x000D_
Party role type for Claimants_x000D_
Revenue Type for Organizational Units _x000D_
Relationships Type : Org Type Relation_x000D_
_x000D_
 _x000D_
_x000D_
*UI:*_x000D_
 - Organizational unit and Claimants page: Party Roles are available as a related list_x000D_
 - Revenue type:  Filter by Org units, claimants  related types and flag available in the page_x000D_
 - Bill segment : Filter Obligation Actions By Org Units , or  claimants and flag in the UI that OA is related to Org unit or claimant._x000D_
 - Bill segment list page  : Filter Bill segments related to Org units or claimants_x000D_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</si>
  <si>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{panel:title=Task}_x000D_
To improve the platform maturity index, resource utilization must be optimized. To achieve this, green coding principles should be defined and incorporated into our programming guidelines. The current documentation should be extended to include these rules._x000D_
{panel}_x000D_
{panel:title=Current state}_x000D_
Currently programming guidelines are described in the following deliverables:_x000D_
_x000D_
[DD160 -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_x000D_
_x000D_
[Clean Coding|https://confluence.intrasoft-intl.com/spaces/IC/pages/36142033/Clean+Code]_x000D_
{panel}_x000D_
{panel:title=Solution}_x000D_
Please add green coding rules for the following technologies:_x000D_
 * Java_x000D_
 * JavaScript_x000D_
 * Rego_x000D_
 * Drools_x000D_
 * Helm charts_x000D_
 * Maven_x000D_
 * PostgreSQL_x000D_
 * Oracle PL/SQL_x000D_
 * Liquibase scripts_x000D_
 * Are docker images used by the platofrm are green friendly? Consider using more greener if possible. Consider create greener docker images -&gt; smaller in size, with dedicated runtimes. IRM-28585 Docker image size optimization_x000D_
_x000D_
This list should be extended if necessary. These rules should either be integrated into the existing programming guidelines or compiled into a new document dedicated specifically to green coding._x000D_
{panel}_x000D_
h3. PPD Maturity Index / Control point: Resource Utilization / Programming Guidelines / Development and test environments</t>
  </si>
  <si>
    <t>SS enhancements -Configure the items that can be publicly available in db level Part 2/2</t>
  </si>
  <si>
    <t>{color:#c1c7d0}{color:#172b4d}Leftover part of {color}https://jira.intrasoft-intl.com/browse/IRM-36809 _x000D_
_x000D_
continuing  and dependent : [https://jira.intrasoft-intl.com/browse/IRM-30785] {color}_x000D_
_x000D_
{color:#c1c7d0}On previous section of the functionality the availability of items publicly was enabled. On top of that we need admin to be able to configure which items can be available publicly. {color}_x000D_
_x000D_
*Functional Requirements* _x000D_
_x000D_
{color:#c1c7d0}Configure the items that can be publicly available in db level : {color}_x000D_
 * {color:#c1c7d0}Admin may define which reference data items can be publicly available.{color}_x000D_
{color:#c1c7d0}Example System parameters cannot be available. Party Classifications can be. {color}_x000D_
 * {color:#c1c7d0}Admin may define which translation items can be publicly available.{color}_x000D_
{color:#c1c7d0}Example: Party page labels can be available, Exceptions labels may not. {color}_x000D_
 * {color:#c1c7d0}Admin may define which service items can be publicly available.{color}_x000D_
{color:#c1c7d0}Example: VAT form cannot be publicly available, Registration forms can{color}_x000D_
_x000D_
Permissions:  (depends on  IRM-34224 ) _x000D_
 * Specific rights should be assigned to an admin to be able to configure the above settings. _x000D_
_x000D_
{color:#c1c7d0}Additional Considerations{color}_x000D_
 * {color:#c1c7d0}Audit logs capture configuration changes{color}_x000D_
 * {color:#c1c7d0}Documentation is updated to describe the configuration options and default behavior.{color}_x000D_
 * {color:#c1c7d0}Automated tests validate unauthenticated access and expected responses for each endpoint.{color}_x000D_
 * {color:#c1c7d0}Backward compatibility is preserved for existing operations{color}_x000D_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</si>
  <si>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Enriched Jira Features.Summary</t>
  </si>
  <si>
    <t>Enriched Jira Features.Acceptance Criteria</t>
  </si>
  <si>
    <t>ACCESSIBILITY</t>
  </si>
  <si>
    <t>* Accessibility improvements are implemented according to WCAG 2.1 AA and EN 301 549 standards._x000D_
_x000D_
 * Identified accessibility gaps from prior audits or internal reviews are addressed within the scope of the current PI._x000D_
_x000D_
 * Key UI components meet minimum color contrast ratios and provide proper focus management._x000D_
_x000D_
 * Application is fully navigable via keyboard without loss of functionality._x000D_
_x000D_
 * Screen reader users can correctly interpret content structure, labels, and ARIA attributes._x000D_
_x000D_
 * QA validation confirms compliance through automated and manual accessibility testing._x000D_
_x000D_
 * Documentation is updated to reflect accessibility compliance status and testing results.</t>
  </si>
  <si>
    <t>MAINTAINABILITY</t>
  </si>
  <si>
    <t>USABILITY</t>
  </si>
  <si>
    <t>IRM-40171</t>
  </si>
  <si>
    <t>IRM-40169</t>
  </si>
  <si>
    <t>IRM-40165</t>
  </si>
  <si>
    <t>TAXPAYER ACCOUNTING</t>
  </si>
  <si>
    <t>IRM-39992</t>
  </si>
  <si>
    <t>IRM-39984</t>
  </si>
  <si>
    <t>IRM-39979</t>
  </si>
  <si>
    <t>New search redesign based on Figma design</t>
  </si>
  <si>
    <t>IRM-39976</t>
  </si>
  <si>
    <t>Search filters should be displayed on top of a table, if configured as such</t>
  </si>
  <si>
    <t>IRM-39975</t>
  </si>
  <si>
    <t>IRM-39738</t>
  </si>
  <si>
    <t>PERFORMANCE EFFICIENCY</t>
  </si>
  <si>
    <t>* Implement a caching layer in the Reference data microservice._x000D_
 * Eliminate redundant DB queries for static datasets._x000D_
 * Cache should persist unless a "data changed" event or manual refresh is triggered.</t>
  </si>
  <si>
    <t>IRM-39395</t>
  </si>
  <si>
    <t>*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Revenue Type, Relationship type for Organization Unit , Claimant _x000D_
 * Ui updates to filter Org units and claimants in Bill segments_x000D_
 *  Ui updates to display party roles under Org Units and claimants.</t>
  </si>
  <si>
    <t>IRM-39200</t>
  </si>
  <si>
    <t>USER &amp; 3RD PARTY ACCESS MANAGEMENT</t>
  </si>
  <si>
    <t>IRM-39131</t>
  </si>
  <si>
    <t>SECURITY</t>
  </si>
  <si>
    <t># As per analysis of IRM-29512 - Audit logging/Access log Holistic approach,  on details collected of A document ,_x000D_
"Major    The enrichment of log data (REQ-003) and extensibility (REQ-004) directly address security requirements. _x000D_
However, this introduces a major risk of logging sensitive data that requires the delivery teams to carefully analyze and implement custom logging elements."_x000D_
 # Audit log sensitive data should be managed. Audit logs generated by the system correctly mask any sensitive data fields.</t>
  </si>
  <si>
    <t>IRM-39113</t>
  </si>
  <si>
    <t>Admin may define per user access group and classification level (Sensitive, Personal , etc.) the permission levels</t>
  </si>
  <si>
    <t>TAX ACCOUNTS</t>
  </si>
  <si>
    <t>IRM-38899</t>
  </si>
  <si>
    <t>* When I am on a revenue type registration for a Tax Account, I can see and click a "View Tax Account Overview" link for that RTR, more details specified in the functional requirements._x000D_
 * After clicking the link, I am navigated to a new page titled "Tax Account Overview" for that Tax Account._x000D_
 * As a User I am able to filter the from and to reconciliation periods I am interested to see financial transactions for, more details specified in the functional requirements. _x000D_
 * User should be able to see in the UI a Table with financial transactions is updated with an opening and closing balance as per attached example_updated and functional requirements in this feature, more details specified in the functional requirements._x000D_
 * User should be able to see and select the "Update P&amp;I" button where he/she can enter the "RECALCULATEFROMDATE" to run Penalty &amp; Interest. </t>
  </si>
  <si>
    <t>IRM-38682</t>
  </si>
  <si>
    <t>UI CONFIGURATION</t>
  </si>
  <si>
    <t>* Configurator may set in codelist fields an optionally used attribute/metadato , e.g. "{-}AutofillIfUnique{-}" --&gt; "{*}{{autofillOnlyOption}}{*}"_x000D_
which attribute will enable in UI the autofill of value in codelist, when only one  codelist item value is available based on filters and related codelist items._x000D_
 * System may display prefilled value in codelist, when only one  codelist item value is available.</t>
  </si>
  <si>
    <t>IRM-38410</t>
  </si>
  <si>
    <t>*Keyboard support*_x000D_
 * The "Keyboard support" icon/link is no longer visible in the application's main header bar._x000D_
 * Navigate to the user's profile page and confirm a "Keyboard support" option is present and accessible._x000D_
 * Confirm that activating the "Keyboard support" option on the profile page functions as expected (e.g., opens a help modal)._x000D_
_x000D_
_x000D_
*Language*_x000D_
 * The language shortcut in the UI displays the user's currently selected language._x000D_
 * Use the shortcut to select a new language and confirm the application interface immediately updates._x000D_
 * Navigate to the user's profile page and confirm the language preference setting has been updated instantly._x000D_
 ** Test : Log out and log back in to ensure the new language is persisted._x000D_
_x000D_
*Info button*_x000D_
 * Confirm the "Info" shortcut/icon is no longer available in the main header bar._x000D_
 * Open the user's profile modal and confirm an "Info" link/section is present at the bottom._x000D_
 * Confirm the "Info" text/icon is styled with the agreed-upon color from the design specifications (tbc)_x000D_
_x000D_
*Search within page*_x000D_
 * Confirm the Search within pages input field and/or search icon is completely removed from the application's main header bar.</t>
  </si>
  <si>
    <t>IRM-38409</t>
  </si>
  <si>
    <t>* Confirm that a single click on a record in a list view opens the "Quick View" summary drawer._x000D_
 * Confirm that double-clicking a record in a list view performs no action_x000D_
 * Confirm that a single click opens the drawer._x000D_
 * Confirm that a view menu item is available on list views_x000D_
 * Confirm that when view item is selected then it opens a drawer displaying record details (Quick view - summary view)_x000D_
 * Confirm the drawer contains action buttons at the bottom, including an "Edit" button and any applicable status transition buttons (e.g., "Approve," "Reject")._x000D_
 * Confirm the drawer contains a button/link (e.g., "Open Full View") that navigates the user to the full *read-only* page for that record._x000D_
 * Confirm that clicking the "Edit" button within the drawer navigates the user to the full "Edit" mode page for that record. _x000D_
 * Confirm that navigating to a record page (either from the drawer's "Full View" button or other links) opens the page in "View" mode by default._x000D_
 * Confirm the page title or header clearly indicates "View" mode and that all data fields are presented as non-editable, read-only text._x000D_
 * Confirm that attempting to type in fields, change selections in dropdowns, or toggle checkboxes in "View" mode has no effect on the data._x000D_
 * Confirm that in "View" mode, an "Edit" button is always displayed, and "Save"/"Cancel" buttons are hidden._x000D_
 * Confirm that clicking the "Edit" button (from either the "View" page or the "Quick View" drawer) transitions the page to "Edit" mode._x000D_
 * Confirm the page title or header clearly indicates "Edit" mode and that relevant data fields become editable input controls (e.g., text boxes, dropdowns)._x000D_
 * Confirm that in "Edit" mode, "Save" and "Cancel" buttons are displayed, and the "Edit" button is hidden or disabled_x000D_
 * Confirm that all primary user actions (View, Edit, Save, Cancel) are initiated via clearly labelled buttons or menu items.</t>
  </si>
  <si>
    <t>IRM-38379</t>
  </si>
  <si>
    <t>FORM PROCESSING</t>
  </si>
  <si>
    <t>*a)* Optional fields in Form metadata_x000D_
Created by : Related to a Party Role ID_x000D_
Posted by : Related to Party Role ID_x000D_
external_created_dttm (as in Party record)_x000D_
_x000D_
*b)* user may search forms using the above fields_x000D_
_x000D_
*c)* Enable user define characteristics in forms _x000D_
_x000D_
*d)*  Apply Notes in Forms in RM and SS _x000D_
In UI add Notes only in RM</t>
  </si>
  <si>
    <t>IRM-38336</t>
  </si>
  <si>
    <t>TRACEABILITY</t>
  </si>
  <si>
    <t>1) I can display all Audit log of  Codelists, Codelist items, attributes_x000D_
_x000D_
2) I can see in UI the history under codelist for all codelist related changes as well as all codelists items related changes. </t>
  </si>
  <si>
    <t>IRM-38335</t>
  </si>
  <si>
    <t>1) I can display Audit logs  for Resource Calendars (Time offs, assigned calendars, , caledars details , Calendar exceptions)_x000D_
_x000D_
2) I can see in the UI the related details.</t>
  </si>
  <si>
    <t>IRM-38242</t>
  </si>
  <si>
    <t>* Deliverable -&gt; O0300 Maintenance Guide</t>
  </si>
  <si>
    <t>IRM-38230</t>
  </si>
  <si>
    <t>* Deliverable -&gt; DD160 Programming Guidelines - Green Coding _x000D_
 * internal training (recording) + powerpoint added to the onboarding matertials_x000D_
 * checklists for the mrege requests based on the green programming guidelines _x000D_
 * addjust rules in Sonarquebe to force green coding rules defined in the progrmming guidelines_x000D_
 *  [Optional] consider tools tracing carbon foot print for SOLON Tax Platform for instance Green Software Foundation, Scaphandre, Cloud Carbon Footprint_x000D_
 * DoD update to include green coding</t>
  </si>
  <si>
    <t>IRM-37871</t>
  </si>
  <si>
    <t>Global changes across the app_x000D_
 * Unnecessary titles (e.g. category) are removed from the main page bar; only relevant information is displayed to user._x000D_
 * A Save button is present in the main page bar, allowing users to save changes easily at any time._x000D_
 * A breadcrumbs bar is added under the header bar, indicating the user's current location in the application.</t>
  </si>
  <si>
    <t>IRM-37867</t>
  </si>
  <si>
    <t>Apply the validation for the unicode whitelist of allowed characters for Code fields,  to all Solon Tax Config entity types included in:_x000D_
_x000D_
irm_authorizationmanagement_db_x000D_
_x000D_
irm_casemanagement_db_x000D_
_x000D_
irm_contactmanagement_db_x000D_
_x000D_
irm_directdebit_db_x000D_
_x000D_
irm_exceptionmanagement_db_x000D_
_x000D_
irm_humantaskmanagement_db_x000D_
_x000D_
irm_note_db_x000D_
_x000D_
irm_notificationmanagement_db_x000D_
_x000D_
irm_operational_plan_db_x000D_
_x000D_
irm_operationalreport_db_x000D_
_x000D_
irm_processmanagement_db_x000D_
_x000D_
irm_reporting_db_x000D_
_x000D_
irm_risk_analysis_db_x000D_
_x000D_
irm_suppressionmanagement_db_x000D_
_x000D_
irm_uiconfiguration_db_x000D_
_x000D_
 </t>
  </si>
  <si>
    <t>IRM-37865</t>
  </si>
  <si>
    <t># Specific rights should be assigned to an admin to be able to configure the above settings. </t>
  </si>
  <si>
    <t>IRM-36862</t>
  </si>
  <si>
    <t>RELIABILITY</t>
  </si>
  <si>
    <t>Implement record locking in Party</t>
  </si>
  <si>
    <t>IRM-36666</t>
  </si>
  <si>
    <t>*A. Basics:* _x000D_
 # List of representations available in RM for permitted users to create and manage_x000D_
Users with permissions may search for existing representations in a list of SS representations in RM_x000D_
Agreement : From user_x000D_
Agreement : To user_x000D_
Agreement : Start , End date_x000D_
Agreement : Last modified date_x000D_
Agreement : Source system_x000D_
Agreement : Agreement_x000D_
Agreement : Status_x000D_
Agreement service : service_x000D_
Agreement service :  Start , End date_x000D_
Agreement service :  Last modified date_x000D_
Plus fields from other from [https://jira.intrasoft-intl.com/browse/IRM-36665]   _x000D_
 # Confirm Lifecycle as in  [https://jira.intrasoft-intl.com/browse/IRM-36665]_x000D_
 # Users with permissions may create representations in RM (via form or RM record._x000D_
Agreement : select the users _x000D_
From  (Taxpayer)_x000D_
To       (Representative)_x000D_
Agreement : Select period  : Start, End_x000D_
Source should be set as RM system_x000D_
Agreement : Agreement_x000D_
Agreement service : see the list of all services (along with descriptions and included rights) and be able to select the services along the  Start , End date of each_x000D_
Plus fields from other from [https://jira.intrasoft-intl.com/browse/IRM-36665]   _x000D_
 # {*}{{*}}Automated expiration enforcement: Deactivation or permissions/representations when End DateTime expires._x000D_
 # Sync RM/SS happens real time_x000D_
 # Validations , same as in [https://jira.intrasoft-intl.com/browse/IRM-36665]  _x000D_
 # Levels of hierarchy ability to define and display as in [https://jira.intrasoft-intl.com/browse/IRM-36665]  _x000D_
_x000D_
*B. Records Locking*_x000D_
 # When edited in SS record cannot be edited in RM.  (as per Solon locking functionality - if not yet implemented you may split in a different feature)_x000D_
 # Prevent conflicting or overlapping delegations (or require explicit override)._x000D_
_x000D_
*C. Notification* _x000D_
 # When saving new representation or updated representation a notification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*D. Versioning*_x000D_
 # Changes should be logged in Audit log._x000D_
_x000D_
*E. Permissions*_x000D_
 # Admin may assign specific permissions to users that can create/update agreements._x000D_
 # Restriction: Only users with “Representation Management” role can create/update.</t>
  </si>
  <si>
    <t>IRM-36665</t>
  </si>
  <si>
    <t>{color:#172b4d}*Configuration*{color}_x000D_
 * {color:#172b4d}Configurators may *define maximum depth of representations delegations levels* {color}_x000D_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Legal Representation{color}_x000D_
 * Configurators may *define their own statuses and lifecycle.*_x000D_
 * Customers may define the default Source system and purpose values (CLs) _x000D_
_x000D_
*Search for users*_x000D_
 * User search users to be selected for representation only by IDs but cannot see other user details _x000D_
_x000D_
*New schema &amp; Configuration*_x000D_
 * Configurators may define if in SS they need to capture :  agreements, agreement services (as is ) but also the *agreement service rights*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and flow*_x000D_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 Permissions on requests forms  may be based on the  Lifecycle. _x000D_
for status change, reason may be filled in Optionally (see above field Change status reason{*}){*}  _x000D_
Status Field is RO  in UI , buttons will manage the flow. _x000D_
 # If in  representation  1-&gt;2-&gt;3-&gt;4  i.e, 1-&gt;2 and  2-&gt;3 and  3-&gt;4  _x000D_
If  1-&gt;2  is canceled then 2-&gt;3 και 3-&gt;4 get canceled _x000D_
If 2-&gt;3  is canceled then 3-&gt;4  is canceled but 1-&gt;2 is not. _x000D_
Same with revokes. _x000D_
 # To be accepted a  representation  1 to 4 (1-&gt;2-&gt;3-&gt;4) there should have been accepted the 1-&gt;2 , 2-&gt;3, 3-&gt;4_x000D_
In case of some representations as sub users, then needs to follow implementation in  [https://jira.intrasoft-intl.com/browse/IRM-38408] _x000D_
_x000D_
*Audit log*_x000D_
 # Changes of  {*}Agreements{*},  *Agreements services* , *user rights* should be logged in Audit log.</t>
  </si>
  <si>
    <t>IRM-36664</t>
  </si>
  <si>
    <t>*A)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_x000D_
 # If no end date is defined the system should clearly flag in UI  "No End Date”_x000D_
_x000D_
*B) Timezone* _x000D_
 # Display datetime in the user’s configured timezone._x000D_
 # Validity must be calculated based on stored system time (not client browser time)._x000D_
 # Daylight Saving Time (DST) transitions must not cause early expiration or extended validity._x000D_
_x000D_
*C) Versioning*_x000D_
 # Changes should be logged in Audit log._x000D_
_x000D_
*D) Validations* _x000D_
 # End Date cannot be earlier than Start Date._x000D_
 # Start Date is mandatory.</t>
  </si>
  <si>
    <t>IRM-36660</t>
  </si>
  <si>
    <t>SELF SERVICE SERVICES MANAGEMENT</t>
  </si>
  <si>
    <t># Upload Before Save : User is  able to upload an attachments filling all applicable metadata while creating a form._x000D_
 # View and Manage Attachments Before and After Save:  user is able to see and manage attachments before and after saving form. After saving in RM user may additional link attachments to other records._x000D_
 # Failure Handling : Message appears if upload is failed without interrupting the form saving._x000D_
 # Post-Save Management: user shall have the ability to add new attachments or update the metadata of existing ones, with all changes logged in the system audit trail._x000D_
_x000D_
 </t>
  </si>
  <si>
    <t>As per description</t>
  </si>
  <si>
    <t>IRM-32912</t>
  </si>
  <si>
    <t>IRM-32746</t>
  </si>
  <si>
    <t>1) I can display all Audit log of the related items under the live record of parent items for the areas: _x000D_
 * Authorization management objects _x000D_
_x000D_
2) I can see in the UI the related details</t>
  </si>
  <si>
    <t>IRM-32464</t>
  </si>
  <si>
    <t>OPERABILITY</t>
  </si>
  <si>
    <t>Documentation clarifications on how implementors can do. _x000D_
_x000D_
-Improvements in self service:-_x000D_
 * -Ability to call backend apis as operations in a generic way-_x000D_
 * -Ability to call operations that create entities other than forms-_x000D_
 * -Apply security in forms operation api-_x000D_
 * -Call services without token validation-_x000D_
_x000D_
 * Call proxy services from SS to RM or to 3rd parties (validation from RM or from 3rd parties details in SS) _x000D_
 * Call proxy services from RM or to 3rd parties (validation from SS or from 3rd parties details in RM) </t>
  </si>
  <si>
    <t>IRM-32237</t>
  </si>
  <si>
    <t>&gt; Required items are visually distinguished from optional ones (example: ({color:#ff0000}*Red{color}) for {color:#FF0000}required{color}, normal text for optional)._x000D_
_x000D_
&gt; Visual styling is consistent across all modules using the dropdown widget._x000D_
_x000D_
&gt; The change is implemented in a configurable way, allowing an implementation to select *either* to highlight optional fields *or* highlight required fields (Not both). ie keep existing functionality.  </t>
  </si>
  <si>
    <t>IRM-30741</t>
  </si>
  <si>
    <t>IRM-29663</t>
  </si>
  <si>
    <t>AC1: Items in description are met.</t>
  </si>
  <si>
    <t>IRM-29434</t>
  </si>
  <si>
    <t>*A.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items{*}, *Parties*_x000D_
 # Source field  is filled using  global CL list created. The default value may be defined by the customers. _x000D_
_x000D_
 </t>
  </si>
  <si>
    <t>IRM-29268</t>
  </si>
  <si>
    <t>FIXED EFFORT POC to analyze the solution : _x000D_
Tool to allow securely and via guided steps to allow a team to _x000D_
a) select elements to be deployed checking dependencies and conflicts_x000D_
b) packaging them_x000D_
c) selects destinations_x000D_
d) validating the actions_x000D_
e) deploy _x000D_
f)  be able to rollback</t>
  </si>
  <si>
    <t>IRM-20329</t>
  </si>
  <si>
    <t>*A) For Party , Party Roles, Attachments:*  _x000D_
 # Admin can restrict access to sensitive personal data based on classification level and group of users (e.g. using user access groups)._x000D_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It is expected that the visibility of the classified details may be configured by configurators as : masked or non visible. (see also ILs)_x000D_
 # Admin should be able to remove (masking or removing record visibility)  access of records based on classification levels, from data areas of Party,  party role, Attachments_x000D_
 # An API call made by the user's credentials returns data consistent with their configured permissions._x000D_
 # Admin should be able to remove (masking or removing record visibility)  access of records based on classification levels, from logs:  Security, Audit, Access logs , Exceptions_x000D_
_x000D_
*{color:#172b4d}B) Identification Labels{color}*_x000D_
 # {color:#172b4d}Identification labels should be displayed according the relevant classifications restrictions. {color}_x000D_
_x000D_
{color:#172b4d}*C) Message store*{color}_x000D_
 # {color:#172b4d}Admin should be able to remove (masking or removing record visibility)  access of records based on classification levels, from Message store. Permission set as per above mentioned list (view, search ,etc.).{color}_x000D_
_x000D_
*{color:#172b4d}D) Operational Reports{color}*_x000D_
 # {color:#172b4d}Visibility of records in Operational reports are restricted (masking or removing record visibility) based on above mentioned classification levels and permissions. {color}_x000D_
_x000D_
*{color:#172b4d}E) 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*F) Governance* _x000D_
The permissions will be defined by admin as described In [https://jira.intrasoft-intl.com/browse/IRM-39113] _x000D_
_x000D_
*G) Other*_x000D_
 * All related technical documentation is updated.</t>
  </si>
  <si>
    <t>Feature ID</t>
  </si>
  <si>
    <t>Epic</t>
  </si>
  <si>
    <t>Roadmap Feature</t>
  </si>
  <si>
    <t>Accessibility Enhancements</t>
  </si>
  <si>
    <t>Maintainability Enhancements</t>
  </si>
  <si>
    <t>Usability Enhancements</t>
  </si>
  <si>
    <t>Batch Processing Enhancements</t>
  </si>
  <si>
    <t>Taxpayer Accounting Enhancements</t>
  </si>
  <si>
    <t>Performance Efficiency Enhancements</t>
  </si>
  <si>
    <t>IRM-39135</t>
  </si>
  <si>
    <t>User &amp; 3rd Party Access Management Enhancements</t>
  </si>
  <si>
    <t>Representations :  Additional info  in Agreements  /RM &amp; SS</t>
  </si>
  <si>
    <t>As an admin user, _x000D_
I need to capture the status, source system and integration time of representations defined as to be able to know how the representations were created._x000D_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[https://jira.intrasoft-intl.com/browse/IRM-36665] _x000D_
[https://jira.intrasoft-intl.com/browse/IRM-32538]   {color}{color:#172b4d}(data areas and support external systems as in LT branch)_x000D_
Delegations enhancements in [https://jira.intrasoft-intl.com/browse/IRM-38408] {color}_x000D_
_x000D_
 _x000D_
_x000D_
*Functional requirements*_x000D_
_x000D_
 _x000D_
_x000D_
*Additional details /fields:* _x000D_
 * Admin and Procedures may log (new fields)_x000D_
"{*}Source system{*}" (As the common cl used in all similar fields in system) , _x000D_
"{*}Purpose{*}" (as in other cases in system) ,  _x000D_
"{*}External created datetime{*}" (as in parties)_x000D_
*"Requested by External system"* , boolean  (to be used ERP system sends an authorization request)  _x000D_
in {*}Agreements{*},  *Agreements services* , {*}user rights{*}, *party role relationships* (most already available) and any other record that defines representations._x000D_
 * Source System , purpose, external dt fields are *optional.*_x000D_
It is suggested to define a default value for the "Source System"._x000D_
 * System will generate timestamps :  "{*}Created datetime{*}" , "{*}Last modified date time{*}" ,  in {*}Agreements{*},  *Agreements services* , {*}user rights{*}, *party role relationships* (most already available) _x000D_
(see already implemented parts in  [https://jira.intrasoft-intl.com/browse/IRM-32538]  ) _x000D_
 * Admin and users  may search and filter items per Source system, Requested by External system and Create/Modified date time. _x000D_
_x000D_
 _x000D_
_x000D_
 _x000D_
_x000D_
*Versioning*_x000D_
 * Changes should be logged in Audit log._x000D_
_x000D_
 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</si>
  <si>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 Admin and Procedures may log "{*}Source system{*}" (As the common cl used in all similar fields in system) , "{*}Purpose{*}" (as in other cases in system) ,  "{*}External created datetime{*}" , _x000D_
 # *"Requested by External system"* , boolean_x000D_
 #  in {*}Agreements{*},  *Agreements services* , {*}user rights{*}, *party tole relationships* (most already available) and any other record that defines representations._x000D_
 # Source System , purpose, external dt fields are *optional.* Suggested to define a default value for the "Source System"._x000D_
 # System will generate "{*}Created datetime{*}" , "{*}Last modified date time{*}" ,  in {*}Agreements{*},  *Agreements services* , {*}user rights{*}, *party tole relationships* (most already available) and any other record that defines representations. _x000D_
 # Admin and users  may search and filter items per Source system and Create/Modified date time, Requested by External system.</t>
  </si>
  <si>
    <t>Security Enhancements</t>
  </si>
  <si>
    <t>Tax Accounts Enhancements</t>
  </si>
  <si>
    <t>IRM-38759</t>
  </si>
  <si>
    <t>REFERENCE IMPLEMENTATIONS</t>
  </si>
  <si>
    <t>VAT</t>
  </si>
  <si>
    <t>Reference Implemenation - VAT</t>
  </si>
  <si>
    <t>VAT Tax Account Reference Implementation</t>
  </si>
  <si>
    <t>As a revenue officer, I would like to add debts and payments to a tax account, so that I am able to demo how Solon supports a VAT account (i.e., Tax Account only for VAT)._x000D_
_x000D_
*Introduction* _x000D_
_x000D_
This feature aims to create the necessary configuration for a Tax Account reference imp[lementation. The Overview of the Tax Account that is needed in all implementations using a Tax Account is in scope of feature ... _x000D_
_x000D_
*Functional Requirements*_x000D_
_x000D_
*Core Configuration Requirements*_x000D_
 # *Revenue Type Configuration*_x000D_
_x000D_
 * *"VAT for Tax Account" Revenue Type* with flags:_x000D_
 * taxAccount: true - Enable tax account functionality_x000D_
 * reconciliationPeriod: true - Enable reconciliation period support_x000D_
_x000D_
 * {*}Revenue Type Category{*}: PERIODIC_x000D_
 * {*}Revenue Type Actions{*}: FILING, PAYMENT_x000D_
 * {*}Calendar Integration{*}: Link to appropriate revenue calendars{*}{{*}}_x000D_
_x000D_
 _x000D_
 * *"VAT for Tax Account Ad hoc" Revenue Type* with flags:_x000D_
_x000D_
 * _x000D_
 ** taxAccount: true - Enable tax account functionality_x000D_
 ** reconciliationPeriod: true - Enable reconciliation period support_x000D_
_x000D_
 * {*}Revenue Type Category{*}: Ad Hoc_x000D_
 * {*}Revenue Type Actions{*}: PAYMENT_x000D_
_x000D_
 _x000D_
 # *Reconciliation Period Management*_x000D_
_x000D_
 * *Reconciliation Period Entity* configuration with:_x000D_
 * Period codes (e.g., "2024M1", "2024M2")_x000D_
 * Start and end dates for each period_x000D_
 * Active/Inactive status management_x000D_
_x000D_
 * *Revenue Type Registration Reconciliation Period* linking:_x000D_
 * Opening and closing balances per period_x000D_
 * Party informed indicator_x000D_
_x000D_
 # *Financial Transaction-Reconciliation period*_x000D_
_x000D_
 * {*}FT Reconciliation Period Link{*}: Enable FTs to reference reconciliation periods_x000D_
 * {*}Automatic Period Assignment{*}: Link FTs to reconciliation periods based on creation date_x000D_
 * {*}Validation Rules{*}: Ensure only revenue types with reconciliationPeriod: true can link to periods_x000D_
_x000D_
 # *Tax Account UI Configuration*_x000D_
_x000D_
 * {*}Specialized UI Schema{*}: entitySubType: 'TaxAcc_RP' for Revenue Type Registration_x000D_
 * {*}Balance Display{*}: Show opening/closing balances per reconciliation period_x000D_
 * {*}Period Timeline{*}: Visual representation of reconciliation periods_x000D_
 * {*}Balance Update Interface{*}: Enable manual balance adjustments with audit trail_x000D_
_x000D_
*Business Process Requirements*_x000D_
 # *Balance Management*_x000D_
_x000D_
 * {*}Opening Balance Recording{*}: Support initial balance entry per reconciliation period_x000D_
 * {*}Closing Balance Calculation{*}: Automatic calculation based on transactions and adjustments_x000D_
 * {*}Balance Transfer{*}: Opening balance of next period equals closing balance of previous period_x000D_
 * {*}Manual Adjustments{*}: Allow authorized balance corrections with proper validation_x000D_
_x000D_
 # *Debt and Payment Processing*_x000D_
_x000D_
 * {*}Debt Recording{*}: Create financial transactions for VAT liabilities_x000D_
 * {*}Payment Processing{*}: Record and allocate VAT payments to specific periods_x000D_
 * {*}Cross-Period Allocation{*}: Support payment allocation across multiple reconciliation periods_x000D_
 * {*}Interest and Penalty Calculation{*}: Apply to overdue amounts per period_x000D_
_x000D_
 _x000D_
_x000D_
*Documentation*_x000D_
Document all the above configuration for introducing a reference implementation for the Tax Account is vital for Demos and future implementation needs. _x000D_
_x000D_
 _x000D_
_x000D_
 </t>
  </si>
  <si>
    <t>By enhancing Solon Tax with a reference implementation for VAT Tax Account functionality, we will enable revenue officers to efficiently manage VAT debts and payments through reconciliation periods, providing a comprehensive demonstration of Solon Tax's capability to support requirements for VAT Tax Account.</t>
  </si>
  <si>
    <t>• Revenue Type VAT is configured with both taxAccount and reconciliationPeriod flags enabled_x000D_
• Reconciliation periods can be created, updated, and linked to VAT revenue type registrations_x000D_
• Financial transactions automatically link to appropriate reconciliation periods based on creation date_x000D_
• Opening and closing balances can be recorded and maintained per reconciliation period_x000D_
• Tax Account UI displays comprehensive period timeline with balance information_x000D_
• Revenue officers can add debts (assessments) and record payments against specific reconciliation periods_x000D_
• Balance calculations are accurate across period boundaries_x000D_
• Party informed status can be tracked and updated per reconciliation period_x000D_
• System validates that only reconciliation-period-enabled revenue types support period functionality_x000D_
• Audit trail captures all balance changes and period-related activities_x000D_
_x000D_
Documentation on the configuration guide for the necessary configuration needed to have the reference implementation of the Tax Account up and running. </t>
  </si>
  <si>
    <t>IRM-38710</t>
  </si>
  <si>
    <t>VAT Return Form - Warning for Intracommunity Transaction Enhancement</t>
  </si>
  <si>
    <t>As a RM User, I would like to see a warning when I fill in intracommunity transaction fields in the VAT Return Form, so that I am informed of my obligations to submit the corresponding VIES Statement in the respective deadline._x000D_
_x000D_
*Introduction* _x000D_
_x000D_
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
_x000D_
 _x000D_
_x000D_
*Functional Requirements*_x000D_
_x000D_
*Field Label Corrections*_x000D_
The following field labels in the VAT Return Form will be renamed to accurately reflect their purpose:_x000D_
_x000D_
VAT on Sales Section:_x000D_
_x000D_
TOTAL SALES BUYER OBLIGATED → Intracommunity Sales_x000D_
TOTAL SALES BUYER NOT OBLIGATED → Intracommunity Sales without VAT_x000D_
VAT on Purchases Section:_x000D_
_x000D_
TOTAL PURCHASES BUYER OBLIGED FOR VAT → Intracommunity Purchases_x000D_
TOTAL PURCHASES BUYER NOT OBLIGED FOR VAT → Intracommunity Purchases without VAT_x000D_
_x000D_
_x000D_
_x000D_
*Warning Implementation*_x000D_
When any of the intracommunity transaction fields contain values, the system shall display a warning message:_x000D_
_x000D_
Warning Message:_x000D_
_x000D_
"For these transactions, in addition to the VAT return, you are required to submit the corresponding *VIES Statement* by the 25th day of the following month."_x000D_
_x000D_
Warning Behavior:_x000D_
 * Warning appears when any intracommunity field has a non-zero value_x000D_
 * User can proceed with form submission despite the warning_x000D_
 * Warning persists until form is submitted or fields are cleared</t>
  </si>
  <si>
    <t>This enhancement aims to showcase an example of Solon Tax capability for warnings. Business case aims to reduce taxpayer compliance errors by providing clear field labeling and proactive warnings about VIES Statement obligations.</t>
  </si>
  <si>
    <t>h3. Field Label Updates_x000D_
_x000D_
All four intracommunity transaction fields display updated labels as specified below: _x000D_
_x000D_
VAT on Sales Section:_x000D_
_x000D_
{{TOTAL SALES BUYER OBLIGATED}} → *{{Intracommunity Sales}}*_x000D_
_x000D_
{{TOTAL SALES BUYER NOT OBLIGATED}} → *{{Intracommunity Sales without VAT}}*_x000D_
VAT on Purchases Section:_x000D_
_x000D_
{{TOTAL PURCHASES BUYER OBLIGED FOR VAT}} → *{{Intracommunity Purchases}}*_x000D_
_x000D_
{{TOTAL PURCHASES BUYER NOT OBLIGED FOR VAT}} → *{{Intracommunity Purchases without VAT}}*_x000D_
 * Labels are consistent across all form views (edit, read-only, validation)_x000D_
 * Field functionality remains unchanged - only labels are updated_x000D_
_x000D_
h3. Warning Implementation_x000D_
_x000D_
When any of the intracommunity transaction fields contain values, the system shall display a warning message:_x000D_
_x000D_
*Warning Message:*_x000D_
{quote}"For these transactions, in addition to the VAT return, you are required to submit the corresponding *VIES Statement* by the 25th day of the following month."_x000D_
{quote}_x000D_
h3. Warning Display Logic_x000D_
 * Warning appears when any intracommunity field (Amount or Adjustment) contains non-zero values_x000D_
 * Warning message displays the exact text specified above with "{*}VIES Statement{*}" in bold_x000D_
 * Warning is classified as a warning (not error) allowing form submission to proceed_x000D_
 * No impact on existing form functionality or performance_x000D_
_x000D_
h3. Warning Persistence_x000D_
 * Warning remains visible throughout form editing session_x000D_
 * Warning disappears when all intracommunity fields are cleared/set to zero_x000D_
 * Warning does not prevent form validation, saving, or submission_x000D_
_x000D_
h3. User Experience_x000D_
 * Warning appears in the standard warning notification area_x000D_
 * Warning uses appropriate warning styling (amber/yellow color scheme)_x000D_
 * Warning includes appropriate warning icon_x000D_
 * Warning message is clearly readable and professionally formatted</t>
  </si>
  <si>
    <t>UI Configuration Enhancements</t>
  </si>
  <si>
    <t>IRM-38680</t>
  </si>
  <si>
    <t>UI/UX Improvements : Form Field , Change state of typed text in capitals</t>
  </si>
  <si>
    <t>As a configurator I need to be able to add fields  in forms that change text to capitals and store then in db string in capitals_x000D_
_x000D_
 _x000D_
_x000D_
*Functional requirements*_x000D_
_x000D_
Widget/component to  used in forms' fields when needed to  automatically convert what is typed by used  to capitals letters. _x000D_
Example: _x000D_
_x000D_
typing :  tEst_x000D_
_x000D_
displaying:  TEST_x000D_
_x000D_
Saving : TEST</t>
  </si>
  <si>
    <t>Widget/component to  used in forms' fields when needed to  automatically convert what is typed by used  to capitals letters. </t>
  </si>
  <si>
    <t>Form Processing Enhancements</t>
  </si>
  <si>
    <t>Traceability Enhancements</t>
  </si>
  <si>
    <t>IRM-38250</t>
  </si>
  <si>
    <t>REFERENCE DATA</t>
  </si>
  <si>
    <t>Reference Data Enhancements</t>
  </si>
  <si>
    <t>Enhance codelist items codes flexibility and historical track in Solon Tax</t>
  </si>
  <si>
    <t>As an RM Admin, I can update reference data with a codelist item having a code that is not unique, while its description is updated with different validity periods (no overlap), so as to comply with EU regulating updates._x000D_
_x000D_
*Introduction* _x000D_
_x000D_
*Tax Activity Codes in the EU:* There is no single "tax code" for all EU members. Instead, three main systems are used:_x000D_
 * {*}NACE Codes{*}: The official statistical classification for economic activities. The current version is *NACE Rev. 2.1* (effective Jan 1, 2025). Attached in this feature for reference. _x000D_
 * {*}VAT Category Codes{*}: Standardized letters (e.g., *S* for Standard, *E* for Exempt) used in electronic invoicing._x000D_
 * {*}VATEX Codes{*}: Specific codes used to justify *VAT exemptions* based on EU Directive 2006/112/EC._x000D_
 * *Customs Codes (TARIC/CN)* For the import/export of goods, the Combined Nomenclature (CN) is used, which is an 8-digit coding system. _x000D_
_x000D_
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
 * {*}Structure{*}: The first 4 characters of an eight-digit Greek KAD are fully identical to the 4 characters of the corresponding NACE code._x000D_
 * {*}2026 Harmonization{*}: AADE recently proceeded (as of 01/03/2026) with an automatic update of KADs for 1.9 million Tax IDs (AFM), in order to fully harmonize them with the new European standard {*}NACE Rev. 2.1{*}._x000D_
 * {*}Purpose{*}: This mapping ensures that economic activities in Greece are comparable to those of other EU member states for statistical and regulatory purposes._x000D_
_x000D_
*When a Code is Updated*_x000D_
_x000D_
When the EU updates the NACE structure:_x000D_
 * {*}Automatic Migration{*}: Most codes are automatically updated by national tax authorities (like AADE in Greece) if there is a 1-to-1 match._x000D_
 * {*}Manual Selection{*}: If one old code splits into multiple new ones, the taxpayer must manually select the most accurate one via the tax portal._x000D_
 * {*}Description Changes{*}: A code's number *can stay the same while its description* *is updated* to reflect modern technology or clearer definitions._x000D_
_x000D_
Validity and History_x000D_
 * {*}Historical Accuracy{*}: A code must be valid for the period it was used. If you are filing an amended return for 2024, you use the code that was active in 2024, not the new 2025/2026 version._x000D_
 * {*}EU-Wide Validity{*}: This principle of historicity applies to all EU countries. While the digital portals differ (e.g., myAADE in Greece), the transition logic to NACE Rev. 2.1 is harmonized across the Union._x000D_
_x000D_
For Greek Tax Authority_x000D_
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
 * {*}System Maintenance{*}: AADE and Eurostat systems maintain the "historical versions" of the codes. If you need to file an amended return for a previous year, you must use the old code that corresponded to that specific period._x000D_
 * {*}Migration (Mapping){*}: The mapping performed by AADE does not "erase" the past; it creates a new entry in your Registry history. The "Registry Certificate" will show the expiration date of the old code and the start date of the new one._x000D_
 * {*}Audits and Cross-checks{*}: In the event of a tax audit for a past fiscal year, auditors examine the activity based on the description and the code that were in effect at the time of the transaction._x000D_
_x000D_
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
_x000D_
*Current Implementation Support*_x000D_
_x000D_
The platform currently supports:_x000D_
 * Unique code constraint for codelist items within a codelist_x000D_
 * Basic validity period management with valid_from and valid_to fields_x000D_
 * Codelist item labels with language support_x000D_
_x000D_
*To Be Implementation*_x000D_
_x000D_
Allow the same code to be added for different validity periods with:_x000D_
 * No overlap between validity periods for the same code_x000D_
 * Different descriptions for the same code across different time periods_x000D_
 * Historical data preservation for reporting and backdated updates_x000D_
_x000D_
*Functional Business Requirements*_x000D_
 # {*}Historical Code Management{*}: Enable codelist items to have the same code with different descriptions across non-overlapping validity periods_x000D_
 # {*}Temporal Data Integrity{*}: Ensure no validity period overlaps exist for items with the same code within a codelist_x000D_
 # {*}Backdated Processing Support{*}: Allow selection of historical codelist items when processing backdated taxpayer updates_x000D_
 # {*}Regulatory Compliance{*}: Support EU tax code evolution requirements (NACE Rev. 2.1)_x000D_
 # {*}Reporting Continuity{*}: Maintain historical reference data for accurate reporting across different time periods_x000D_
_x000D_
*Documentation*_x000D_
Document all the above adjustments for updating reference data to support compliance with EU updates codes not unique per validity period._x000D_
_x000D_
 _x000D_
_x000D_
*Non functional requirements*_x000D_
Performance , Security, Traceability, Accessibility, Usability  DODs should be fulfilled. </t>
  </si>
  <si>
    <t>This enhancement will enable accurate historical tax processing and compliance with EU regulations that require code evolution while maintaining historical accuracy for reporting and backdated transactions.</t>
  </si>
  <si>
    <t>* Same codelist item code can exist multiple times with different validity periods (no overlap)_x000D_
 * Different descriptions can be associated with the same code across different time periods_x000D_
 * Historical codelist items are preserved and accessible for reporting_x000D_
 * Backdated taxpayer updates can select appropriate historical codelist items based on transaction date_x000D_
 * System validates no overlapping validity periods for same code within a codelist_x000D_
 * Migration functionality supports automatic code updates when 1-to-1 mapping exists_x000D_
 * Manual selection interface available when one code splits into multiple new codes_x000D_
 * API endpoints support querying codelist items by effective date_x000D_
 * UI displays historical versions of codelist items appropriately</t>
  </si>
  <si>
    <t>IRM-38190</t>
  </si>
  <si>
    <t xml:space="preserve">Representations : Form Types and Access to Apis  as Services / Reference implementation </t>
  </si>
  <si>
    <t>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"submit e-invoices"- _x000D_
_x000D_
 _x000D_
_x000D_
*Functional Requirement*_x000D_
_x000D_
Define an right o be used for Agreements:   _x000D_
_x000D_
a) Based on Form Types_x000D_
 * View and Post BUSREG_x000D_
 * View and Post VAT return_x000D_
 * View only VAT return_x000D_
 * View only Busreg and vat return_x000D_
_x000D_
b) -Based on APIs-_x000D_
 * -Be able to access external apis- (example : [https://jira.intrasoft-intl.com/browse/PSD-15198] ) _x000D_
_x000D_
 _x000D_
_x000D_
 _x000D_
_x000D_
 _x000D_
_x000D_
AS-IS: _x000D_
_x000D_
!image-2026-03-05-17-56-01-645.png!_x000D_
_x000D_
AADE :_x000D_
!image-2026-03-05-17-59-15-270.png!_x000D_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</si>
  <si>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Define an right o be used for Agreements:   _x000D_
_x000D_
a) Based on Form Types_x000D_
b) -Based on APIs-</t>
  </si>
  <si>
    <t>IRM-37845</t>
  </si>
  <si>
    <t>REGISTRATION</t>
  </si>
  <si>
    <t>Registration Enhancements</t>
  </si>
  <si>
    <t>Enhance Validity period conditions in Registry detail entities to support multiple modifications in the same date</t>
  </si>
  <si>
    <t>As a revenue officer I need to be able to complete several Party details changes in the same date and system will allow this without effecting uniqueness and overlapping checks that are applied to Party and Party Role child entities with valid-from/valid-to periods._x000D_
_x000D_
The same logic must also apply when system determines which registry records are considered valid for a specific date (e.g., Today view in the UI or a historical date view)._x000D_
_x000D_
The solution should be able to support same day changes for : _x000D_
_x000D_
a) records with valid-from/valid-to dates are considered duplicated or overlapping._x000D_
b) primary records with valid-from/valid-to dates are considered duplicated._x000D_
c) The criteria used to determine which records are valid on a specific reference date (current date or historical date)._x000D_
_x000D_
Child objects to be considered : _x000D_
 * {color:#172b4d}Party role{color}_x000D_
 * {color:#172b4d}party_identifier, party_name{color}_x000D_
 * Party_state, party_address, party_contact ,Bank account  , Preferences,  party_classification, party additional details_x000D_
 * {color:#172b4d}party_role_relationship, asset_party_role_relationship, asset_to_asset_relationship, valuation , party role eligible states {color}_x000D_
_x000D_
Assumption : We assume that the error handing and the exceptions logged as well as the remaining uniqueness validations mechanisms are functional in the product for all registry entities. (Party , Party role, Claimant, User, Organ. Unit, Asset)_x000D_
_x000D_
 _x000D_
_x000D_
*Functional requirements*_x000D_
_x000D_
 _x000D_
_x000D_
*New Fields* _x000D_
_x000D_
For all the above mentioned Party child objects, Party , Party Role, add Optional fields_x000D_
 * *Valid State?* , Boolean _x000D_
Default value = true_x000D_
 * *Valid State  Reason*_x000D_
Free text _x000D_
 * (!)   Define if a record type should be checked for uniqueness or not. This may create conflicts that there are suggested rules to overcome. _x000D_
*Field: Check if unique?*  /Boolean_x000D_
Default value = true_x000D_
 * Make fields searchable_x000D_
 * Make fields visible in the UI_x000D_
 * Make fields updatable as/where the Valid from /to fields are_x000D_
 * Move the information to relevant Party role sections (as Valid from/to) _x000D_
 * Default values :_x000D_
 ** All existing records are migrated with valid_state = true_x000D_
 ** All existing records are migrated with Check if unique= true_x000D_
_x000D_
*Rules for Unique record check:*_x000D_
_x000D_
For the same record type (or per case additional filters are used, such as in Identifiers the country) , _x000D_
If the record is *flagged as Valid*_x000D_
check  if the period is not overlapping other periods if *CheckifUnique* is checked as true. If checked as false then no need to make any checks for the specific record or include this record in other checks.  In case of conflicts the first option based on start date sorting,  that is valid = true will be selected. _x000D_
In case of *end date = other records start date* then the end date overlapping with other record start date is ignored. (i.e. only end date of one period is the same as the start date of another period, see bullet 4) _x000D_
Start date is checked primary to define the period that record is valid. _x000D_
_x000D_
 _x000D_
_x000D_
+Basics:+ _x000D_
 # If a record  flag {*}Valid{*}? = false : it is ignored during uniqueness checks and for primary checks._x000D_
 # If a record  flag {*}CheckifUnique{*}? = false : it is ignored during uniqueness checks and for primary checks.  Record can be valid.  (!)_x000D_
_x000D_
+Examples Conditions:+_x000D_
_x000D_
1 . If a record *Start date* = {*}End date{*}= *Y*  , Flag Valid ? = true  :_x000D_
record is selected primary or considered *proper* entry for date Y   (primary set for start date Y,  if flagged as primary) _x000D_
_x000D_
2.  If  Record 1 start date end = A  and end date = X  , valid = true_x000D_
and Record 2 start date = X , end date = B , valid = true_x000D_
Then these records are not considered overlapping (although in current rule are consider overlapping). This is a *proper* condition. _x000D_
On date X, the valid record is Record2 (the record with start date X)_x000D_
Not the one with end date = X (Record 1)._x000D_
_x000D_
3.  If Record1: start date is null , end date  = X  , valid = true_x000D_
Record2: start date  = X , end date  = null  , valid = true_x000D_
The record 2 is selected primary or the considered for date x . This is a *proper* condition. _x000D_
_x000D_
3.  If Record1: start date is null , end date  = null  , valid = true_x000D_
Record2: start date  = X , end date  = null   , valid = true_x000D_
 System will not allow this because of overlapping in other days because of start dates(!)_x000D_
_x000D_
4. If two records of the same type, _x000D_
and both have Valid state = true, _x000D_
when their validity periods overlap as they have same start date the system rejects the change due to overlapping validity periods. (!)_x000D_
Record1: start date  =  X, end date  = A  , valid = true_x000D_
Record2: start date  =  X , end date  = B  , valid = true_x000D_
_x000D_
_x000D_
+Other :+_x000D_
 # A record is considered for date D when: _x000D_
valid state = true and _x000D_
start date &lt;= D AND (end date is null OR end date &gt; D)_x000D_
or_x000D_
If start date = end date = D_x000D_
 # If multiple changes occur in the same transaction, Uniqueness validation must run after the end of batch updates. _x000D_
 # If valid_state = false , state_reason must be populated_x000D_
 # If all record for a type are not valid then the system will behave like not having any record available_x000D_
 # (as mentioned above) . If Check if Valid id checked as false then no need to make any checks for the specific record or include this record in other checks.  In case of conflicts the first option based on start date sorting,  that is valid = true will be selected._x000D_
 # If valid to = null means infinite validity_x000D_
 # API queries using reference dates follow the same validity rules_x000D_
 # the  included fields in uniqueness checks already considered (e.g. in Identities the countries, or the type of the record) should continue be used._x000D_
_x000D_
 _x000D_
_x000D_
*Apply to :*_x000D_
 * Validation of Uniqueness of primary records per period_x000D_
 * Validation of Uniqueness of records per type (and other flags as per entity) per period_x000D_
 * Define the visibly records that defines the view of today, history date, date in the past _x000D_
_x000D_
*UI :*_x000D_
_x000D_
BE able to  Filter history records by valid from date_x000D_
 If valid_state = false , state_reason must be populated_x000D_
Project may define if  Valid = false and Check if unique is false records should be displayed or not.  _x000D_
_x000D_
 _x000D_
_x000D_
 _x000D_
_x000D_
!image-2026-03-03-17-43-14-417.png!_x000D_
_x000D_
15/1 -&gt; Anna Papa_x000D_
_x000D_
 _x000D_
_x000D_
*Documentation*_x000D_
Document all the above adjustments. _x000D_
_x000D_
 _x000D_
_x000D_
*Non functional requirements*_x000D_
Performance , Security, Accessibility, Usability  DODs should be fulfilled. _x000D_
_x000D_
 </t>
  </si>
  <si>
    <t>A)  *New Fields* _x000D_
 # For all the above mentioned Party child objects, add Optional fields _x000D_
Valid State? , Boolean_x000D_
 # State Reason, Free text _x000D_
 # Field: Check if unique?  /Boolean_x000D_
Default value = true_x000D_
 # Make fields searchable_x000D_
 # Make fields visible in the UI_x000D_
 # Make fields updatable as/where the Valid from /to fields are_x000D_
 # Move the information to relevant Party role sections (as Valid from/to) _x000D_
 # Default value of valid_state = true (e.g. when creating a record)_x000D_
 # All existing records are migrated with valid_state = true_x000D_
 # All existing records are migrated with Check if unique = true_x000D_
_x000D_
 _x000D_
_x000D_
B) *Uniqueness Rules*_x000D_
 # Then only records with valid state = true and Check if unique = true participate in uniqueness checks.  Records with valid state = false or Check if unique = false  are ignored._x000D_
 # If two records of the same type,  and both have Valid state = true, when their validity periods overlap, the system rejects the change due to overlapping validity periods._x000D_
 #  Record start date = end date is not considered overlap as explained in functional requirements. On date X, the valid record is the record with start date X._x000D_
 # Only one primary valid state = true  record can exist per date (same rules with same date as above , example sin functional requirements)_x000D_
 # See functional requirements for details. _x000D_
_x000D_
_x000D_
_x000D_
C) *UI* _x000D_
 # The history records are sorted by start date_x000D_
 #  If valid state = false , state reason must be populated</t>
  </si>
  <si>
    <t>IRM-37825</t>
  </si>
  <si>
    <t>BILLING, ASSESSMENTS AND INSTALLMENTS</t>
  </si>
  <si>
    <t>Billing &amp; Assessments Enhancements</t>
  </si>
  <si>
    <t>Transfer Amount - Enhancement on configuration of Bill segment types</t>
  </si>
  <si>
    <t>As an admin, I need to configure the bill segment types generated by the Transfer Amount process so they align with existing, predefined bill segment configurations used in other relevant procedures (e.g., for the same revenue types and bill segment categories)._x000D_
_x000D_
In the as-is, one Bill segment type is defined and be used for source and target bill segments._x000D_
_x000D_
 _x000D_
_x000D_
*Functional Requirements*_x000D_
_x000D_
 _x000D_
_x000D_
*A)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segment._x000D_
_x000D_
 _x000D_
_x000D_
*Documentation*_x000D_
Document all the above adjustments. _x000D_
_x000D_
*Non functional requirements*_x000D_
It is expected that the team is manage to collaborate with specialists and ensure that the solution improves or maintain the product's : _x000D_
Performance , Security, Accessibility, Usability  _x000D_
It is expected that all DODs are fulfilled. </t>
  </si>
  <si>
    <t>By enabling admins to configure separate bill segment types for source and target segments in the Transfer Amount process, we ensure alignment with existing, predefined bill segment configurations used across other procedures. This reduces configuration duplication, minimizes manual corrections, and improves consistency across revenue types and bill segment categories.</t>
  </si>
  <si>
    <t>*A)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t>
  </si>
  <si>
    <t>IRM-37721</t>
  </si>
  <si>
    <t>More details availability in Revenue types, searching enhancements in  Fts and RTs</t>
  </si>
  <si>
    <t>As a revenue officer I need to describe with more details revenue type and related tax as to be able to use this categorization in decisions in flows and journal entries creation in system. _x000D_
_x000D_
*Functional Requirements*_x000D_
_x000D_
*A)* New OPTIONAL fields in Revenue Type:  _x000D_
 * Checkbox: Actively used_x000D_
Default value = Checked_x000D_
 * New cl field  : *Revenue Domain*_x000D_
 ** Demo values: _x000D_
VAT _x000D_
Income 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</si>
  <si>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More details will support customers to segment revenue types and use these details in flows and gl decision table if needed.  </t>
  </si>
  <si>
    <t>*A)* New OPTIONAL fields in Revenue Type:  _x000D_
 * Checkbox: Actively used_x000D_
Default value = Checked_x000D_
 * New cl field  : *Revenue Domain*_x000D_
 ** Demo values: _x000D_
VAT_x000D_
Income_x000D_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(RTs search)*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*(FTs search)*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t>
  </si>
  <si>
    <t>IRM-37212</t>
  </si>
  <si>
    <t>View Organizational structure and taxpayers hierarchy structure – User / Part 2 of 2</t>
  </si>
  <si>
    <t>cont. [https://jira.intrasoft-intl.com/browse/IRM-11539] _x000D_
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expressed in the system as party roles (that is recommended) _x000D_
_x000D_
Dependency:  IRM-36002 _x000D_
_x000D_
 _x000D_
_x000D_
*SCOPE : List view, searching and party assignment.* _x000D_
_x000D_
*Functional Requirements*_x000D_
_x000D_
+Organizational Units+_x000D_
 * In Org Units page: User can click a button to see an org. units tree where each node in this tree represents an descendant Org. Unit For each node the user can see information that uniquely identifies an Org. Unit. _x000D_
 * Within the tree the user can select to open an organizational unit to see more details in a new page._x000D_
 * In list page: User may click the Parent Org. unit link to open the parent Org unit. _x000D_
 * Users can search for the immediate parent or any ancestor organizational unit._x000D_
_x000D_
+Organizations / Taxpayers (Parties)+_x000D_
 * In Party page history view, the user may assign a parent party._x000D_
 * In Party page as today view it displays a link of the parent Party (if any), which if selected opens the parent Party page._x000D_
 * In list page: User may see any parent party as link. User may click the link to open the parent party in a new page. _x000D_
 * Users can search for the immediate parent or any ancestor party._x000D_
_x000D_
+Assets+_x000D_
 * In Asset page: User can click a button see an Asset tree where each node in the tree represents an descendant Asset. For each entity the user can see information that uniquely identifies this Asset._x000D_
 * Within the descendants' tree representation a user can click any node to see more details in a new page._x000D_
 * In Assets page history view, the user may assign a parent asset._x000D_
 * In Assets page as today view it displays a link of the parent asset (if any), which if selected opens the parent Party page._x000D_
 * In list page: User may see any parent Assets as link. User may click the link to open the parent Asset. _x000D_
 * In Asset page: User can click a button to see an tree representation where each node in the tree represents an descendant Asset. For each Asset the user can see information that uniquely identifies an Asset._x000D_
 * In this tree a user can open in a new page any descendant Asset to see more details._x000D_
 * Users can search for the immediate parent or any ancestor asset._x000D_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!image-2026-02-15-11-58-59-410.png!_x000D_
_x000D_
!image-2026-02-15-12-09-39-450.png!_x000D_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</si>
  <si>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If revenue officials can view a graphical representation (tree structure) of organizational units they will better understand structural relationships, reporting lines, and operational responsibilities, which will improve navigation efficiency, reduce misrouting  and enhance experience. </t>
  </si>
  <si>
    <t>+A. Organizational Units+_x000D_
 # In Org Units page: User can click a button to see an org. units tree where each node in this tree represents an descendant Org. Unit For each node the user can see information that uniquely identifies an Org. Unit. _x000D_
 # Within the tree the user can select to open an organizational unit to see more details in a new page._x000D_
 # In list page: User may click the Parent Org. unit link to open the parent Org unit. _x000D_
 # Users can search for the immediate parent or any ancestor organizational unit._x000D_
_x000D_
+B. Taxpayers (Parties)+_x000D_
 # In Party page history view, the user may assign a parent party._x000D_
 # In Party page as today view it displays a link of the parent Party (if any), which if selected opens the parent Party page._x000D_
 # In list page: User may see any parent party as link. User may click the link to open the parent party in a new page. _x000D_
 # Users can search for the immediate parent or any ancestor party._x000D_
_x000D_
+C. Asset+_x000D_
 # In Asset page: User can click a button see an Asset tree where each node in the tree represents an descendant Asset. For each entity the user can see information that uniquely identifies this Asset._x000D_
 # Within the descendants' tree representation a user can click any node to see more details in a new page._x000D_
 # In Assets page history view, the user may assign a parent asset._x000D_
 # In Assets page as today view it displays a link of the parent asset (if any), which if selected opens the parent Party page._x000D_
 # In list page: User may see any parent Assets as link. User may click the link to open the parent Asset. _x000D_
 # In Asset page: User can click a button to see an tree representation where each node in the tree represents an descendant Asset. For each Asset the user can see information that uniquely identifies an Asset._x000D_
 # In this tree a user can open in a new page any descendant Asset to see more details._x000D_
 # Users can search for the immediate parent or any ancestor asset.</t>
  </si>
  <si>
    <t>Reliability Enhancements</t>
  </si>
  <si>
    <t>IRM-36668</t>
  </si>
  <si>
    <t>DOCUMENT MANAGEMENT INTEGRATION</t>
  </si>
  <si>
    <t>Document Management Integration Enhancements</t>
  </si>
  <si>
    <t>Digital Signatures - System digital signing of PDF documents generated by bpmn process</t>
  </si>
  <si>
    <t>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
_x000D_
This capability must be reusable, configurable, auditable, and resilient to failures._x000D_
_x000D_
*Background :*_x000D_
In the current (as-is) systems:_x000D_
Documents are generated via operational reports _x000D_
Documents may be instructed to be generated via BPMN flows._x000D_
Documents may be sent to contacts and/or stored as attachments. _x000D_
Attachments can be linked to a Document Management System (DMS) via integration._x000D_
_x000D_
*Assumptions :* _x000D_
*a)* Revenue authority will supplied by an External provider the digital stamp (ψηφιακή σφραγίδα) in ΡΕΜ or PKC#7 files_x000D_
Then the configurations for digital signs and certificate will be used for documents signature. _x000D_
./pdf_sign_pem_multicert &lt;input_pdf&gt; &lt;output_pdf&gt; &lt;cert.pem&gt; &lt;key.pem&gt;_x000D_
_x000D_
for our tests we need to use one from CA authority _x000D_
*b)* Any additional elements (document IDs, DMS URLs, QR codes) must be printed on the document via project-specific implementation._x000D_
{*}c){*}Attachments are integrated with a DMS per customer configuration and responsibility._x000D_
*d)* One reference configuration for one digital signature will be only will be available for testing purposes (as demo). If projects needs several signatures, they may be able to configure them in the system.  _x000D_
_x000D_
*Out of Scope* (for now)_x000D_
End-user personal digital signatures_x000D_
Non-PDF document formats_x000D_
Additional IDs or other document additional elements other than digital signature. (document ID, qr code)_x000D_
_x000D_
 _x000D_
_x000D_
 _x000D_
_x000D_
*Functional Requirements*_x000D_
_x000D_
*Digital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(by a reserve id method optionally to be used  in the upload  and that may be used if  needed by configurators) 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_x000D_
_x000D_
*Example*_x000D_
_x000D_
!image-2026-02-16-00-37-24-460.png|width=685,height=402!_x000D_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+Security+_x000D_
Certificates and private keys must be stored securely (e.g., HSM, secure vault, encrypted storage) or other repository. _x000D_
Access to signing functionality must be restricted and auditable._x000D_
_x000D_
+Auditability+_x000D_
Every signing action must be logged:_x000D_
Who/what triggered the signing_x000D_
Timestamp_x000D_
Document ID_x000D_
Certificate used_x000D_
_x000D_
+Performance+_x000D_
Signing should not block critical user flows beyond acceptable SLA limits._x000D_
Support async signing for large documents or batch processing._x000D_
_x000D_
+Configurability+_x000D_
Be able to select different configurations for digital signs  to be used.  _x000D_
_x000D_
 _x000D_
_x000D_
*Notes:* _x000D_
In Gr used:  [https://www.harica.gr/el/Products/eSeal] _x000D_
----_x000D_
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
_x000D_
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t>
  </si>
  <si>
    <t>Implementing a *digital signature service integrated with BPMN workflows* will allow documents generated by the system to be *automatically and securely signed using configurations*_x000D_
_x000D_
This capability will:_x000D_
 * *Improve compliance and legal validity* of system-generated documents by supporting industry standards such as {*}PAdES for PDF digital signatures{*}._x000D_
_x000D_
 * *Increase process automation* by enabling BPMN workflows to trigger document signing without manual intervention._x000D_
_x000D_
 * *Enhance auditability and traceability* by maintaining audit logs for document generation, signing, and updates._x000D_
_x000D_
 * *Provide flexibility and configurability* by allowing administrators to configure multiple certificates and enabling workflows to dynamically select the appropriate signature._x000D_
_x000D_
 * *Improve user trust and document authenticity* by displaying visible digital signature stamps and ensuring documents remain verifiable in standard PDF readers._x000D_
_x000D_
 * *Support integration with enterprise document management systems (DMS)* through storage and synchronization of signed documents as attachments._x000D_
_x000D_
 * *Reduce operational effort and processing time* by eliminating manual signing steps and embedding signing directly into business processes._x000D_
_x000D_
Overall, this capability will *strengthen document governan*</t>
  </si>
  <si>
    <t>*Digital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(project will add this id via a reserve id method optionally to be used  in the upload)_x000D_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t>
  </si>
  <si>
    <t>Self Service Services Management Enhancements</t>
  </si>
  <si>
    <t>In Progress</t>
  </si>
  <si>
    <t>IRM-34598</t>
  </si>
  <si>
    <t>Digital Signatures - Validate signatures in attachments RM &amp; SS/ Reference Implementation</t>
  </si>
  <si>
    <t>As a revenue authority users and SS users, I need to be able to validate digital signatures of documents that I am attaching in entities in system (e.g. form) _x000D_
_x000D_
*Out of scope  :* _x000D_
The maintenance of trusted lists are part of the configurator resposibilities_x000D_
_x000D_
 _x000D_
_x000D_
*Functional requirements*_x000D_
 *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signed._x000D_
 * A visual sign is displayed when document is verified._x000D_
_x000D_
Reference implementation : _x000D_
 * While working with a form in SS and in RM  user may upload document and check to verify signature._x000D_
upload a document,  try to verify the document's digital signature , trusted lists , check checksum in the body ) _x000D_
_x000D_
 _x000D_
_x000D_
*Notes:* _x000D_
Need list of trusted providers and then check checksum in the body_x000D_
_x000D_
 </t>
  </si>
  <si>
    <t>Reference implementation for additional steps of user journey , when working with digital signed docuements.</t>
  </si>
  <si>
    <t>*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verified._x000D_
 * A Reference implementation to verify the above functionality (for at least one demo digital signature provider)  </t>
  </si>
  <si>
    <t>CONTACT MANAGEMENT</t>
  </si>
  <si>
    <t>Contact Management Enhancements</t>
  </si>
  <si>
    <t>Operability Enhancements</t>
  </si>
  <si>
    <t>IRM-31187</t>
  </si>
  <si>
    <t>Amplio Batch - improvements and maintenance part 2</t>
  </si>
  <si>
    <t>h2. Overview_x000D_
_x000D_
This initiative modernizes the Amplio batch processing system by enhancing maintainability, resilience, and operational flexibility. Building on learnings from the Lithuania project, the work focuses on refactoring existing batch jobs rather than creating new features._x000D_
h2. Key Objectives_x000D_
_x000D_
*Resilience &amp; Performance:*_x000D_
 * Isolate failures in PAYMENT_FILE_BATCH_JOB to prevent single invalid files from halting entire batch job._x000D_
 * Implement chunk-based processing for Journal Entry Export batch job to prevent OutOfMemoryError_x000D_
 * Optimize long-running queries to reduce application startup time (Penalty Interest Calculation)_x000D_
_x000D_
*Operational Flexibility:*_x000D_
 * Enable runtime parameters for batch jobs (Obligation Maintenance, Penalty Interest Calculation, Handover Debt, Journal Entry Export) replacing static environment variables_x000D_
 * Implement configuration-based job enable/disable mechanism synchronized with the database_x000D_
_x000D_
*Code Health:*_x000D_
 * Standardize project structure and package naming (replace {{...etl...}} with {{{}...batch.batchjob...{}}})_x000D_
 * Centralize duplicated configurations (Keycloak credentials, DataSource, FeignClient beans)_x000D_
 * Resolve artifact naming conflicts between batch and batch-custom projects_x000D_
 * Clean up redundant POM dependencies_x000D_
_x000D_
h2. Scope_x000D_
_x000D_
*In Scope:* Refactoring, optimization, and standardization of existing batch jobs and infrastructure *Out of Scope:* Framework upgrades, new business logic, UI changes, batch engine migration, new unit tests_x000D_
h2. Business Value_x000D_
 * Improved system resilience and reduced manual intervention_x000D_
 * Enhanced operational flexibility for administrators_x000D_
 * Faster application startup and deployment cycles_x000D_
 * Reduced technical debt and improved long-term maintainability_x000D_
 * More stable and secure codebase</t>
  </si>
  <si>
    <t>IRM-30668</t>
  </si>
  <si>
    <t>Amplio batch - Replacement of SCDF with Amplio (Part 2)</t>
  </si>
  <si>
    <t>The main goal of the feature, is to migrate the remaining batch jobs to the Amplio Batch engine._x000D_
h2. 1. Job migrations_x000D_
h3. 1.1 revenue-management-batch repository_x000D_
_x000D_
In the revenue-management-batch repository, the following missing jobs marked as BASE, needs to be migrated:_x000D_
|*Image Name*|*Category*|*Release*|*GR AADE priority* |_x000D_
|overpayment-process|BASE|TBD|p1|_x000D_
|direct-deposit|BASE|TBD|p1|_x000D_
|object-access-group-initialization*|BASE|TBD|p1|_x000D_
|archive-data|BASE|TBD|p2|_x000D_
|data-nomination|BASE|TBD|p2|_x000D_
|delete-data|BASE|TBD|p2|_x000D_
|gdpr-anonymize-data|BASE|TBD|p3|_x000D_
|gdpr-deletion|BASE|TBD|p3|_x000D_
 * This job needs to be refactored, to not use temporary tables anymore and is therefore not a 1-1 migration._x000D_
h3. 1.2 revenue-management-batch-custom repository_x000D_
_x000D_
In the revenue-management-batch-custom repository, the following missing jobs marked as EXAMPLE, needs to be migrated:_x000D_
|*Image Name*|*Category*|*Release*|{*}GR AADE priority{*}{*}{*}|_x000D_
|candidate-case-creation|EXAMPLE|TBD|p1|_x000D_
|late-filer-rule|EXAMPLE|TBD|p1|_x000D_
|compliance-monitor|EXAMPLE|TBD|p2|_x000D_
|release-suppression|EXAMPLE|TBD|p3|_x000D_
|suppression-activations|EXAMPLE|TBD|p3|_x000D_
|debt-recovery|EXAMPLE|TBD|p3|_x000D_
|handover-debt|EXAMPLE|TBD|p3|_x000D_
h2. 2. Miscellaneous_x000D_
h3. 2.1 Deprecation warnings_x000D_
_x000D_
All migrated jobs, should be marked as deprecated within SCDF._x000D_
h3. 2.2 Documentation_x000D_
_x000D_
Remaining documentation, including detailed design for the batch engine needs to be finalized, together with new documentation for the batch jobs as they get migrated. _x000D_
_x000D_
The product documentation likewise needs to be updated. </t>
  </si>
  <si>
    <t>Scenario: Successfully migrate and verify SCDF jobs_x000D_
_x000D_
GIVEN all remaining SCDF jobs from part one are identified_x000D_
_x000D_
WHEN the jobs are deployed to the target environment_x000D_
_x000D_
THEN each job can be triggered via Postman_x000D_
_x000D_
AND a successful HTTP response is returned_x000D_
_x000D_
 </t>
  </si>
  <si>
    <t>IRM-29430</t>
  </si>
  <si>
    <t>PENALTY &amp; INTEREST</t>
  </si>
  <si>
    <t>Penalty &amp; Interest Enhancements</t>
  </si>
  <si>
    <t>Enhance Credit Interest Calculation to include unallocated payment segments</t>
  </si>
  <si>
    <t>As a revenue authority officer I would like Solon RM to consider in credit interest calculation, all payments received from a taxpayer, both allocated and unallocated, so that final interest calculation is accurate and can be used in relevant processes.  _x000D_
_x000D_
*Introduction*_x000D_
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
_x000D_
Moving forward for the implemetation of the Tax Account in Northern countries but also for other implementations, in order to calculate interest accurately all payment segments, allocated and unallocated needs to be considered.  _x000D_
_x000D_
Update the existing CREDIT_INT PI (Penalty &amp; Interest) rule to calculate reimbursement interest on credit unallocated payment segments for tax account scenarios, ensures taxpayers receive proper interest on all credit amounts._x000D_
_x000D_
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
_x000D_
To enhance understanding of this feature and facilitate analysis tasks please find below a business example as well as business cases where Solon Tax results in unallocated payment segments._x000D_
_x000D_
*System Requirements*_x000D_
 * PI Rule Enhancement: Rule Code = CREDIT_INT (Reimbursement Interest Rule) Enhancement: Update calculation logic to include credit unallocated payment segments (next to credits on bill segments that is already implemented). _x000D_
_x000D_
*Business Example*_x000D_
_x000D_
&gt; Initial State:_x000D_
_x000D_
VAT Liability: €100 (debit)_x000D_
_x000D_
Payment Made: €100 (credit)_x000D_
_x000D_
Result: Liability fully paid, balance = €0_x000D_
_x000D_
&gt; After Amendment:_x000D_
_x000D_
Amendment: VAT liability reduced by €20 (becomes €80)_x000D_
_x000D_
Payment Remains: €100 (unchanged)_x000D_
_x000D_
Result: €20 credit unallocated payment segment_x000D_
_x000D_
_Current Behavior:__x000D_
_x000D_
Interest calculated only on bill segment balances, thus €20 credit unallocated payment segment earns no interest_x000D_
_x000D_
_Required Behavior:__x000D_
_x000D_
Interest calculated on bill segment balances AND credit unallocated payment segments, thus €20 credit unallocated payment segment earns monthly interest in favor of taxpayer_x000D_
_x000D_
 _x000D_
_x000D_
*Example Business Cases resulting in Unallocated Payment Segments*_x000D_
 # Payment Suspense Scenarios, where for example invalid reference number results to a payment that cannot be allocated to a specific party role._x000D_
 # Payment File Processing Errors during automated payment file processing due to for example corrupted payment data or reference number mismatch._x000D_
 # Insufficient liability balance for full allocation as per the business example above. _x000D_
 # Payment Event State Transitions, when for example re-opening completed payment events where original segments need to be cancelled or payment event re-distribution scenarios requiring segment reallocation. _x000D_
_x000D_
*Documentation*_x000D_
Document all the above adjustments for penalty and interest rule "CREDIT_INT". _x000D_
_x000D_
 _x000D_
_x000D_
*Non functional requirements*_x000D_
Performance , Security, Traceability, Accessibility, Usability  DODs should be fulfilled. </t>
  </si>
  <si>
    <t>Enhance credit interest calculation to include unallocated payment segments, so as to provide an accurate interest calculation. </t>
  </si>
  <si>
    <t>Calculate *credit* / reimbursement interest for *unallocated credits on a payment segment* (next to credits on bill segments that is already implemented).</t>
  </si>
  <si>
    <t>IRM-26949</t>
  </si>
  <si>
    <t>Assign Unique Number to Incoming and Outgoing Documents</t>
  </si>
  <si>
    <t> As an admin I can define a rule to generate reference ID in a relevant field for incoming and outgoing documents in the system in order to comply with legal requirements part that refers to the Identification of the document. _x000D_
_x000D_
 _x000D_
_x000D_
*Introduction* **_x000D_
_x000D_
Using functionality as defined by the solution of [https://jira.intrasoft-intl.com/browse/IRM-435]    **    ,  we may define the Document using a specific format. _x000D_
_x000D_
 _x000D_
_x000D_
*Functional Requirements*_x000D_
 * Configurator, should be able to define the name of the file to be visible_x000D_
 ** Option A : Configurator generated a file name according their needs, when generating a document (e.g. Operational report or export of form as in related psd). _x000D_
 ** Option B : If product may not allow configurators to define the file name themselves then  a "Alternative Name" filed is available for documents incoming or outgoing,_x000D_
 *** _x000D_
 **** Field  can be visible in relevant pages/related lists_x000D_
 **** Field in visible in Attachments related section next to file Name column_x000D_
 **** I can search documents by this field. _x000D_
 **** The field in logged in audit log._x000D_
 **** Customers may define the  "Alternative Name", that  will construct and  _x000D_
 (relevant IRM-435 ) _x000D_
 ** Special care on performance and error handling of the generation should be taken into consideration. _x000D_
_x000D_
 * -Example / Base rule to format the Reference ID  :  **-  _x000D_
  -a) Primary related entity type from which was generated, description  (e.g. Form)-_x000D_
  -b)-  {-}Seperator "{-}"-_x000D_
 -c) Related party role primary Identifier-_x000D_
 -d)- {-}Seperator "{-}"-_x000D_
  -e)  YYYTMMDDHH (Year 4 digits + Month 3 digits+ Day 2 digits + HH+MM+SS)-_x000D_
  {-}d)  Seperator "{-}"- _x000D_
  -e) String that will be "IN" for Inbound documents,  "OUT" for Outbound documents, "SYS" for System generated documents-_x000D_
_x000D_
 _x000D_
_x000D_
*Documentation*_x000D_
Document all the above adjustments. _x000D_
_x000D_
 _x000D_
_x000D_
*Non functional requirements*_x000D_
Performance , Security, Accessibility, Usability _x000D_
_x000D_
DODs should be fulfilled. _x000D_
_x000D_
 _x000D_
_x000D_
 _x000D_
_x000D_
 _x000D_
_x000D_
 _x000D_
----_x000D_
-More details on Legal requirements for Documents :- _x000D_
 -LT:- _x000D_
|-Every document, whether incoming or system-generated (e.g. forms, letters), must receive a unique registration number.-_x000D_
-Forms are documents, so forms submitted by users must also have metadata as below:.-|_x000D_
||-Field-||-Description-||_x000D_
|-*Document Name*-|-Human-readable title-|_x000D_
|-*Creator / Author*-|-User or system module creating the document-|_x000D_
|-*Sender / Receiver*-| * -For sent docs: add recipient.-_x000D_
 * -For received docs: record sender, their reg. number, original date/title.-|_x000D_
|-*Date*-|-Created and registered timestamps, YYYY-MM-DD-|_x000D_
|-*Registration Number*-|-MAP automatically assigns a unique document registration number with a prefix and yearly resetting counter (e.g., 2025-IN-0001, 2025-OUT-0002).-|_x000D_
|-*Original Document Ref.*-|-Links to the original document (e.g. response to request)-|_x000D_
_x000D_
-Depending on the document type{*},{*} additional metadata fields may be required (e.g., contact email, case ID, type of correspondence).|-</t>
  </si>
  <si>
    <t>By enabling admins to define and automate the generation of a structured Reference ID for all incoming and outgoing documents, the system ensures compliance with legal requirements related to document identification. This functionality improves traceability, facilitates audits, and enhances searchability and organization of documents across the system._x000D_
This is a legal requirement for Lithuania</t>
  </si>
  <si>
    <t>* Customers may define the name of the pdf or zip produced by operational report or contact._x000D_
 * Example</t>
  </si>
  <si>
    <t>IRM-19514</t>
  </si>
  <si>
    <t>Add and Maintain Ad-hoc Obligations – Pay Instalment Actions and Categories</t>
  </si>
  <si>
    <t>For Ad-hoc obligations : _x000D_
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
This can be used for Inheritance tax, legacy data migration processes, other cases like Guarantees. _x000D_
_x000D_
The goal is to be able to add more than payment obligation actions per obligation for ad-hoc obligations, similarly to what happens with periodic obligations. _x000D_
_x000D_
Relevant : [https://jira.intrasoft-intl.com/browse/IRM-11522] , [https://jira.intrasoft-intl.com/browse/IRM-10419] _x000D_
_x000D_
*Functional Requirements*_x000D_
_x000D_
*Basics*_x000D_
 * User and admin can create multiple payment obligation actions under an ad-hoc obligation (revenue type category = Ad-hoc)  as installments, following the structure of the non ad-hoc obligations with installments. _x000D_
 ** User can add a Filing and more that one Payment Actions in ad-hoc Obligation, flagged as Installments _x000D_
 ** User can define the Category as is in periodic ones : Preliminary, Original_x000D_
 ** User can define the due date (as happens now)_x000D_
 ** Status is managed by the system (as happens now). _x000D_
 ** One set of actions per category will be permitted and I can add more that one payment actions if type is installment but one if it is once- off,  . I.e., same validations as in periodic ones regarding grouping per category, _x000D_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
 * User can create manually the payment obligation actions (as happens now)._x000D_
 * User can sort the list._x000D_
 * User can open a pay instalment action to see more details and update if needed. _x000D_
_x000D_
 _x000D_
_x000D_
-*Advanced:*- _x000D_
_x000D_
-*Additional functionality:*- _x000D_
-To be able for the user to create several installments, a set of predefined rules may be ready in a way that  :- _x000D_
-User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
 * -Admin can define the rule in the revenue type on how  to create the installments for ad-hoc revenue types (suggestion : Dynamic Rules)- _x000D_
 ** -Rules will be able via parameters added by user to generate payment actions under an ad-hoc obligation.-  _x000D_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-+Consideration+-_x000D_
-User should be able to define the rule to create the installments (e.g.  Dynamic Rules or batches)- _x000D_
-Rules should be able via parameters added by user to generate payment actions under an ad-hoc obligation.-  _x000D_
-Rule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_x000D_
_x000D_
 _x000D_
_x000D_
 _x000D_
----_x000D_
Notes_x000D_
[https://dev.icarus/revenue-management/page/Obligation/2c578925-f183-475b-a19a-82cb25ebeb11?subType=ADHOC]_x000D_
_x000D_
!image-2024-08-16-17-29-08-392.png!_x000D_
----_x000D_
Notes: _x000D_
_x000D_
 </t>
  </si>
  <si>
    <t># User and admin can create multiple payment obligation actions under an ad-hoc obligation (revenue type category = Ad-hoc)  as installments, following the structure of the non ad-hoc obligations with installments. _x000D_
 ## User can add a Filing and more that one Payment Actions in ad-hoc Obligation, flagged as Installments _x000D_
 ## User can define the Category as is in periodic ones : Preliminary, Original_x000D_
 ## User can define the due date (as happens now)_x000D_
 ## Status is managed by the system (as happens now). _x000D_
 ## One set of actions per category will be permitted and I can add more that one payment actions if type is installment but one if it is once- off,  . I.e., same validations as in periodic ones regarding grouping per category, _x000D_
 # User can see the list of pay instalment actions and relevant details_x000D_
 # User can create manually the payment obligation actions (as happens now)._x000D_
 # User can sort the list._x000D_
 # User can open a pay instalment action to see more details and update if needed. </t>
  </si>
  <si>
    <t>PI30</t>
  </si>
  <si>
    <t>uden mgmt + other</t>
  </si>
  <si>
    <t>OTHER</t>
  </si>
  <si>
    <t>*0,66</t>
  </si>
  <si>
    <t>"+ mgmt og other"</t>
  </si>
  <si>
    <t>"+3%"</t>
  </si>
  <si>
    <t>PI28</t>
  </si>
  <si>
    <t>PI29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</si>
</sst>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wrapText="1"/>
    </xf>
    <xf numFmtId="0" fontId="1" fillId="2" borderId="3" xfId="1" applyFill="1" applyBorder="1"/>
    <xf numFmtId="0" fontId="1" fillId="2" borderId="1" xfId="1" applyFill="1" applyBorder="1"/>
    <xf numFmtId="0" fontId="1" fillId="2" borderId="4" xfId="1" applyFill="1" applyBorder="1"/>
    <xf numFmtId="0" fontId="1" fillId="0" borderId="3" xfId="1" applyBorder="1"/>
    <xf numFmtId="0" fontId="1" fillId="0" borderId="1" xfId="1" applyBorder="1"/>
    <xf numFmtId="0" fontId="1" fillId="0" borderId="4" xfId="1" applyBorder="1"/>
    <xf numFmtId="0" fontId="1" fillId="0" borderId="4" xfId="1" applyBorder="1" applyAlignment="1">
      <alignment wrapText="1"/>
    </xf>
    <xf numFmtId="0" fontId="1" fillId="0" borderId="5" xfId="1" applyBorder="1"/>
    <xf numFmtId="0" fontId="1" fillId="0" borderId="2" xfId="1" applyBorder="1"/>
    <xf numFmtId="0" fontId="1" fillId="0" borderId="6" xfId="1" applyBorder="1"/>
    <xf numFmtId="9" fontId="0" fillId="0" borderId="0" xfId="0" applyNumberFormat="1"/>
  </cellXfs>
  <cellStyles count="2">
    <cellStyle name="Normal" xfId="0" builtinId="0"/>
    <cellStyle name="Normal 2" xfId="1" xr:uid="{C5E419B1-11CD-43E1-8413-0B0A1BDD7D27}"/>
  </cellStyles>
  <dxfs count="14">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source\SOLON\server\projects\Nikolajs_project\AI%20Context\Data%20for%20overview%20slide.xlsx" TargetMode="External"/><Relationship Id="rId1" Type="http://schemas.openxmlformats.org/officeDocument/2006/relationships/externalLinkPath" Target="Data%20for%20overview%20sli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pic Mapping"/>
      <sheetName val="Epics"/>
      <sheetName val="Product Backlog (Jira)"/>
      <sheetName val="Detail1"/>
      <sheetName val="Product Backlog (Jira) Pivot"/>
      <sheetName val="Sheet2"/>
      <sheetName val="Pivot (Product Backlog output)"/>
      <sheetName val="Est hrs calc"/>
      <sheetName val="Product Backlog (output)"/>
      <sheetName val="Product Backlog (input)"/>
      <sheetName val="InitiativeGroupMapping (input)"/>
      <sheetName val="Management"/>
      <sheetName val="Other Activities"/>
      <sheetName val="GetEpic"/>
      <sheetName val="FieldsConfig"/>
      <sheetName val="Data for overview slid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1">
          <cell r="B21">
            <v>0.08</v>
          </cell>
          <cell r="E21">
            <v>10006.176000000001</v>
          </cell>
        </row>
        <row r="23">
          <cell r="E23">
            <v>47800</v>
          </cell>
        </row>
        <row r="24">
          <cell r="E24">
            <v>22238.711111111115</v>
          </cell>
        </row>
      </sheetData>
      <sheetData sheetId="8" refreshError="1"/>
      <sheetData sheetId="9">
        <row r="1">
          <cell r="K1">
            <v>44477.422222222231</v>
          </cell>
        </row>
      </sheetData>
      <sheetData sheetId="10" refreshError="1"/>
      <sheetData sheetId="11">
        <row r="5">
          <cell r="B5">
            <v>39.142857142857146</v>
          </cell>
        </row>
      </sheetData>
      <sheetData sheetId="12" refreshError="1"/>
      <sheetData sheetId="13" refreshError="1"/>
      <sheetData sheetId="14" refreshError="1"/>
      <sheetData sheetId="1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4EE496-2836-4058-98C3-B039E6B217F6}" name="Table2" displayName="Table2" ref="A1:L57" totalsRowShown="0" dataDxfId="13" tableBorderDxfId="12" headerRowCellStyle="Normal 2" dataCellStyle="Normal 2">
  <autoFilter ref="A1:L57" xr:uid="{3E4EE496-2836-4058-98C3-B039E6B217F6}">
    <filterColumn colId="2">
      <filters>
        <filter val="SECURITY"/>
      </filters>
    </filterColumn>
  </autoFilter>
  <tableColumns count="12">
    <tableColumn id="1" xr3:uid="{DE37AF7F-A8EF-456A-BAF3-1BF362337E9D}" name="Feature ID" dataDxfId="11" dataCellStyle="Normal 2"/>
    <tableColumn id="2" xr3:uid="{6570BEB2-DAC8-4952-8146-4DBD06986848}" name="Roadmap Initiative Group" dataDxfId="10" dataCellStyle="Normal 2"/>
    <tableColumn id="3" xr3:uid="{F9E5BEAF-BCB4-40AC-8C15-1B6B58639CCE}" name="Roadmap Initiative" dataDxfId="9" dataCellStyle="Normal 2"/>
    <tableColumn id="4" xr3:uid="{DA8BF1A7-1B24-4198-9E42-4F16FAEB13E9}" name="Epic" dataDxfId="8" dataCellStyle="Normal 2"/>
    <tableColumn id="5" xr3:uid="{908B2A2E-BDB3-41B9-B09E-529D65C301EB}" name="Roadmap Feature" dataDxfId="7" dataCellStyle="Normal 2"/>
    <tableColumn id="6" xr3:uid="{1FB8AF87-E76D-40F9-B617-4F2B9F06FC42}" name="Status" dataDxfId="6" dataCellStyle="Normal 2"/>
    <tableColumn id="7" xr3:uid="{7D05DAE3-7A4B-49ED-8491-F7AEEBF2FE2D}" name="Requester" dataDxfId="5" dataCellStyle="Normal 2"/>
    <tableColumn id="10" xr3:uid="{6D96D741-71B3-4FF5-94AF-85319B924D47}" name="Priority" dataDxfId="4" dataCellStyle="Normal 2"/>
    <tableColumn id="14" xr3:uid="{7C7E27E1-CADD-41CF-B14F-354174EFFEFA}" name="Enriched Jira Features.Summary" dataDxfId="3" dataCellStyle="Normal 2"/>
    <tableColumn id="15" xr3:uid="{A0B509FE-164C-482D-BB08-630C7E6AEFB7}" name="Enriched Jira Features.Description" dataDxfId="2" dataCellStyle="Normal 2"/>
    <tableColumn id="16" xr3:uid="{6A096963-F293-4D64-9F64-8CD5A82C5D29}" name="Enriched Jira Features.Benefit Hypothesis" dataDxfId="1" dataCellStyle="Normal 2"/>
    <tableColumn id="17" xr3:uid="{42BA7E70-B150-4CFB-A678-184DA1CF7D26}" name="Enriched Jira Features.Acceptance Criteria"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23B73-49D4-46AE-9611-347323B0981E}">
  <dimension ref="A1:XEX104"/>
  <sheetViews>
    <sheetView tabSelected="1" workbookViewId="0">
      <selection activeCell="D14" sqref="D14"/>
    </sheetView>
  </sheetViews>
  <sheetFormatPr defaultRowHeight="15" x14ac:dyDescent="0.25"/>
  <cols>
    <col min="1" max="1" width="13.85546875" bestFit="1" customWidth="1"/>
    <col min="2" max="2" width="48.85546875" bestFit="1" customWidth="1"/>
    <col min="3" max="3" width="47.28515625" bestFit="1" customWidth="1"/>
    <col min="4" max="4" width="52.7109375" bestFit="1" customWidth="1"/>
    <col min="5" max="5" width="157.85546875" bestFit="1" customWidth="1"/>
    <col min="6" max="6" width="9.5703125" customWidth="1"/>
    <col min="7" max="7" width="13.85546875" customWidth="1"/>
    <col min="8" max="8" width="10.42578125" customWidth="1"/>
    <col min="9" max="9" width="35.85546875" customWidth="1"/>
    <col min="10" max="10" width="38.42578125" customWidth="1"/>
    <col min="11" max="11" width="46" customWidth="1"/>
    <col min="12" max="12" width="46.5703125" customWidth="1"/>
  </cols>
  <sheetData>
    <row r="1" spans="1:16378" x14ac:dyDescent="0.25">
      <c r="A1" s="1" t="s">
        <v>207</v>
      </c>
      <c r="B1" s="2" t="s">
        <v>114</v>
      </c>
      <c r="C1" s="1" t="s">
        <v>115</v>
      </c>
      <c r="D1" s="2" t="s">
        <v>208</v>
      </c>
      <c r="E1" s="2" t="s">
        <v>209</v>
      </c>
      <c r="F1" s="2" t="s">
        <v>0</v>
      </c>
      <c r="G1" s="2" t="s">
        <v>1</v>
      </c>
      <c r="H1" s="2" t="s">
        <v>2</v>
      </c>
      <c r="I1" s="1" t="s">
        <v>120</v>
      </c>
      <c r="J1" s="1" t="s">
        <v>3</v>
      </c>
      <c r="K1" s="1" t="s">
        <v>4</v>
      </c>
      <c r="L1" s="1" t="s">
        <v>121</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row>
    <row r="2" spans="1:16378" hidden="1" x14ac:dyDescent="0.25">
      <c r="A2" s="3" t="s">
        <v>126</v>
      </c>
      <c r="B2" s="4" t="s">
        <v>21</v>
      </c>
      <c r="C2" s="4" t="s">
        <v>122</v>
      </c>
      <c r="D2" s="4" t="s">
        <v>210</v>
      </c>
      <c r="E2" s="4" t="s">
        <v>22</v>
      </c>
      <c r="F2" s="4" t="s">
        <v>5</v>
      </c>
      <c r="G2" s="4" t="s">
        <v>6</v>
      </c>
      <c r="H2" s="4" t="s">
        <v>7</v>
      </c>
      <c r="I2" s="4" t="s">
        <v>22</v>
      </c>
      <c r="J2" s="4" t="s">
        <v>23</v>
      </c>
      <c r="K2" s="4" t="s">
        <v>24</v>
      </c>
      <c r="L2" s="5" t="s">
        <v>123</v>
      </c>
    </row>
    <row r="3" spans="1:16378" hidden="1" x14ac:dyDescent="0.25">
      <c r="A3" s="6" t="s">
        <v>127</v>
      </c>
      <c r="B3" s="7" t="s">
        <v>21</v>
      </c>
      <c r="C3" s="7" t="s">
        <v>122</v>
      </c>
      <c r="D3" s="7" t="s">
        <v>210</v>
      </c>
      <c r="E3" s="7" t="s">
        <v>25</v>
      </c>
      <c r="F3" s="7" t="s">
        <v>5</v>
      </c>
      <c r="G3" s="7" t="s">
        <v>6</v>
      </c>
      <c r="H3" s="7" t="s">
        <v>7</v>
      </c>
      <c r="I3" s="7" t="s">
        <v>25</v>
      </c>
      <c r="J3" s="7" t="s">
        <v>23</v>
      </c>
      <c r="K3" s="7" t="s">
        <v>24</v>
      </c>
      <c r="L3" s="8" t="s">
        <v>123</v>
      </c>
    </row>
    <row r="4" spans="1:16378" hidden="1" x14ac:dyDescent="0.25">
      <c r="A4" s="3" t="s">
        <v>128</v>
      </c>
      <c r="B4" s="4" t="s">
        <v>21</v>
      </c>
      <c r="C4" s="4" t="s">
        <v>122</v>
      </c>
      <c r="D4" s="4" t="s">
        <v>210</v>
      </c>
      <c r="E4" s="4" t="s">
        <v>26</v>
      </c>
      <c r="F4" s="4" t="s">
        <v>5</v>
      </c>
      <c r="G4" s="4" t="s">
        <v>6</v>
      </c>
      <c r="H4" s="4" t="s">
        <v>7</v>
      </c>
      <c r="I4" s="4" t="s">
        <v>26</v>
      </c>
      <c r="J4" s="4" t="s">
        <v>23</v>
      </c>
      <c r="K4" s="4" t="s">
        <v>24</v>
      </c>
      <c r="L4" s="5" t="s">
        <v>123</v>
      </c>
    </row>
    <row r="5" spans="1:16378" hidden="1" x14ac:dyDescent="0.25">
      <c r="A5" s="6" t="s">
        <v>130</v>
      </c>
      <c r="B5" s="7" t="s">
        <v>21</v>
      </c>
      <c r="C5" s="7" t="s">
        <v>125</v>
      </c>
      <c r="D5" s="7" t="s">
        <v>212</v>
      </c>
      <c r="E5" s="7" t="s">
        <v>27</v>
      </c>
      <c r="F5" s="7" t="s">
        <v>8</v>
      </c>
      <c r="G5" s="7" t="s">
        <v>9</v>
      </c>
      <c r="H5" s="7" t="s">
        <v>7</v>
      </c>
      <c r="I5" s="7" t="s">
        <v>27</v>
      </c>
      <c r="J5" s="7" t="s">
        <v>28</v>
      </c>
      <c r="K5" s="7" t="s">
        <v>28</v>
      </c>
      <c r="L5" s="8" t="s">
        <v>28</v>
      </c>
    </row>
    <row r="6" spans="1:16378" hidden="1" x14ac:dyDescent="0.25">
      <c r="A6" s="3" t="s">
        <v>131</v>
      </c>
      <c r="B6" s="4" t="s">
        <v>21</v>
      </c>
      <c r="C6" s="4" t="s">
        <v>125</v>
      </c>
      <c r="D6" s="4" t="s">
        <v>212</v>
      </c>
      <c r="E6" s="4" t="s">
        <v>29</v>
      </c>
      <c r="F6" s="4" t="s">
        <v>8</v>
      </c>
      <c r="G6" s="4" t="s">
        <v>9</v>
      </c>
      <c r="H6" s="4" t="s">
        <v>7</v>
      </c>
      <c r="I6" s="4" t="s">
        <v>29</v>
      </c>
      <c r="J6" s="4" t="s">
        <v>30</v>
      </c>
      <c r="K6" s="4" t="s">
        <v>31</v>
      </c>
      <c r="L6" s="5" t="s">
        <v>30</v>
      </c>
    </row>
    <row r="7" spans="1:16378" hidden="1" x14ac:dyDescent="0.25">
      <c r="A7" s="6" t="s">
        <v>132</v>
      </c>
      <c r="B7" s="7" t="s">
        <v>21</v>
      </c>
      <c r="C7" s="7" t="s">
        <v>125</v>
      </c>
      <c r="D7" s="7" t="s">
        <v>212</v>
      </c>
      <c r="E7" s="7" t="s">
        <v>32</v>
      </c>
      <c r="F7" s="7" t="s">
        <v>33</v>
      </c>
      <c r="G7" s="7" t="s">
        <v>9</v>
      </c>
      <c r="H7" s="7" t="s">
        <v>7</v>
      </c>
      <c r="I7" s="7" t="s">
        <v>32</v>
      </c>
      <c r="J7" s="7" t="s">
        <v>34</v>
      </c>
      <c r="K7" s="7" t="s">
        <v>35</v>
      </c>
      <c r="L7" s="8" t="s">
        <v>133</v>
      </c>
    </row>
    <row r="8" spans="1:16378" hidden="1" x14ac:dyDescent="0.25">
      <c r="A8" s="3" t="s">
        <v>134</v>
      </c>
      <c r="B8" s="4" t="s">
        <v>21</v>
      </c>
      <c r="C8" s="4" t="s">
        <v>125</v>
      </c>
      <c r="D8" s="4" t="s">
        <v>212</v>
      </c>
      <c r="E8" s="4" t="s">
        <v>36</v>
      </c>
      <c r="F8" s="4" t="s">
        <v>33</v>
      </c>
      <c r="G8" s="4" t="s">
        <v>9</v>
      </c>
      <c r="H8" s="4" t="s">
        <v>7</v>
      </c>
      <c r="I8" s="4" t="s">
        <v>36</v>
      </c>
      <c r="J8" s="4" t="s">
        <v>37</v>
      </c>
      <c r="K8" s="4" t="s">
        <v>38</v>
      </c>
      <c r="L8" s="5" t="s">
        <v>135</v>
      </c>
    </row>
    <row r="9" spans="1:16378" hidden="1" x14ac:dyDescent="0.25">
      <c r="A9" s="6" t="s">
        <v>136</v>
      </c>
      <c r="B9" s="7" t="s">
        <v>21</v>
      </c>
      <c r="C9" s="7" t="s">
        <v>125</v>
      </c>
      <c r="D9" s="7" t="s">
        <v>212</v>
      </c>
      <c r="E9" s="7" t="s">
        <v>39</v>
      </c>
      <c r="F9" s="7" t="s">
        <v>8</v>
      </c>
      <c r="G9" s="7" t="s">
        <v>9</v>
      </c>
      <c r="H9" s="7" t="s">
        <v>7</v>
      </c>
      <c r="I9" s="7" t="s">
        <v>39</v>
      </c>
      <c r="J9" s="7" t="s">
        <v>20</v>
      </c>
      <c r="K9" s="7" t="s">
        <v>10</v>
      </c>
      <c r="L9" s="9" t="s">
        <v>20</v>
      </c>
    </row>
    <row r="10" spans="1:16378" hidden="1" x14ac:dyDescent="0.25">
      <c r="A10" s="3" t="s">
        <v>137</v>
      </c>
      <c r="B10" s="4" t="s">
        <v>21</v>
      </c>
      <c r="C10" s="4" t="s">
        <v>138</v>
      </c>
      <c r="D10" s="4" t="s">
        <v>215</v>
      </c>
      <c r="E10" s="4" t="s">
        <v>40</v>
      </c>
      <c r="F10" s="4" t="s">
        <v>41</v>
      </c>
      <c r="G10" s="4" t="s">
        <v>9</v>
      </c>
      <c r="H10" s="4" t="s">
        <v>7</v>
      </c>
      <c r="I10" s="4" t="s">
        <v>40</v>
      </c>
      <c r="J10" s="4" t="s">
        <v>42</v>
      </c>
      <c r="K10" s="4" t="s">
        <v>43</v>
      </c>
      <c r="L10" s="5" t="s">
        <v>139</v>
      </c>
    </row>
    <row r="11" spans="1:16378" hidden="1" x14ac:dyDescent="0.25">
      <c r="A11" s="6" t="s">
        <v>140</v>
      </c>
      <c r="B11" s="7" t="s">
        <v>11</v>
      </c>
      <c r="C11" s="7" t="s">
        <v>129</v>
      </c>
      <c r="D11" s="7" t="s">
        <v>214</v>
      </c>
      <c r="E11" s="7" t="s">
        <v>14</v>
      </c>
      <c r="F11" s="7" t="s">
        <v>8</v>
      </c>
      <c r="G11" s="7" t="s">
        <v>9</v>
      </c>
      <c r="H11" s="7" t="s">
        <v>7</v>
      </c>
      <c r="I11" s="7" t="s">
        <v>14</v>
      </c>
      <c r="J11" s="7" t="s">
        <v>116</v>
      </c>
      <c r="K11" s="7" t="s">
        <v>10</v>
      </c>
      <c r="L11" s="8" t="s">
        <v>141</v>
      </c>
    </row>
    <row r="12" spans="1:16378" hidden="1" x14ac:dyDescent="0.25">
      <c r="A12" s="3" t="s">
        <v>142</v>
      </c>
      <c r="B12" s="4" t="s">
        <v>21</v>
      </c>
      <c r="C12" s="4" t="s">
        <v>138</v>
      </c>
      <c r="D12" s="4" t="s">
        <v>215</v>
      </c>
      <c r="E12" s="4" t="s">
        <v>44</v>
      </c>
      <c r="F12" s="4" t="s">
        <v>5</v>
      </c>
      <c r="G12" s="4" t="s">
        <v>6</v>
      </c>
      <c r="H12" s="4" t="s">
        <v>7</v>
      </c>
      <c r="I12" s="4" t="s">
        <v>44</v>
      </c>
      <c r="J12" s="4" t="s">
        <v>45</v>
      </c>
      <c r="K12" s="4" t="s">
        <v>10</v>
      </c>
      <c r="L12" s="5" t="s">
        <v>10</v>
      </c>
    </row>
    <row r="13" spans="1:16378" hidden="1" x14ac:dyDescent="0.25">
      <c r="A13" s="6" t="s">
        <v>216</v>
      </c>
      <c r="B13" s="7" t="s">
        <v>46</v>
      </c>
      <c r="C13" s="7" t="s">
        <v>143</v>
      </c>
      <c r="D13" s="7" t="s">
        <v>217</v>
      </c>
      <c r="E13" s="7" t="s">
        <v>218</v>
      </c>
      <c r="F13" s="7" t="s">
        <v>8</v>
      </c>
      <c r="G13" s="7" t="s">
        <v>9</v>
      </c>
      <c r="H13" s="7" t="s">
        <v>7</v>
      </c>
      <c r="I13" s="7" t="s">
        <v>218</v>
      </c>
      <c r="J13" s="7" t="s">
        <v>219</v>
      </c>
      <c r="K13" s="7" t="s">
        <v>47</v>
      </c>
      <c r="L13" s="8" t="s">
        <v>220</v>
      </c>
    </row>
    <row r="14" spans="1:16378" x14ac:dyDescent="0.25">
      <c r="A14" s="3" t="s">
        <v>144</v>
      </c>
      <c r="B14" s="4" t="s">
        <v>21</v>
      </c>
      <c r="C14" s="4" t="s">
        <v>145</v>
      </c>
      <c r="D14" s="4" t="s">
        <v>221</v>
      </c>
      <c r="E14" s="4" t="s">
        <v>48</v>
      </c>
      <c r="F14" s="4" t="s">
        <v>12</v>
      </c>
      <c r="G14" s="4" t="s">
        <v>6</v>
      </c>
      <c r="H14" s="4" t="s">
        <v>15</v>
      </c>
      <c r="I14" s="4" t="s">
        <v>48</v>
      </c>
      <c r="J14" s="4" t="s">
        <v>49</v>
      </c>
      <c r="K14" s="4" t="s">
        <v>10</v>
      </c>
      <c r="L14" s="5" t="s">
        <v>146</v>
      </c>
    </row>
    <row r="15" spans="1:16378" x14ac:dyDescent="0.25">
      <c r="A15" s="6" t="s">
        <v>147</v>
      </c>
      <c r="B15" s="7" t="s">
        <v>21</v>
      </c>
      <c r="C15" s="7" t="s">
        <v>145</v>
      </c>
      <c r="D15" s="7" t="s">
        <v>221</v>
      </c>
      <c r="E15" s="7" t="s">
        <v>50</v>
      </c>
      <c r="F15" s="7" t="s">
        <v>8</v>
      </c>
      <c r="G15" s="7" t="s">
        <v>6</v>
      </c>
      <c r="H15" s="7" t="s">
        <v>15</v>
      </c>
      <c r="I15" s="7" t="s">
        <v>50</v>
      </c>
      <c r="J15" s="7" t="s">
        <v>51</v>
      </c>
      <c r="K15" s="7" t="s">
        <v>10</v>
      </c>
      <c r="L15" s="8" t="s">
        <v>148</v>
      </c>
    </row>
    <row r="16" spans="1:16378" hidden="1" x14ac:dyDescent="0.25">
      <c r="A16" s="3" t="s">
        <v>150</v>
      </c>
      <c r="B16" s="4" t="s">
        <v>11</v>
      </c>
      <c r="C16" s="4" t="s">
        <v>149</v>
      </c>
      <c r="D16" s="4" t="s">
        <v>222</v>
      </c>
      <c r="E16" s="4" t="s">
        <v>16</v>
      </c>
      <c r="F16" s="4" t="s">
        <v>33</v>
      </c>
      <c r="G16" s="4" t="s">
        <v>17</v>
      </c>
      <c r="H16" s="4" t="s">
        <v>7</v>
      </c>
      <c r="I16" s="4" t="s">
        <v>16</v>
      </c>
      <c r="J16" s="4" t="s">
        <v>18</v>
      </c>
      <c r="K16" s="4" t="s">
        <v>19</v>
      </c>
      <c r="L16" s="5" t="s">
        <v>151</v>
      </c>
    </row>
    <row r="17" spans="1:12" hidden="1" x14ac:dyDescent="0.25">
      <c r="A17" s="6" t="s">
        <v>223</v>
      </c>
      <c r="B17" s="7" t="s">
        <v>224</v>
      </c>
      <c r="C17" s="7" t="s">
        <v>225</v>
      </c>
      <c r="D17" s="7" t="s">
        <v>226</v>
      </c>
      <c r="E17" s="7" t="s">
        <v>227</v>
      </c>
      <c r="F17" s="7" t="s">
        <v>13</v>
      </c>
      <c r="G17" s="7" t="s">
        <v>17</v>
      </c>
      <c r="H17" s="7" t="s">
        <v>7</v>
      </c>
      <c r="I17" s="7" t="s">
        <v>227</v>
      </c>
      <c r="J17" s="7" t="s">
        <v>228</v>
      </c>
      <c r="K17" s="7" t="s">
        <v>229</v>
      </c>
      <c r="L17" s="8" t="s">
        <v>230</v>
      </c>
    </row>
    <row r="18" spans="1:12" hidden="1" x14ac:dyDescent="0.25">
      <c r="A18" s="3" t="s">
        <v>231</v>
      </c>
      <c r="B18" s="4" t="s">
        <v>224</v>
      </c>
      <c r="C18" s="4" t="s">
        <v>225</v>
      </c>
      <c r="D18" s="4" t="s">
        <v>226</v>
      </c>
      <c r="E18" s="4" t="s">
        <v>232</v>
      </c>
      <c r="F18" s="4" t="s">
        <v>8</v>
      </c>
      <c r="G18" s="4" t="s">
        <v>17</v>
      </c>
      <c r="H18" s="4" t="s">
        <v>15</v>
      </c>
      <c r="I18" s="4" t="s">
        <v>232</v>
      </c>
      <c r="J18" s="4" t="s">
        <v>233</v>
      </c>
      <c r="K18" s="4" t="s">
        <v>234</v>
      </c>
      <c r="L18" s="5" t="s">
        <v>235</v>
      </c>
    </row>
    <row r="19" spans="1:12" hidden="1" x14ac:dyDescent="0.25">
      <c r="A19" s="6" t="s">
        <v>152</v>
      </c>
      <c r="B19" s="7" t="s">
        <v>52</v>
      </c>
      <c r="C19" s="7" t="s">
        <v>153</v>
      </c>
      <c r="D19" s="7" t="s">
        <v>236</v>
      </c>
      <c r="E19" s="7" t="s">
        <v>53</v>
      </c>
      <c r="F19" s="7" t="s">
        <v>33</v>
      </c>
      <c r="G19" s="7" t="s">
        <v>9</v>
      </c>
      <c r="H19" s="7" t="s">
        <v>7</v>
      </c>
      <c r="I19" s="7" t="s">
        <v>53</v>
      </c>
      <c r="J19" s="7" t="s">
        <v>54</v>
      </c>
      <c r="K19" s="7" t="s">
        <v>10</v>
      </c>
      <c r="L19" s="8" t="s">
        <v>154</v>
      </c>
    </row>
    <row r="20" spans="1:12" hidden="1" x14ac:dyDescent="0.25">
      <c r="A20" s="3" t="s">
        <v>237</v>
      </c>
      <c r="B20" s="4" t="s">
        <v>52</v>
      </c>
      <c r="C20" s="4" t="s">
        <v>153</v>
      </c>
      <c r="D20" s="4" t="s">
        <v>236</v>
      </c>
      <c r="E20" s="4" t="s">
        <v>238</v>
      </c>
      <c r="F20" s="4" t="s">
        <v>33</v>
      </c>
      <c r="G20" s="4" t="s">
        <v>9</v>
      </c>
      <c r="H20" s="4" t="s">
        <v>7</v>
      </c>
      <c r="I20" s="4" t="s">
        <v>238</v>
      </c>
      <c r="J20" s="4" t="s">
        <v>239</v>
      </c>
      <c r="K20" s="4" t="s">
        <v>10</v>
      </c>
      <c r="L20" s="5" t="s">
        <v>240</v>
      </c>
    </row>
    <row r="21" spans="1:12" hidden="1" x14ac:dyDescent="0.25">
      <c r="A21" s="6" t="s">
        <v>155</v>
      </c>
      <c r="B21" s="7" t="s">
        <v>21</v>
      </c>
      <c r="C21" s="7" t="s">
        <v>125</v>
      </c>
      <c r="D21" s="7" t="s">
        <v>212</v>
      </c>
      <c r="E21" s="7" t="s">
        <v>55</v>
      </c>
      <c r="F21" s="7" t="s">
        <v>8</v>
      </c>
      <c r="G21" s="7" t="s">
        <v>6</v>
      </c>
      <c r="H21" s="7" t="s">
        <v>15</v>
      </c>
      <c r="I21" s="7" t="s">
        <v>55</v>
      </c>
      <c r="J21" s="7" t="s">
        <v>56</v>
      </c>
      <c r="K21" s="7" t="s">
        <v>10</v>
      </c>
      <c r="L21" s="8" t="s">
        <v>156</v>
      </c>
    </row>
    <row r="22" spans="1:12" hidden="1" x14ac:dyDescent="0.25">
      <c r="A22" s="3" t="s">
        <v>157</v>
      </c>
      <c r="B22" s="4" t="s">
        <v>21</v>
      </c>
      <c r="C22" s="4" t="s">
        <v>125</v>
      </c>
      <c r="D22" s="4" t="s">
        <v>212</v>
      </c>
      <c r="E22" s="4" t="s">
        <v>57</v>
      </c>
      <c r="F22" s="4" t="s">
        <v>8</v>
      </c>
      <c r="G22" s="4" t="s">
        <v>6</v>
      </c>
      <c r="H22" s="4" t="s">
        <v>15</v>
      </c>
      <c r="I22" s="4" t="s">
        <v>57</v>
      </c>
      <c r="J22" s="4" t="s">
        <v>58</v>
      </c>
      <c r="K22" s="4" t="s">
        <v>10</v>
      </c>
      <c r="L22" s="5" t="s">
        <v>158</v>
      </c>
    </row>
    <row r="23" spans="1:12" hidden="1" x14ac:dyDescent="0.25">
      <c r="A23" s="6" t="s">
        <v>159</v>
      </c>
      <c r="B23" s="7" t="s">
        <v>52</v>
      </c>
      <c r="C23" s="7" t="s">
        <v>160</v>
      </c>
      <c r="D23" s="7" t="s">
        <v>241</v>
      </c>
      <c r="E23" s="7" t="s">
        <v>59</v>
      </c>
      <c r="F23" s="7" t="s">
        <v>33</v>
      </c>
      <c r="G23" s="7" t="s">
        <v>9</v>
      </c>
      <c r="H23" s="7" t="s">
        <v>7</v>
      </c>
      <c r="I23" s="7" t="s">
        <v>59</v>
      </c>
      <c r="J23" s="7" t="s">
        <v>60</v>
      </c>
      <c r="K23" s="7" t="s">
        <v>61</v>
      </c>
      <c r="L23" s="8" t="s">
        <v>161</v>
      </c>
    </row>
    <row r="24" spans="1:12" hidden="1" x14ac:dyDescent="0.25">
      <c r="A24" s="3" t="s">
        <v>162</v>
      </c>
      <c r="B24" s="4" t="s">
        <v>21</v>
      </c>
      <c r="C24" s="4" t="s">
        <v>163</v>
      </c>
      <c r="D24" s="4" t="s">
        <v>242</v>
      </c>
      <c r="E24" s="4" t="s">
        <v>62</v>
      </c>
      <c r="F24" s="4" t="s">
        <v>8</v>
      </c>
      <c r="G24" s="4" t="s">
        <v>9</v>
      </c>
      <c r="H24" s="4" t="s">
        <v>15</v>
      </c>
      <c r="I24" s="4" t="s">
        <v>62</v>
      </c>
      <c r="J24" s="4" t="s">
        <v>63</v>
      </c>
      <c r="K24" s="4" t="s">
        <v>10</v>
      </c>
      <c r="L24" s="5" t="s">
        <v>164</v>
      </c>
    </row>
    <row r="25" spans="1:12" hidden="1" x14ac:dyDescent="0.25">
      <c r="A25" s="6" t="s">
        <v>165</v>
      </c>
      <c r="B25" s="7" t="s">
        <v>21</v>
      </c>
      <c r="C25" s="7" t="s">
        <v>163</v>
      </c>
      <c r="D25" s="7" t="s">
        <v>242</v>
      </c>
      <c r="E25" s="7" t="s">
        <v>64</v>
      </c>
      <c r="F25" s="7" t="s">
        <v>8</v>
      </c>
      <c r="G25" s="7" t="s">
        <v>9</v>
      </c>
      <c r="H25" s="7" t="s">
        <v>15</v>
      </c>
      <c r="I25" s="7" t="s">
        <v>64</v>
      </c>
      <c r="J25" s="7" t="s">
        <v>65</v>
      </c>
      <c r="K25" s="7" t="s">
        <v>10</v>
      </c>
      <c r="L25" s="8" t="s">
        <v>166</v>
      </c>
    </row>
    <row r="26" spans="1:12" hidden="1" x14ac:dyDescent="0.25">
      <c r="A26" s="3" t="s">
        <v>243</v>
      </c>
      <c r="B26" s="4" t="s">
        <v>52</v>
      </c>
      <c r="C26" s="4" t="s">
        <v>244</v>
      </c>
      <c r="D26" s="4" t="s">
        <v>245</v>
      </c>
      <c r="E26" s="4" t="s">
        <v>246</v>
      </c>
      <c r="F26" s="4" t="s">
        <v>33</v>
      </c>
      <c r="G26" s="4" t="s">
        <v>9</v>
      </c>
      <c r="H26" s="4" t="s">
        <v>7</v>
      </c>
      <c r="I26" s="4" t="s">
        <v>246</v>
      </c>
      <c r="J26" s="4" t="s">
        <v>247</v>
      </c>
      <c r="K26" s="4" t="s">
        <v>248</v>
      </c>
      <c r="L26" s="5" t="s">
        <v>249</v>
      </c>
    </row>
    <row r="27" spans="1:12" hidden="1" x14ac:dyDescent="0.25">
      <c r="A27" s="6" t="s">
        <v>167</v>
      </c>
      <c r="B27" s="7" t="s">
        <v>21</v>
      </c>
      <c r="C27" s="7" t="s">
        <v>124</v>
      </c>
      <c r="D27" s="7" t="s">
        <v>211</v>
      </c>
      <c r="E27" s="7" t="s">
        <v>66</v>
      </c>
      <c r="F27" s="7" t="s">
        <v>5</v>
      </c>
      <c r="G27" s="7" t="s">
        <v>6</v>
      </c>
      <c r="H27" s="7" t="s">
        <v>15</v>
      </c>
      <c r="I27" s="7" t="s">
        <v>66</v>
      </c>
      <c r="J27" s="7" t="s">
        <v>67</v>
      </c>
      <c r="K27" s="7" t="s">
        <v>68</v>
      </c>
      <c r="L27" s="8" t="s">
        <v>168</v>
      </c>
    </row>
    <row r="28" spans="1:12" hidden="1" x14ac:dyDescent="0.25">
      <c r="A28" s="3" t="s">
        <v>169</v>
      </c>
      <c r="B28" s="4" t="s">
        <v>21</v>
      </c>
      <c r="C28" s="4" t="s">
        <v>138</v>
      </c>
      <c r="D28" s="4" t="s">
        <v>215</v>
      </c>
      <c r="E28" s="4" t="s">
        <v>69</v>
      </c>
      <c r="F28" s="4" t="s">
        <v>5</v>
      </c>
      <c r="G28" s="4" t="s">
        <v>6</v>
      </c>
      <c r="H28" s="4" t="s">
        <v>15</v>
      </c>
      <c r="I28" s="4" t="s">
        <v>69</v>
      </c>
      <c r="J28" s="4" t="s">
        <v>117</v>
      </c>
      <c r="K28" s="4" t="s">
        <v>68</v>
      </c>
      <c r="L28" s="5" t="s">
        <v>170</v>
      </c>
    </row>
    <row r="29" spans="1:12" hidden="1" x14ac:dyDescent="0.25">
      <c r="A29" s="6" t="s">
        <v>250</v>
      </c>
      <c r="B29" s="7" t="s">
        <v>46</v>
      </c>
      <c r="C29" s="7" t="s">
        <v>143</v>
      </c>
      <c r="D29" s="7" t="s">
        <v>217</v>
      </c>
      <c r="E29" s="7" t="s">
        <v>251</v>
      </c>
      <c r="F29" s="7" t="s">
        <v>8</v>
      </c>
      <c r="G29" s="7" t="s">
        <v>9</v>
      </c>
      <c r="H29" s="7" t="s">
        <v>7</v>
      </c>
      <c r="I29" s="7" t="s">
        <v>251</v>
      </c>
      <c r="J29" s="7" t="s">
        <v>252</v>
      </c>
      <c r="K29" s="7" t="s">
        <v>10</v>
      </c>
      <c r="L29" s="8" t="s">
        <v>253</v>
      </c>
    </row>
    <row r="30" spans="1:12" hidden="1" x14ac:dyDescent="0.25">
      <c r="A30" s="3" t="s">
        <v>171</v>
      </c>
      <c r="B30" s="4" t="s">
        <v>21</v>
      </c>
      <c r="C30" s="4" t="s">
        <v>125</v>
      </c>
      <c r="D30" s="4" t="s">
        <v>212</v>
      </c>
      <c r="E30" s="4" t="s">
        <v>70</v>
      </c>
      <c r="F30" s="4" t="s">
        <v>8</v>
      </c>
      <c r="G30" s="4" t="s">
        <v>6</v>
      </c>
      <c r="H30" s="4" t="s">
        <v>15</v>
      </c>
      <c r="I30" s="4" t="s">
        <v>70</v>
      </c>
      <c r="J30" s="4" t="s">
        <v>71</v>
      </c>
      <c r="K30" s="4" t="s">
        <v>72</v>
      </c>
      <c r="L30" s="5" t="s">
        <v>172</v>
      </c>
    </row>
    <row r="31" spans="1:12" hidden="1" x14ac:dyDescent="0.25">
      <c r="A31" s="6" t="s">
        <v>173</v>
      </c>
      <c r="B31" s="7" t="s">
        <v>21</v>
      </c>
      <c r="C31" s="7" t="s">
        <v>124</v>
      </c>
      <c r="D31" s="7" t="s">
        <v>211</v>
      </c>
      <c r="E31" s="7" t="s">
        <v>73</v>
      </c>
      <c r="F31" s="7" t="s">
        <v>74</v>
      </c>
      <c r="G31" s="7" t="s">
        <v>9</v>
      </c>
      <c r="H31" s="7" t="s">
        <v>7</v>
      </c>
      <c r="I31" s="7" t="s">
        <v>73</v>
      </c>
      <c r="J31" s="7" t="s">
        <v>75</v>
      </c>
      <c r="K31" s="7" t="s">
        <v>76</v>
      </c>
      <c r="L31" s="8" t="s">
        <v>174</v>
      </c>
    </row>
    <row r="32" spans="1:12" x14ac:dyDescent="0.25">
      <c r="A32" s="3" t="s">
        <v>175</v>
      </c>
      <c r="B32" s="4" t="s">
        <v>21</v>
      </c>
      <c r="C32" s="4" t="s">
        <v>145</v>
      </c>
      <c r="D32" s="4" t="s">
        <v>221</v>
      </c>
      <c r="E32" s="4" t="s">
        <v>118</v>
      </c>
      <c r="F32" s="4" t="s">
        <v>33</v>
      </c>
      <c r="G32" s="4" t="s">
        <v>9</v>
      </c>
      <c r="H32" s="4" t="s">
        <v>15</v>
      </c>
      <c r="I32" s="4" t="s">
        <v>118</v>
      </c>
      <c r="J32" s="4" t="s">
        <v>119</v>
      </c>
      <c r="K32" s="4" t="s">
        <v>10</v>
      </c>
      <c r="L32" s="5" t="s">
        <v>176</v>
      </c>
    </row>
    <row r="33" spans="1:12" hidden="1" x14ac:dyDescent="0.25">
      <c r="A33" s="6" t="s">
        <v>254</v>
      </c>
      <c r="B33" s="7" t="s">
        <v>11</v>
      </c>
      <c r="C33" s="7" t="s">
        <v>255</v>
      </c>
      <c r="D33" s="7" t="s">
        <v>256</v>
      </c>
      <c r="E33" s="7" t="s">
        <v>257</v>
      </c>
      <c r="F33" s="7" t="s">
        <v>8</v>
      </c>
      <c r="G33" s="7" t="s">
        <v>9</v>
      </c>
      <c r="H33" s="7" t="s">
        <v>7</v>
      </c>
      <c r="I33" s="7" t="s">
        <v>257</v>
      </c>
      <c r="J33" s="7" t="s">
        <v>258</v>
      </c>
      <c r="K33" s="7" t="s">
        <v>10</v>
      </c>
      <c r="L33" s="8" t="s">
        <v>259</v>
      </c>
    </row>
    <row r="34" spans="1:12" hidden="1" x14ac:dyDescent="0.25">
      <c r="A34" s="3" t="s">
        <v>260</v>
      </c>
      <c r="B34" s="4" t="s">
        <v>11</v>
      </c>
      <c r="C34" s="4" t="s">
        <v>261</v>
      </c>
      <c r="D34" s="4" t="s">
        <v>262</v>
      </c>
      <c r="E34" s="4" t="s">
        <v>263</v>
      </c>
      <c r="F34" s="4" t="s">
        <v>33</v>
      </c>
      <c r="G34" s="4" t="s">
        <v>9</v>
      </c>
      <c r="H34" s="4" t="s">
        <v>7</v>
      </c>
      <c r="I34" s="4" t="s">
        <v>263</v>
      </c>
      <c r="J34" s="4" t="s">
        <v>264</v>
      </c>
      <c r="K34" s="4" t="s">
        <v>265</v>
      </c>
      <c r="L34" s="5" t="s">
        <v>266</v>
      </c>
    </row>
    <row r="35" spans="1:12" hidden="1" x14ac:dyDescent="0.25">
      <c r="A35" s="6" t="s">
        <v>267</v>
      </c>
      <c r="B35" s="7" t="s">
        <v>11</v>
      </c>
      <c r="C35" s="7" t="s">
        <v>255</v>
      </c>
      <c r="D35" s="7" t="s">
        <v>256</v>
      </c>
      <c r="E35" s="7" t="s">
        <v>268</v>
      </c>
      <c r="F35" s="7" t="s">
        <v>13</v>
      </c>
      <c r="G35" s="7" t="s">
        <v>9</v>
      </c>
      <c r="H35" s="7" t="s">
        <v>7</v>
      </c>
      <c r="I35" s="7" t="s">
        <v>268</v>
      </c>
      <c r="J35" s="7" t="s">
        <v>269</v>
      </c>
      <c r="K35" s="7" t="s">
        <v>270</v>
      </c>
      <c r="L35" s="8" t="s">
        <v>271</v>
      </c>
    </row>
    <row r="36" spans="1:12" hidden="1" x14ac:dyDescent="0.25">
      <c r="A36" s="3" t="s">
        <v>272</v>
      </c>
      <c r="B36" s="4" t="s">
        <v>11</v>
      </c>
      <c r="C36" s="4" t="s">
        <v>255</v>
      </c>
      <c r="D36" s="4" t="s">
        <v>256</v>
      </c>
      <c r="E36" s="4" t="s">
        <v>273</v>
      </c>
      <c r="F36" s="4" t="s">
        <v>33</v>
      </c>
      <c r="G36" s="4" t="s">
        <v>9</v>
      </c>
      <c r="H36" s="4" t="s">
        <v>7</v>
      </c>
      <c r="I36" s="4" t="s">
        <v>273</v>
      </c>
      <c r="J36" s="4" t="s">
        <v>274</v>
      </c>
      <c r="K36" s="4" t="s">
        <v>275</v>
      </c>
      <c r="L36" s="5" t="s">
        <v>276</v>
      </c>
    </row>
    <row r="37" spans="1:12" hidden="1" x14ac:dyDescent="0.25">
      <c r="A37" s="6" t="s">
        <v>177</v>
      </c>
      <c r="B37" s="7" t="s">
        <v>21</v>
      </c>
      <c r="C37" s="7" t="s">
        <v>178</v>
      </c>
      <c r="D37" s="7" t="s">
        <v>277</v>
      </c>
      <c r="E37" s="7" t="s">
        <v>77</v>
      </c>
      <c r="F37" s="7" t="s">
        <v>41</v>
      </c>
      <c r="G37" s="7" t="s">
        <v>9</v>
      </c>
      <c r="H37" s="7" t="s">
        <v>7</v>
      </c>
      <c r="I37" s="7" t="s">
        <v>77</v>
      </c>
      <c r="J37" s="7" t="s">
        <v>78</v>
      </c>
      <c r="K37" s="7" t="s">
        <v>10</v>
      </c>
      <c r="L37" s="8" t="s">
        <v>179</v>
      </c>
    </row>
    <row r="38" spans="1:12" hidden="1" x14ac:dyDescent="0.25">
      <c r="A38" s="3" t="s">
        <v>278</v>
      </c>
      <c r="B38" s="4" t="s">
        <v>52</v>
      </c>
      <c r="C38" s="4" t="s">
        <v>279</v>
      </c>
      <c r="D38" s="4" t="s">
        <v>280</v>
      </c>
      <c r="E38" s="4" t="s">
        <v>281</v>
      </c>
      <c r="F38" s="4" t="s">
        <v>33</v>
      </c>
      <c r="G38" s="4" t="s">
        <v>9</v>
      </c>
      <c r="H38" s="4" t="s">
        <v>7</v>
      </c>
      <c r="I38" s="4" t="s">
        <v>281</v>
      </c>
      <c r="J38" s="4" t="s">
        <v>282</v>
      </c>
      <c r="K38" s="4" t="s">
        <v>283</v>
      </c>
      <c r="L38" s="5" t="s">
        <v>284</v>
      </c>
    </row>
    <row r="39" spans="1:12" hidden="1" x14ac:dyDescent="0.25">
      <c r="A39" s="6" t="s">
        <v>180</v>
      </c>
      <c r="B39" s="7" t="s">
        <v>46</v>
      </c>
      <c r="C39" s="7" t="s">
        <v>143</v>
      </c>
      <c r="D39" s="7" t="s">
        <v>217</v>
      </c>
      <c r="E39" s="7" t="s">
        <v>79</v>
      </c>
      <c r="F39" s="7" t="s">
        <v>8</v>
      </c>
      <c r="G39" s="7" t="s">
        <v>9</v>
      </c>
      <c r="H39" s="7" t="s">
        <v>7</v>
      </c>
      <c r="I39" s="7" t="s">
        <v>79</v>
      </c>
      <c r="J39" s="7" t="s">
        <v>80</v>
      </c>
      <c r="K39" s="7" t="s">
        <v>81</v>
      </c>
      <c r="L39" s="8" t="s">
        <v>181</v>
      </c>
    </row>
    <row r="40" spans="1:12" hidden="1" x14ac:dyDescent="0.25">
      <c r="A40" s="3" t="s">
        <v>182</v>
      </c>
      <c r="B40" s="4" t="s">
        <v>46</v>
      </c>
      <c r="C40" s="4" t="s">
        <v>143</v>
      </c>
      <c r="D40" s="4" t="s">
        <v>217</v>
      </c>
      <c r="E40" s="4" t="s">
        <v>82</v>
      </c>
      <c r="F40" s="4" t="s">
        <v>8</v>
      </c>
      <c r="G40" s="4" t="s">
        <v>9</v>
      </c>
      <c r="H40" s="4" t="s">
        <v>7</v>
      </c>
      <c r="I40" s="4" t="s">
        <v>82</v>
      </c>
      <c r="J40" s="4" t="s">
        <v>83</v>
      </c>
      <c r="K40" s="4" t="s">
        <v>47</v>
      </c>
      <c r="L40" s="5" t="s">
        <v>183</v>
      </c>
    </row>
    <row r="41" spans="1:12" hidden="1" x14ac:dyDescent="0.25">
      <c r="A41" s="6" t="s">
        <v>184</v>
      </c>
      <c r="B41" s="7" t="s">
        <v>46</v>
      </c>
      <c r="C41" s="7" t="s">
        <v>143</v>
      </c>
      <c r="D41" s="7" t="s">
        <v>217</v>
      </c>
      <c r="E41" s="7" t="s">
        <v>84</v>
      </c>
      <c r="F41" s="7" t="s">
        <v>8</v>
      </c>
      <c r="G41" s="7" t="s">
        <v>9</v>
      </c>
      <c r="H41" s="7" t="s">
        <v>7</v>
      </c>
      <c r="I41" s="7" t="s">
        <v>84</v>
      </c>
      <c r="J41" s="7" t="s">
        <v>85</v>
      </c>
      <c r="K41" s="7" t="s">
        <v>86</v>
      </c>
      <c r="L41" s="8" t="s">
        <v>185</v>
      </c>
    </row>
    <row r="42" spans="1:12" hidden="1" x14ac:dyDescent="0.25">
      <c r="A42" s="3" t="s">
        <v>186</v>
      </c>
      <c r="B42" s="4" t="s">
        <v>46</v>
      </c>
      <c r="C42" s="4" t="s">
        <v>187</v>
      </c>
      <c r="D42" s="4" t="s">
        <v>285</v>
      </c>
      <c r="E42" s="4" t="s">
        <v>87</v>
      </c>
      <c r="F42" s="4" t="s">
        <v>33</v>
      </c>
      <c r="G42" s="4" t="s">
        <v>9</v>
      </c>
      <c r="H42" s="4" t="s">
        <v>7</v>
      </c>
      <c r="I42" s="4" t="s">
        <v>87</v>
      </c>
      <c r="J42" s="4" t="s">
        <v>88</v>
      </c>
      <c r="K42" s="4" t="s">
        <v>89</v>
      </c>
      <c r="L42" s="5" t="s">
        <v>188</v>
      </c>
    </row>
    <row r="43" spans="1:12" hidden="1" x14ac:dyDescent="0.25">
      <c r="A43" s="6" t="s">
        <v>287</v>
      </c>
      <c r="B43" s="7" t="s">
        <v>52</v>
      </c>
      <c r="C43" s="7" t="s">
        <v>279</v>
      </c>
      <c r="D43" s="7" t="s">
        <v>280</v>
      </c>
      <c r="E43" s="7" t="s">
        <v>288</v>
      </c>
      <c r="F43" s="7" t="s">
        <v>33</v>
      </c>
      <c r="G43" s="7" t="s">
        <v>9</v>
      </c>
      <c r="H43" s="7" t="s">
        <v>7</v>
      </c>
      <c r="I43" s="7" t="s">
        <v>288</v>
      </c>
      <c r="J43" s="7" t="s">
        <v>289</v>
      </c>
      <c r="K43" s="7" t="s">
        <v>290</v>
      </c>
      <c r="L43" s="8" t="s">
        <v>291</v>
      </c>
    </row>
    <row r="44" spans="1:12" hidden="1" x14ac:dyDescent="0.25">
      <c r="A44" s="3" t="s">
        <v>190</v>
      </c>
      <c r="B44" s="4" t="s">
        <v>21</v>
      </c>
      <c r="C44" s="4" t="s">
        <v>178</v>
      </c>
      <c r="D44" s="4" t="s">
        <v>277</v>
      </c>
      <c r="E44" s="4" t="s">
        <v>90</v>
      </c>
      <c r="F44" s="4" t="s">
        <v>13</v>
      </c>
      <c r="G44" s="4" t="s">
        <v>6</v>
      </c>
      <c r="H44" s="4" t="s">
        <v>7</v>
      </c>
      <c r="I44" s="4" t="s">
        <v>90</v>
      </c>
      <c r="J44" s="4" t="s">
        <v>91</v>
      </c>
      <c r="K44" s="4" t="s">
        <v>92</v>
      </c>
      <c r="L44" s="5" t="s">
        <v>10</v>
      </c>
    </row>
    <row r="45" spans="1:12" hidden="1" x14ac:dyDescent="0.25">
      <c r="A45" s="6" t="s">
        <v>191</v>
      </c>
      <c r="B45" s="7" t="s">
        <v>21</v>
      </c>
      <c r="C45" s="7" t="s">
        <v>163</v>
      </c>
      <c r="D45" s="7" t="s">
        <v>242</v>
      </c>
      <c r="E45" s="7" t="s">
        <v>93</v>
      </c>
      <c r="F45" s="7" t="s">
        <v>8</v>
      </c>
      <c r="G45" s="7" t="s">
        <v>9</v>
      </c>
      <c r="H45" s="7" t="s">
        <v>15</v>
      </c>
      <c r="I45" s="7" t="s">
        <v>93</v>
      </c>
      <c r="J45" s="7" t="s">
        <v>94</v>
      </c>
      <c r="K45" s="7" t="s">
        <v>10</v>
      </c>
      <c r="L45" s="8" t="s">
        <v>192</v>
      </c>
    </row>
    <row r="46" spans="1:12" hidden="1" x14ac:dyDescent="0.25">
      <c r="A46" s="3" t="s">
        <v>193</v>
      </c>
      <c r="B46" s="4" t="s">
        <v>21</v>
      </c>
      <c r="C46" s="4" t="s">
        <v>194</v>
      </c>
      <c r="D46" s="4" t="s">
        <v>294</v>
      </c>
      <c r="E46" s="4" t="s">
        <v>95</v>
      </c>
      <c r="F46" s="4" t="s">
        <v>74</v>
      </c>
      <c r="G46" s="4" t="s">
        <v>9</v>
      </c>
      <c r="H46" s="4" t="s">
        <v>7</v>
      </c>
      <c r="I46" s="4" t="s">
        <v>95</v>
      </c>
      <c r="J46" s="4" t="s">
        <v>96</v>
      </c>
      <c r="K46" s="4" t="s">
        <v>97</v>
      </c>
      <c r="L46" s="5" t="s">
        <v>195</v>
      </c>
    </row>
    <row r="47" spans="1:12" hidden="1" x14ac:dyDescent="0.25">
      <c r="A47" s="6" t="s">
        <v>196</v>
      </c>
      <c r="B47" s="7" t="s">
        <v>52</v>
      </c>
      <c r="C47" s="7" t="s">
        <v>153</v>
      </c>
      <c r="D47" s="7" t="s">
        <v>236</v>
      </c>
      <c r="E47" s="7" t="s">
        <v>98</v>
      </c>
      <c r="F47" s="7" t="s">
        <v>33</v>
      </c>
      <c r="G47" s="7" t="s">
        <v>9</v>
      </c>
      <c r="H47" s="7" t="s">
        <v>7</v>
      </c>
      <c r="I47" s="7" t="s">
        <v>98</v>
      </c>
      <c r="J47" s="7" t="s">
        <v>99</v>
      </c>
      <c r="K47" s="7" t="s">
        <v>100</v>
      </c>
      <c r="L47" s="8" t="s">
        <v>197</v>
      </c>
    </row>
    <row r="48" spans="1:12" hidden="1" x14ac:dyDescent="0.25">
      <c r="A48" s="3" t="s">
        <v>295</v>
      </c>
      <c r="B48" s="4"/>
      <c r="C48" s="4"/>
      <c r="D48" s="4" t="s">
        <v>213</v>
      </c>
      <c r="E48" s="4" t="s">
        <v>296</v>
      </c>
      <c r="F48" s="4" t="s">
        <v>8</v>
      </c>
      <c r="G48" s="4" t="s">
        <v>6</v>
      </c>
      <c r="H48" s="4" t="s">
        <v>7</v>
      </c>
      <c r="I48" s="4" t="s">
        <v>296</v>
      </c>
      <c r="J48" s="4" t="s">
        <v>297</v>
      </c>
      <c r="K48" s="4" t="s">
        <v>20</v>
      </c>
      <c r="L48" s="5" t="s">
        <v>20</v>
      </c>
    </row>
    <row r="49" spans="1:12" hidden="1" x14ac:dyDescent="0.25">
      <c r="A49" s="6" t="s">
        <v>198</v>
      </c>
      <c r="B49" s="7" t="s">
        <v>21</v>
      </c>
      <c r="C49" s="7" t="s">
        <v>124</v>
      </c>
      <c r="D49" s="7" t="s">
        <v>211</v>
      </c>
      <c r="E49" s="7" t="s">
        <v>101</v>
      </c>
      <c r="F49" s="7" t="s">
        <v>33</v>
      </c>
      <c r="G49" s="7" t="s">
        <v>6</v>
      </c>
      <c r="H49" s="7" t="s">
        <v>7</v>
      </c>
      <c r="I49" s="7" t="s">
        <v>101</v>
      </c>
      <c r="J49" s="7" t="s">
        <v>102</v>
      </c>
      <c r="K49" s="7" t="s">
        <v>10</v>
      </c>
      <c r="L49" s="8" t="s">
        <v>189</v>
      </c>
    </row>
    <row r="50" spans="1:12" hidden="1" x14ac:dyDescent="0.25">
      <c r="A50" s="3" t="s">
        <v>298</v>
      </c>
      <c r="B50" s="4"/>
      <c r="C50" s="4"/>
      <c r="D50" s="4" t="s">
        <v>213</v>
      </c>
      <c r="E50" s="4" t="s">
        <v>299</v>
      </c>
      <c r="F50" s="4" t="s">
        <v>286</v>
      </c>
      <c r="G50" s="4" t="s">
        <v>6</v>
      </c>
      <c r="H50" s="4" t="s">
        <v>7</v>
      </c>
      <c r="I50" s="4" t="s">
        <v>299</v>
      </c>
      <c r="J50" s="4" t="s">
        <v>300</v>
      </c>
      <c r="K50" s="4" t="s">
        <v>20</v>
      </c>
      <c r="L50" s="5" t="s">
        <v>301</v>
      </c>
    </row>
    <row r="51" spans="1:12" hidden="1" x14ac:dyDescent="0.25">
      <c r="A51" s="6" t="s">
        <v>199</v>
      </c>
      <c r="B51" s="7" t="s">
        <v>21</v>
      </c>
      <c r="C51" s="7" t="s">
        <v>163</v>
      </c>
      <c r="D51" s="7" t="s">
        <v>242</v>
      </c>
      <c r="E51" s="7" t="s">
        <v>103</v>
      </c>
      <c r="F51" s="7" t="s">
        <v>33</v>
      </c>
      <c r="G51" s="7" t="s">
        <v>9</v>
      </c>
      <c r="H51" s="7" t="s">
        <v>7</v>
      </c>
      <c r="I51" s="7" t="s">
        <v>103</v>
      </c>
      <c r="J51" s="7" t="s">
        <v>104</v>
      </c>
      <c r="K51" s="7" t="s">
        <v>105</v>
      </c>
      <c r="L51" s="8" t="s">
        <v>200</v>
      </c>
    </row>
    <row r="52" spans="1:12" hidden="1" x14ac:dyDescent="0.25">
      <c r="A52" s="3" t="s">
        <v>201</v>
      </c>
      <c r="B52" s="4" t="s">
        <v>21</v>
      </c>
      <c r="C52" s="4" t="s">
        <v>125</v>
      </c>
      <c r="D52" s="4" t="s">
        <v>212</v>
      </c>
      <c r="E52" s="4" t="s">
        <v>106</v>
      </c>
      <c r="F52" s="4" t="s">
        <v>13</v>
      </c>
      <c r="G52" s="4" t="s">
        <v>9</v>
      </c>
      <c r="H52" s="4" t="s">
        <v>15</v>
      </c>
      <c r="I52" s="4" t="s">
        <v>106</v>
      </c>
      <c r="J52" s="4" t="s">
        <v>107</v>
      </c>
      <c r="K52" s="4" t="s">
        <v>10</v>
      </c>
      <c r="L52" s="5" t="s">
        <v>202</v>
      </c>
    </row>
    <row r="53" spans="1:12" hidden="1" x14ac:dyDescent="0.25">
      <c r="A53" s="6" t="s">
        <v>302</v>
      </c>
      <c r="B53" s="7" t="s">
        <v>11</v>
      </c>
      <c r="C53" s="7" t="s">
        <v>303</v>
      </c>
      <c r="D53" s="7" t="s">
        <v>304</v>
      </c>
      <c r="E53" s="7" t="s">
        <v>305</v>
      </c>
      <c r="F53" s="7" t="s">
        <v>8</v>
      </c>
      <c r="G53" s="7" t="s">
        <v>17</v>
      </c>
      <c r="H53" s="7" t="s">
        <v>15</v>
      </c>
      <c r="I53" s="7" t="s">
        <v>305</v>
      </c>
      <c r="J53" s="7" t="s">
        <v>306</v>
      </c>
      <c r="K53" s="7" t="s">
        <v>307</v>
      </c>
      <c r="L53" s="8" t="s">
        <v>308</v>
      </c>
    </row>
    <row r="54" spans="1:12" hidden="1" x14ac:dyDescent="0.25">
      <c r="A54" s="3" t="s">
        <v>203</v>
      </c>
      <c r="B54" s="4" t="s">
        <v>21</v>
      </c>
      <c r="C54" s="4" t="s">
        <v>124</v>
      </c>
      <c r="D54" s="4" t="s">
        <v>211</v>
      </c>
      <c r="E54" s="4" t="s">
        <v>108</v>
      </c>
      <c r="F54" s="4" t="s">
        <v>8</v>
      </c>
      <c r="G54" s="4" t="s">
        <v>6</v>
      </c>
      <c r="H54" s="4" t="s">
        <v>15</v>
      </c>
      <c r="I54" s="4" t="s">
        <v>108</v>
      </c>
      <c r="J54" s="4" t="s">
        <v>109</v>
      </c>
      <c r="K54" s="4" t="s">
        <v>110</v>
      </c>
      <c r="L54" s="5" t="s">
        <v>204</v>
      </c>
    </row>
    <row r="55" spans="1:12" hidden="1" x14ac:dyDescent="0.25">
      <c r="A55" s="6" t="s">
        <v>309</v>
      </c>
      <c r="B55" s="7" t="s">
        <v>52</v>
      </c>
      <c r="C55" s="7" t="s">
        <v>292</v>
      </c>
      <c r="D55" s="7" t="s">
        <v>293</v>
      </c>
      <c r="E55" s="7" t="s">
        <v>310</v>
      </c>
      <c r="F55" s="7" t="s">
        <v>13</v>
      </c>
      <c r="G55" s="7" t="s">
        <v>9</v>
      </c>
      <c r="H55" s="7" t="s">
        <v>7</v>
      </c>
      <c r="I55" s="7" t="s">
        <v>310</v>
      </c>
      <c r="J55" s="7" t="s">
        <v>311</v>
      </c>
      <c r="K55" s="7" t="s">
        <v>312</v>
      </c>
      <c r="L55" s="8" t="s">
        <v>313</v>
      </c>
    </row>
    <row r="56" spans="1:12" x14ac:dyDescent="0.25">
      <c r="A56" s="3" t="s">
        <v>205</v>
      </c>
      <c r="B56" s="4" t="s">
        <v>21</v>
      </c>
      <c r="C56" s="4" t="s">
        <v>145</v>
      </c>
      <c r="D56" s="4" t="s">
        <v>221</v>
      </c>
      <c r="E56" s="4" t="s">
        <v>111</v>
      </c>
      <c r="F56" s="4" t="s">
        <v>8</v>
      </c>
      <c r="G56" s="4" t="s">
        <v>6</v>
      </c>
      <c r="H56" s="4" t="s">
        <v>15</v>
      </c>
      <c r="I56" s="4" t="s">
        <v>111</v>
      </c>
      <c r="J56" s="4" t="s">
        <v>112</v>
      </c>
      <c r="K56" s="4" t="s">
        <v>113</v>
      </c>
      <c r="L56" s="5" t="s">
        <v>206</v>
      </c>
    </row>
    <row r="57" spans="1:12" hidden="1" x14ac:dyDescent="0.25">
      <c r="A57" s="10" t="s">
        <v>314</v>
      </c>
      <c r="B57" s="11" t="s">
        <v>11</v>
      </c>
      <c r="C57" s="11" t="s">
        <v>261</v>
      </c>
      <c r="D57" s="11" t="s">
        <v>262</v>
      </c>
      <c r="E57" s="11" t="s">
        <v>315</v>
      </c>
      <c r="F57" s="11" t="s">
        <v>13</v>
      </c>
      <c r="G57" s="11" t="s">
        <v>9</v>
      </c>
      <c r="H57" s="11" t="s">
        <v>7</v>
      </c>
      <c r="I57" s="11" t="s">
        <v>315</v>
      </c>
      <c r="J57" s="11" t="s">
        <v>316</v>
      </c>
      <c r="K57" s="11" t="s">
        <v>10</v>
      </c>
      <c r="L57" s="12" t="s">
        <v>317</v>
      </c>
    </row>
    <row r="68" spans="1:4" x14ac:dyDescent="0.25">
      <c r="D68">
        <v>30</v>
      </c>
    </row>
    <row r="69" spans="1:4" x14ac:dyDescent="0.25">
      <c r="D69">
        <v>66</v>
      </c>
    </row>
    <row r="70" spans="1:4" x14ac:dyDescent="0.25">
      <c r="D70">
        <v>56</v>
      </c>
    </row>
    <row r="71" spans="1:4" x14ac:dyDescent="0.25">
      <c r="D71">
        <v>85</v>
      </c>
    </row>
    <row r="72" spans="1:4" x14ac:dyDescent="0.25">
      <c r="A72" t="s">
        <v>318</v>
      </c>
      <c r="B72">
        <v>22869</v>
      </c>
      <c r="C72">
        <v>56</v>
      </c>
    </row>
    <row r="73" spans="1:4" x14ac:dyDescent="0.25">
      <c r="A73" t="s">
        <v>9</v>
      </c>
      <c r="B73">
        <v>8493</v>
      </c>
      <c r="C73">
        <v>23</v>
      </c>
    </row>
    <row r="74" spans="1:4" x14ac:dyDescent="0.25">
      <c r="A74" t="s">
        <v>6</v>
      </c>
      <c r="B74">
        <v>14377</v>
      </c>
      <c r="C74">
        <v>66</v>
      </c>
    </row>
    <row r="76" spans="1:4" x14ac:dyDescent="0.25">
      <c r="A76" s="13">
        <v>0.03</v>
      </c>
      <c r="B76">
        <f>B72*1.03</f>
        <v>23555.07</v>
      </c>
    </row>
    <row r="82" spans="1:8" x14ac:dyDescent="0.25">
      <c r="E82" t="s">
        <v>323</v>
      </c>
    </row>
    <row r="83" spans="1:8" x14ac:dyDescent="0.25">
      <c r="B83" t="s">
        <v>319</v>
      </c>
      <c r="C83" t="s">
        <v>321</v>
      </c>
      <c r="D83" t="s">
        <v>322</v>
      </c>
    </row>
    <row r="84" spans="1:8" x14ac:dyDescent="0.25">
      <c r="A84" t="s">
        <v>9</v>
      </c>
      <c r="B84">
        <v>8493</v>
      </c>
      <c r="C84">
        <f>B84*0.66</f>
        <v>5605.38</v>
      </c>
      <c r="E84">
        <f>C84*1.03</f>
        <v>5773.5414000000001</v>
      </c>
      <c r="H84">
        <v>57</v>
      </c>
    </row>
    <row r="85" spans="1:8" x14ac:dyDescent="0.25">
      <c r="A85" t="s">
        <v>320</v>
      </c>
      <c r="B85">
        <v>14377</v>
      </c>
      <c r="C85">
        <f>B85*0.66</f>
        <v>9488.82</v>
      </c>
      <c r="D85">
        <v>15215</v>
      </c>
      <c r="E85">
        <f>SUM(C85:D85)*1.03</f>
        <v>25444.934600000001</v>
      </c>
      <c r="H85">
        <v>68</v>
      </c>
    </row>
    <row r="86" spans="1:8" x14ac:dyDescent="0.25">
      <c r="H86">
        <v>31</v>
      </c>
    </row>
    <row r="87" spans="1:8" x14ac:dyDescent="0.25">
      <c r="C87">
        <f>SUM(C84:C85)</f>
        <v>15094.2</v>
      </c>
      <c r="E87">
        <f>SUM(E84:E86)</f>
        <v>31218.476000000002</v>
      </c>
    </row>
    <row r="88" spans="1:8" x14ac:dyDescent="0.25">
      <c r="H88">
        <v>85</v>
      </c>
    </row>
    <row r="89" spans="1:8" x14ac:dyDescent="0.25">
      <c r="B89" t="s">
        <v>324</v>
      </c>
    </row>
    <row r="91" spans="1:8" x14ac:dyDescent="0.25">
      <c r="A91" t="s">
        <v>9</v>
      </c>
      <c r="B91">
        <v>22362</v>
      </c>
      <c r="E91">
        <f>B91*1.03</f>
        <v>23032.86</v>
      </c>
    </row>
    <row r="92" spans="1:8" x14ac:dyDescent="0.25">
      <c r="A92" t="s">
        <v>17</v>
      </c>
      <c r="B92">
        <v>3867</v>
      </c>
      <c r="E92">
        <f>B92*1.03</f>
        <v>3983.01</v>
      </c>
    </row>
    <row r="93" spans="1:8" x14ac:dyDescent="0.25">
      <c r="A93" t="s">
        <v>320</v>
      </c>
      <c r="B93">
        <v>29534</v>
      </c>
      <c r="E93">
        <f>B93*1.03</f>
        <v>30420.02</v>
      </c>
    </row>
    <row r="95" spans="1:8" x14ac:dyDescent="0.25">
      <c r="B95">
        <f>SUM(B91:B93)</f>
        <v>55763</v>
      </c>
      <c r="E95">
        <f>SUM(E91:E94)</f>
        <v>57435.89</v>
      </c>
    </row>
    <row r="98" spans="1:5" x14ac:dyDescent="0.25">
      <c r="B98" t="s">
        <v>325</v>
      </c>
    </row>
    <row r="100" spans="1:5" x14ac:dyDescent="0.25">
      <c r="A100" t="s">
        <v>9</v>
      </c>
      <c r="B100">
        <v>24998</v>
      </c>
      <c r="E100">
        <f>B100*1.03</f>
        <v>25747.940000000002</v>
      </c>
    </row>
    <row r="101" spans="1:5" x14ac:dyDescent="0.25">
      <c r="A101" t="s">
        <v>17</v>
      </c>
      <c r="B101">
        <v>508</v>
      </c>
      <c r="E101">
        <f>B101*1.03</f>
        <v>523.24</v>
      </c>
    </row>
    <row r="102" spans="1:5" x14ac:dyDescent="0.25">
      <c r="A102" t="s">
        <v>320</v>
      </c>
      <c r="B102">
        <v>40303</v>
      </c>
      <c r="E102">
        <f>B102*1.03</f>
        <v>41512.090000000004</v>
      </c>
    </row>
    <row r="104" spans="1:5" x14ac:dyDescent="0.25">
      <c r="B104">
        <f>SUM(B100:B102)</f>
        <v>65809</v>
      </c>
      <c r="E104">
        <f>SUM(E100:E103)</f>
        <v>67783.27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8E3063-DAEC-4415-AF36-AA6CDD141C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Nikolaj Cilleborg Haulrik</dc:creator>
  <cp:lastModifiedBy>Nikolaj Cilleborg Haulrik</cp:lastModifiedBy>
  <dcterms:created xsi:type="dcterms:W3CDTF">2026-04-17T10:47:56Z</dcterms:created>
  <dcterms:modified xsi:type="dcterms:W3CDTF">2026-04-30T09:58:23Z</dcterms:modified>
</cp:coreProperties>
</file>